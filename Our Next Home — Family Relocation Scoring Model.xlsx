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hh:mm"/>
    <numFmt numFmtId="165" formatCode="\$#,##0"/>
    <numFmt numFmtId="166" formatCode="yyyy-mm-dd hh:mm"/>
    <numFmt numFmtId="167" formatCode="0.0%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Claude</author>
  </authors>
  <commentList>
    <comment ref="AN1" authorId="0" shapeId="0">
      <text>
        <t>Q13d (Round 4, reference-only; feeds no weight, ForcedChoiceCorrections or PriorityWeights). "If both options were within 30 minutes of family, which would you prefer for everyday living?" A = very green, peaceful village or bushland-edge suburb; Indian groceries, a Hindu temple and churches about 30 min away. B = more multicultural neighbourhood; Indian groceries, temples and churches close by, fewer trees and trails. Scale: A strongly / A slightly / No strong preference / B slightly / B strongly.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40" authorId="0" shapeId="0">
      <text>
        <t>Q13d (Round 4, reference-only; feeds no weight, ForcedChoiceCorrections or PriorityWeights). "If both options were within 30 minutes of family, which would you prefer for everyday living?" A = very green, peaceful village or bushland-edge suburb; Indian groceries, a Hindu temple and churches about 30 min away. B = more multicultural neighbourhood; Indian groceries, temples and churches close by, fewer trees and trails. Scale: A strongly / A slightly / No strong preference / B slightly / B strongly.</t>
      </text>
    </comment>
  </commentList>
</comments>
</file>

<file path=xl/comments/comment3.xml><?xml version="1.0" encoding="utf-8"?>
<comments xmlns="http://schemas.openxmlformats.org/spreadsheetml/2006/main">
  <authors>
    <author>Unknown Author</author>
    <author>Claude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  <comment ref="AO1" authorId="1" shapeId="0">
      <text>
        <t>Born overseas / all people (ABS G01 Birthplace_Elsewhere_P / Tot_P). Not the same as 100 minus Australia-born: that also counts people who did not state a birthplace (see next column). This fixes foundation-report item 11.</t>
      </text>
    </comment>
    <comment ref="AP1" authorId="1" shapeId="0">
      <text>
        <t>All people minus Australia-born minus overseas-born, as a share of all people.</t>
      </text>
    </comment>
    <comment ref="AR1" authorId="1" shapeId="0">
      <text>
        <t>Indian ancestry responses / all people (ABS G08). People can give two ancestries.</t>
      </text>
    </comment>
    <comment ref="AV1" authorId="1" shapeId="0">
      <text>
        <t>From ABS GCP table G13 (about 45 named languages). Languages ABS groups as "other" there (e.g. Telugu, Burmese, Zomi) cannot appear; QuickStats top-responses may differ.</t>
      </text>
    </comment>
    <comment ref="AX1" authorId="1" shapeId="0">
      <text>
        <t>Comparison band, not a liveability score. Display-only: not used in X, Y or any weight, and does not change P. High: other language at home (AU) &gt;= 50% or born in India (AQ) &gt;= 8%. Medium: AU 30-49% or AQ 4-7.9%. Low: otherwise. Interim thresholds, family to confirm.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/><Relationship Type="http://schemas.openxmlformats.org/officeDocument/2006/relationships/hyperlink" Target="https://www.realestate.com.au/property-house-vic-torquay-152666740" TargetMode="External" Id="rId2"/><Relationship Type="http://schemas.openxmlformats.org/officeDocument/2006/relationships/hyperlink" Target="https://www.realestate.com.au/property-house-vic-west+footscray-152623144" TargetMode="External" Id="rId3"/><Relationship Type="http://schemas.openxmlformats.org/officeDocument/2006/relationships/hyperlink" Target="https://www.realestate.com.au/property-house-vic-west+footscray-152623144" TargetMode="External" Id="rId4"/><Relationship Type="http://schemas.openxmlformats.org/officeDocument/2006/relationships/hyperlink" Target="https://www.realestate.com.au/property-house-vic-warburton-150763740" TargetMode="External" Id="rId5"/><Relationship Type="http://schemas.openxmlformats.org/officeDocument/2006/relationships/hyperlink" Target="https://www.realestate.com.au/property-house-vic-warburton-150763740" TargetMode="External" Id="rId6"/><Relationship Type="http://schemas.openxmlformats.org/officeDocument/2006/relationships/hyperlink" Target="https://www.realestate.com.au/property-house-vic-williamstown-152686328" TargetMode="External" Id="rId7"/><Relationship Type="http://schemas.openxmlformats.org/officeDocument/2006/relationships/hyperlink" Target="https://www.realestate.com.au/property-house-vic-williamstown-152686328" TargetMode="External" Id="rId8"/><Relationship Type="http://schemas.openxmlformats.org/officeDocument/2006/relationships/hyperlink" Target="https://www.realestate.com.au/property-house-vic-rosanna-152574468" TargetMode="External" Id="rId9"/><Relationship Type="http://schemas.openxmlformats.org/officeDocument/2006/relationships/hyperlink" Target="https://www.realestate.com.au/property-house-vic-rosanna-152574468" TargetMode="External" Id="rId10"/><Relationship Type="http://schemas.openxmlformats.org/officeDocument/2006/relationships/hyperlink" Target="https://www.realestate.com.au/property-house-vic-diamond+creek-152290624" TargetMode="External" Id="rId11"/><Relationship Type="http://schemas.openxmlformats.org/officeDocument/2006/relationships/hyperlink" Target="https://www.realestate.com.au/property-house-vic-diamond+creek-152290624" TargetMode="External" Id="rId12"/><Relationship Type="http://schemas.openxmlformats.org/officeDocument/2006/relationships/hyperlink" Target="https://www.realestate.com.au/property-house-vic-mordialloc-152622844" TargetMode="External" Id="rId13"/><Relationship Type="http://schemas.openxmlformats.org/officeDocument/2006/relationships/hyperlink" Target="https://www.realestate.com.au/property-house-vic-mordialloc-152622844" TargetMode="External" Id="rId14"/><Relationship Type="http://schemas.openxmlformats.org/officeDocument/2006/relationships/hyperlink" Target="https://www.realestate.com.au/property-house-vic-seaford-152011424" TargetMode="External" Id="rId15"/><Relationship Type="http://schemas.openxmlformats.org/officeDocument/2006/relationships/hyperlink" Target="https://www.realestate.com.au/property-house-vic-seaford-152011424" TargetMode="External" Id="rId16"/><Relationship Type="http://schemas.openxmlformats.org/officeDocument/2006/relationships/hyperlink" Target="https://www.realestate.com.au/property-house-vic-seaford-151815440" TargetMode="External" Id="rId17"/><Relationship Type="http://schemas.openxmlformats.org/officeDocument/2006/relationships/hyperlink" Target="https://www.realestate.com.au/property-house-vic-seaford-151815440" TargetMode="External" Id="rId18"/><Relationship Type="http://schemas.openxmlformats.org/officeDocument/2006/relationships/hyperlink" Target="https://www.realestate.com.au/property-house-vic-mount+eliza-151176748" TargetMode="External" Id="rId19"/><Relationship Type="http://schemas.openxmlformats.org/officeDocument/2006/relationships/hyperlink" Target="https://www.realestate.com.au/property-house-vic-mount+eliza-151176748" TargetMode="External" Id="rId20"/><Relationship Type="http://schemas.openxmlformats.org/officeDocument/2006/relationships/hyperlink" Target="https://www.realestate.com.au/property-house-vic-mount+eliza-152450032" TargetMode="External" Id="rId21"/><Relationship Type="http://schemas.openxmlformats.org/officeDocument/2006/relationships/hyperlink" Target="https://www.realestate.com.au/property-house-vic-mount+eliza-152450032" TargetMode="External" Id="rId22"/><Relationship Type="http://schemas.openxmlformats.org/officeDocument/2006/relationships/hyperlink" Target="https://www.realestate.com.au/property-house-vic-mount+eliza-152376824" TargetMode="External" Id="rId23"/><Relationship Type="http://schemas.openxmlformats.org/officeDocument/2006/relationships/hyperlink" Target="https://www.realestate.com.au/property-house-vic-mount+eliza-152376824" TargetMode="External" Id="rId24"/><Relationship Type="http://schemas.openxmlformats.org/officeDocument/2006/relationships/hyperlink" Target="https://www.realestate.com.au/property-house-vic-mount+eliza-151903892" TargetMode="External" Id="rId25"/><Relationship Type="http://schemas.openxmlformats.org/officeDocument/2006/relationships/hyperlink" Target="https://www.realestate.com.au/property-house-vic-mount+eliza-151903892" TargetMode="External" Id="rId26"/><Relationship Type="http://schemas.openxmlformats.org/officeDocument/2006/relationships/hyperlink" Target="https://www.realestate.com.au/property-house-vic-arthurs+seat-146680920" TargetMode="External" Id="rId27"/><Relationship Type="http://schemas.openxmlformats.org/officeDocument/2006/relationships/hyperlink" Target="https://www.realestate.com.au/property-house-vic-arthurs+seat-146680920" TargetMode="External" Id="rId28"/><Relationship Type="http://schemas.openxmlformats.org/officeDocument/2006/relationships/hyperlink" Target="https://www.realestate.com.au/property-house-vic-dromana-152005848" TargetMode="External" Id="rId29"/><Relationship Type="http://schemas.openxmlformats.org/officeDocument/2006/relationships/hyperlink" Target="https://www.realestate.com.au/property-house-vic-dromana-152005848" TargetMode="External" Id="rId30"/><Relationship Type="http://schemas.openxmlformats.org/officeDocument/2006/relationships/hyperlink" Target="https://www.realestate.com.au/property-house-vic-curlewis-152352192" TargetMode="External" Id="rId31"/><Relationship Type="http://schemas.openxmlformats.org/officeDocument/2006/relationships/hyperlink" Target="https://www.realestate.com.au/property-house-vic-curlewis-152352192" TargetMode="External" Id="rId32"/><Relationship Type="http://schemas.openxmlformats.org/officeDocument/2006/relationships/hyperlink" Target="https://www.realestate.com.au/property-house-vic-mccrae-151835348" TargetMode="External" Id="rId33"/><Relationship Type="http://schemas.openxmlformats.org/officeDocument/2006/relationships/hyperlink" Target="https://www.realestate.com.au/property-house-vic-mccrae-151835348" TargetMode="External" Id="rId34"/><Relationship Type="http://schemas.openxmlformats.org/officeDocument/2006/relationships/hyperlink" Target="https://www.realestate.com.au/property-house-vic-chelsea-152626264" TargetMode="External" Id="rId35"/><Relationship Type="http://schemas.openxmlformats.org/officeDocument/2006/relationships/hyperlink" Target="https://www.realestate.com.au/property-house-vic-chelsea-152626264" TargetMode="External" Id="rId36"/><Relationship Type="http://schemas.openxmlformats.org/officeDocument/2006/relationships/hyperlink" Target="https://www.realestate.com.au/property-house-vic-torquay-152670688" TargetMode="External" Id="rId37"/><Relationship Type="http://schemas.openxmlformats.org/officeDocument/2006/relationships/hyperlink" Target="https://www.realestate.com.au/property-house-vic-torquay-152670688" TargetMode="External" Id="rId38"/><Relationship Type="http://schemas.openxmlformats.org/officeDocument/2006/relationships/hyperlink" Target="https://www.realestate.com.au/property-house-vic-newport-152302080" TargetMode="External" Id="rId39"/><Relationship Type="http://schemas.openxmlformats.org/officeDocument/2006/relationships/hyperlink" Target="https://www.realestate.com.au/property-house-vic-newport-152302080" TargetMode="External" Id="rId40"/><Relationship Type="http://schemas.openxmlformats.org/officeDocument/2006/relationships/hyperlink" Target="https://www.realestate.com.au/property-house-vic-frankston+south-152212372" TargetMode="External" Id="rId41"/><Relationship Type="http://schemas.openxmlformats.org/officeDocument/2006/relationships/hyperlink" Target="https://www.realestate.com.au/property-house-vic-frankston+south-152212372" TargetMode="External" Id="rId42"/><Relationship Type="http://schemas.openxmlformats.org/officeDocument/2006/relationships/hyperlink" Target="https://www.realestate.com.au/property-house-vic-tecoma-152652276" TargetMode="External" Id="rId43"/><Relationship Type="http://schemas.openxmlformats.org/officeDocument/2006/relationships/hyperlink" Target="https://www.realestate.com.au/property-house-vic-tecoma-152652276" TargetMode="External" Id="rId44"/><Relationship Type="http://schemas.openxmlformats.org/officeDocument/2006/relationships/hyperlink" Target="https://www.realestate.com.au/property-house-vic-belgrave-152722196" TargetMode="External" Id="rId45"/><Relationship Type="http://schemas.openxmlformats.org/officeDocument/2006/relationships/hyperlink" Target="https://www.realestate.com.au/property-house-vic-belgrave-152722196" TargetMode="External" Id="rId46"/><Relationship Type="http://schemas.openxmlformats.org/officeDocument/2006/relationships/hyperlink" Target="https://www.realestate.com.au/property-house-vic-belgrave-152535704" TargetMode="External" Id="rId47"/><Relationship Type="http://schemas.openxmlformats.org/officeDocument/2006/relationships/hyperlink" Target="https://www.realestate.com.au/property-house-vic-belgrave-152535704" TargetMode="External" Id="rId48"/><Relationship Type="http://schemas.openxmlformats.org/officeDocument/2006/relationships/hyperlink" Target="https://www.realestate.com.au/property-house-vic-belgrave-152654296" TargetMode="External" Id="rId49"/><Relationship Type="http://schemas.openxmlformats.org/officeDocument/2006/relationships/hyperlink" Target="https://www.realestate.com.au/property-house-vic-belgrave-152654296" TargetMode="External" Id="rId50"/><Relationship Type="http://schemas.openxmlformats.org/officeDocument/2006/relationships/hyperlink" Target="https://www.realestate.com.au/property-house-vic-belgrave-152729140" TargetMode="External" Id="rId51"/><Relationship Type="http://schemas.openxmlformats.org/officeDocument/2006/relationships/hyperlink" Target="https://www.realestate.com.au/property-house-vic-belgrave-152729140" TargetMode="External" Id="rId52"/><Relationship Type="http://schemas.openxmlformats.org/officeDocument/2006/relationships/hyperlink" Target="https://www.realestate.com.au/property-house-vic-mount+martha-152575492" TargetMode="External" Id="rId53"/><Relationship Type="http://schemas.openxmlformats.org/officeDocument/2006/relationships/hyperlink" Target="https://www.realestate.com.au/property-house-vic-mount+martha-152575492" TargetMode="External" Id="rId54"/><Relationship Type="http://schemas.openxmlformats.org/officeDocument/2006/relationships/hyperlink" Target="https://www.realestate.com.au/property-house-vic-tecoma-152712080" TargetMode="External" Id="rId55"/><Relationship Type="http://schemas.openxmlformats.org/officeDocument/2006/relationships/hyperlink" Target="https://www.realestate.com.au/property-house-vic-tecoma-152712080" TargetMode="External" Id="rId56"/><Relationship Type="http://schemas.openxmlformats.org/officeDocument/2006/relationships/hyperlink" Target="https://www.realestate.com.au/property-house-vic-belgrave-152583472" TargetMode="External" Id="rId57"/><Relationship Type="http://schemas.openxmlformats.org/officeDocument/2006/relationships/hyperlink" Target="https://www.realestate.com.au/property-house-vic-belgrave-152583472" TargetMode="External" Id="rId58"/><Relationship Type="http://schemas.openxmlformats.org/officeDocument/2006/relationships/hyperlink" Target="https://www.realestate.com.au/property-house-vic-frankston-151132640" TargetMode="External" Id="rId59"/><Relationship Type="http://schemas.openxmlformats.org/officeDocument/2006/relationships/hyperlink" Target="https://www.realestate.com.au/property-house-vic-frankston-151132640" TargetMode="External" Id="rId60"/><Relationship Type="http://schemas.openxmlformats.org/officeDocument/2006/relationships/hyperlink" Target="https://www.realestate.com.au/property-house-vic-frankston+south-152593596" TargetMode="External" Id="rId61"/><Relationship Type="http://schemas.openxmlformats.org/officeDocument/2006/relationships/hyperlink" Target="https://www.realestate.com.au/property-house-vic-frankston+south-152593596" TargetMode="External" Id="rId62"/><Relationship Type="http://schemas.openxmlformats.org/officeDocument/2006/relationships/hyperlink" Target="https://www.realestate.com.au/property-house-vic-frankston+south-152448552" TargetMode="External" Id="rId63"/><Relationship Type="http://schemas.openxmlformats.org/officeDocument/2006/relationships/hyperlink" Target="https://www.realestate.com.au/property-house-vic-frankston+south-152448552" TargetMode="External" Id="rId6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" customWidth="1" style="15" min="39" max="39"/>
    <col width="13" customWidth="1" style="15" min="40" max="40"/>
  </cols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  <c r="AN1" s="16" t="inlineStr">
        <is>
          <t>[Q13d] Green village vs multicultural neighbourhood (reference-only)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9">
      <c r="A9" s="29" t="n">
        <v>46322.25537037037</v>
      </c>
      <c r="B9" s="16" t="inlineStr">
        <is>
          <t>Mum</t>
        </is>
      </c>
      <c r="C9" s="22" t="inlineStr">
        <is>
          <t>A — Green views and quiet</t>
        </is>
      </c>
      <c r="D9" s="22" t="inlineStr">
        <is>
          <t>E — None of these / depends (see notes)</t>
        </is>
      </c>
      <c r="E9" s="21" t="n">
        <v>1250000</v>
      </c>
      <c r="F9" s="16" t="inlineStr">
        <is>
          <t>B - 25m</t>
        </is>
      </c>
      <c r="H9" s="16" t="inlineStr">
        <is>
          <t>B - 20m</t>
        </is>
      </c>
      <c r="I9" s="16" t="inlineStr">
        <is>
          <t>A - None at all (Single-level only)</t>
        </is>
      </c>
      <c r="J9" s="16" t="inlineStr">
        <is>
          <t>C - Courtyard</t>
        </is>
      </c>
      <c r="K9" s="16" t="inlineStr">
        <is>
          <t>A — Yes, living together</t>
        </is>
      </c>
      <c r="L9" s="22" t="inlineStr">
        <is>
          <t>E — Not decided / depends (see notes)</t>
        </is>
      </c>
      <c r="M9" s="22" t="inlineStr">
        <is>
          <t>A — A green outlook from the house</t>
        </is>
      </c>
      <c r="N9" s="22" t="inlineStr">
        <is>
          <t>A — A church or place of worship nearby</t>
        </is>
      </c>
      <c r="O9" s="16" t="inlineStr">
        <is>
          <t>Near family in GW</t>
        </is>
      </c>
      <c r="P9" s="16" t="inlineStr">
        <is>
          <t>Village character</t>
        </is>
      </c>
      <c r="Q9" s="16" t="inlineStr">
        <is>
          <t>Shops &amp; doctor</t>
        </is>
      </c>
      <c r="R9" s="22" t="inlineStr">
        <is>
          <t>A — Indian shops and community in your own suburb, less green</t>
        </is>
      </c>
      <c r="S9" s="22" t="inlineStr">
        <is>
          <t>B — Leafy metropolitan suburb within 35 min of family</t>
        </is>
      </c>
      <c r="T9" s="22" t="inlineStr">
        <is>
          <t>B — Coastal or bay town with greenery and water walks</t>
        </is>
      </c>
      <c r="U9" s="22" t="inlineStr">
        <is>
          <t>A — Stay put and rely on taxis or family</t>
        </is>
      </c>
      <c r="V9" s="16" t="inlineStr">
        <is>
          <t>B</t>
        </is>
      </c>
      <c r="W9" s="16" t="inlineStr">
        <is>
          <t>C</t>
        </is>
      </c>
      <c r="X9" s="16" t="inlineStr">
        <is>
          <t>C</t>
        </is>
      </c>
      <c r="Y9" s="16" t="inlineStr">
        <is>
          <t>B</t>
        </is>
      </c>
      <c r="Z9" s="16" t="inlineStr">
        <is>
          <t>D</t>
        </is>
      </c>
      <c r="AA9" s="16" t="inlineStr">
        <is>
          <t>C</t>
        </is>
      </c>
      <c r="AB9" s="16" t="inlineStr">
        <is>
          <t>D</t>
        </is>
      </c>
      <c r="AC9" s="16" t="inlineStr">
        <is>
          <t>B</t>
        </is>
      </c>
      <c r="AD9" s="16" t="inlineStr">
        <is>
          <t>B</t>
        </is>
      </c>
      <c r="AE9" s="16" t="inlineStr">
        <is>
          <t>A</t>
        </is>
      </c>
      <c r="AM9" s="22" t="inlineStr">
        <is>
          <t>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0">
      <c r="A10" s="29" t="n">
        <v>46322.25597222222</v>
      </c>
      <c r="B10" s="16" t="inlineStr">
        <is>
          <t>Dad</t>
        </is>
      </c>
      <c r="C10" s="22" t="inlineStr">
        <is>
          <t>A — Green views and quiet</t>
        </is>
      </c>
      <c r="D10" s="22" t="inlineStr">
        <is>
          <t>D — Looking after the house and land</t>
        </is>
      </c>
      <c r="E10" s="21" t="n">
        <v>1500000</v>
      </c>
      <c r="F10" s="16" t="inlineStr">
        <is>
          <t>D - 45 min or more</t>
        </is>
      </c>
      <c r="G10" s="16" t="n">
        <v>75</v>
      </c>
      <c r="H10" s="16" t="inlineStr">
        <is>
          <t>D - no limit</t>
        </is>
      </c>
      <c r="I10" s="16" t="inlineStr">
        <is>
          <t>C - Doesn't matter</t>
        </is>
      </c>
      <c r="J10" s="16" t="inlineStr">
        <is>
          <t>E - Depends on Garden</t>
        </is>
      </c>
      <c r="K10" s="22" t="inlineStr">
        <is>
          <t>A — Yes, living together</t>
        </is>
      </c>
      <c r="L10" s="22" t="inlineStr">
        <is>
          <t>E — Not decided / depends (see notes)</t>
        </is>
      </c>
      <c r="M10" s="22" t="inlineStr">
        <is>
          <t>C — Hills and forest all around</t>
        </is>
      </c>
      <c r="N10" s="22" t="inlineStr">
        <is>
          <t>B — Indian groceries and restaurants</t>
        </is>
      </c>
      <c r="O10" s="16" t="inlineStr">
        <is>
          <t>Near family in GW</t>
        </is>
      </c>
      <c r="P10" s="16" t="inlineStr">
        <is>
          <t>Village character</t>
        </is>
      </c>
      <c r="Q10" s="16" t="inlineStr">
        <is>
          <t>Shops &amp; doctor</t>
        </is>
      </c>
      <c r="R10" s="22" t="inlineStr">
        <is>
          <t>B — Very green, community a 30-min drive away</t>
        </is>
      </c>
      <c r="S10" s="22" t="inlineStr">
        <is>
          <t>A — Scenic country or coastal town, 60–90 min from family</t>
        </is>
      </c>
      <c r="T10" s="22" t="inlineStr">
        <is>
          <t>A — Inland forest, hills and gardens</t>
        </is>
      </c>
      <c r="U10" s="22" t="inlineStr">
        <is>
          <t>A — Stay put and rely on taxis or family</t>
        </is>
      </c>
      <c r="V10" s="16" t="inlineStr">
        <is>
          <t>D</t>
        </is>
      </c>
      <c r="W10" s="16" t="inlineStr">
        <is>
          <t>B</t>
        </is>
      </c>
      <c r="X10" s="16" t="inlineStr">
        <is>
          <t>B</t>
        </is>
      </c>
      <c r="Y10" s="16" t="inlineStr">
        <is>
          <t>B</t>
        </is>
      </c>
      <c r="Z10" s="16" t="inlineStr">
        <is>
          <t>B</t>
        </is>
      </c>
      <c r="AA10" s="16" t="inlineStr">
        <is>
          <t>C</t>
        </is>
      </c>
      <c r="AB10" s="16" t="inlineStr">
        <is>
          <t>C</t>
        </is>
      </c>
      <c r="AC10" s="16" t="inlineStr">
        <is>
          <t>C</t>
        </is>
      </c>
      <c r="AD10" s="16" t="inlineStr">
        <is>
          <t>C</t>
        </is>
      </c>
      <c r="AE10" s="16" t="inlineStr">
        <is>
          <t>A</t>
        </is>
      </c>
      <c r="AM10" s="22" t="inlineStr">
        <is>
          <t>Round 2 (Q13, Q15) 2026-10-27T06:08:36Z merged onto row 6. | Merged: row 5 + gap form (Claude artifact) 2026-10-27T02:00:03Z UTC. Notes: Q3–Q7b: ideally D, or min 3 bedrooms</t>
        </is>
      </c>
    </row>
    <row r="11">
      <c r="A11" s="29" t="n">
        <v>46322.25747685185</v>
      </c>
      <c r="B11" s="16" t="inlineStr">
        <is>
          <t>Me</t>
        </is>
      </c>
      <c r="C11" s="22" t="inlineStr">
        <is>
          <t>B — Being near the beach</t>
        </is>
      </c>
      <c r="D11" s="22" t="inlineStr">
        <is>
          <t>B — Being far from family</t>
        </is>
      </c>
      <c r="F11" s="16" t="inlineStr">
        <is>
          <t>B - 25m</t>
        </is>
      </c>
      <c r="H11" s="16" t="inlineStr">
        <is>
          <t>B - 20m</t>
        </is>
      </c>
      <c r="I11" s="16" t="inlineStr">
        <is>
          <t>A - None</t>
        </is>
      </c>
      <c r="J11" s="16" t="inlineStr">
        <is>
          <t>C - Courtyard</t>
        </is>
      </c>
      <c r="K11" s="22" t="inlineStr">
        <is>
          <t>A — Yes, living together</t>
        </is>
      </c>
      <c r="L11" s="22" t="inlineStr">
        <is>
          <t>D — A self-contained space (granny flat or separate unit)</t>
        </is>
      </c>
      <c r="M11" s="22" t="inlineStr">
        <is>
          <t>E — None of these / depends (see notes)</t>
        </is>
      </c>
      <c r="N11" s="22" t="inlineStr">
        <is>
          <t>D — Friendly neighbours of any background</t>
        </is>
      </c>
      <c r="O11" s="16" t="inlineStr">
        <is>
          <t>Nature</t>
        </is>
      </c>
      <c r="P11" s="16" t="inlineStr">
        <is>
          <t>Village character</t>
        </is>
      </c>
      <c r="Q11" s="16" t="inlineStr">
        <is>
          <t>Shops &amp; doctor</t>
        </is>
      </c>
      <c r="R11" s="22" t="inlineStr">
        <is>
          <t>B — Very green, community a 30-min drive away</t>
        </is>
      </c>
      <c r="S11" s="22" t="inlineStr">
        <is>
          <t>A — Scenic country or coastal town, 60–90 min from family</t>
        </is>
      </c>
      <c r="T11" s="22" t="inlineStr">
        <is>
          <t>B — Coastal or bay town with greenery and water walks</t>
        </is>
      </c>
      <c r="U11" s="22" t="inlineStr">
        <is>
          <t>C — Take the train or bus to family and the hospital</t>
        </is>
      </c>
      <c r="V11" s="16" t="inlineStr">
        <is>
          <t>D</t>
        </is>
      </c>
      <c r="W11" s="16" t="inlineStr">
        <is>
          <t>A</t>
        </is>
      </c>
      <c r="X11" s="16" t="inlineStr">
        <is>
          <t>B</t>
        </is>
      </c>
      <c r="Y11" s="16" t="inlineStr">
        <is>
          <t>D</t>
        </is>
      </c>
      <c r="Z11" s="16" t="inlineStr">
        <is>
          <t>B</t>
        </is>
      </c>
      <c r="AA11" s="16" t="inlineStr">
        <is>
          <t>C</t>
        </is>
      </c>
      <c r="AB11" s="16" t="inlineStr">
        <is>
          <t>C</t>
        </is>
      </c>
      <c r="AC11" s="16" t="inlineStr">
        <is>
          <t>A</t>
        </is>
      </c>
      <c r="AD11" s="16" t="inlineStr">
        <is>
          <t>A</t>
        </is>
      </c>
      <c r="AE11" s="16" t="inlineStr">
        <is>
          <t>C</t>
        </is>
      </c>
      <c r="AM11" s="22" t="inlineStr">
        <is>
          <t>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2">
      <c r="A12" s="29" t="n">
        <v>46322.27326388889</v>
      </c>
      <c r="B12" s="16" t="inlineStr">
        <is>
          <t>Mum</t>
        </is>
      </c>
      <c r="C12" s="22" t="inlineStr">
        <is>
          <t>A — Green views and quiet</t>
        </is>
      </c>
      <c r="D12" s="22" t="inlineStr">
        <is>
          <t>E — None of these / depends (see notes)</t>
        </is>
      </c>
      <c r="E12" s="21" t="n">
        <v>1250000</v>
      </c>
      <c r="F12" s="16" t="inlineStr">
        <is>
          <t>B - 25m</t>
        </is>
      </c>
      <c r="H12" s="16" t="inlineStr">
        <is>
          <t>B - 20m</t>
        </is>
      </c>
      <c r="I12" s="16" t="inlineStr">
        <is>
          <t>A - None at all (Single-level only)</t>
        </is>
      </c>
      <c r="J12" s="16" t="inlineStr">
        <is>
          <t>C - Courtyard</t>
        </is>
      </c>
      <c r="K12" s="16" t="inlineStr">
        <is>
          <t>A — Yes, living together</t>
        </is>
      </c>
      <c r="L12" s="22" t="inlineStr">
        <is>
          <t>E — Not decided / depends (see notes)</t>
        </is>
      </c>
      <c r="M12" s="22" t="inlineStr">
        <is>
          <t>A — A green outlook from the house</t>
        </is>
      </c>
      <c r="N12" s="22" t="inlineStr">
        <is>
          <t>A — A church or place of worship nearby</t>
        </is>
      </c>
      <c r="O12" s="16" t="inlineStr">
        <is>
          <t>A — A forest street, 35 min from Glen Waverley</t>
        </is>
      </c>
      <c r="P12" s="16" t="inlineStr">
        <is>
          <t>A — Flat suburban streets, beach 10 min away</t>
        </is>
      </c>
      <c r="Q12" s="16" t="inlineStr">
        <is>
          <t>A — A quiet street, driving 15 min to the shops and doctor</t>
        </is>
      </c>
      <c r="R12" s="22" t="inlineStr">
        <is>
          <t>A — Indian shops and community in your own suburb, less green</t>
        </is>
      </c>
      <c r="S12" s="22" t="inlineStr">
        <is>
          <t>B — Leafy metropolitan suburb within 35 min of family</t>
        </is>
      </c>
      <c r="T12" s="22" t="inlineStr">
        <is>
          <t>B — Coastal or bay town with greenery and water walks</t>
        </is>
      </c>
      <c r="U12" s="22" t="inlineStr">
        <is>
          <t>A — Stay put and rely on taxis or family</t>
        </is>
      </c>
      <c r="V12" s="16" t="inlineStr">
        <is>
          <t>B</t>
        </is>
      </c>
      <c r="W12" s="16" t="inlineStr">
        <is>
          <t>C</t>
        </is>
      </c>
      <c r="X12" s="16" t="inlineStr">
        <is>
          <t>C</t>
        </is>
      </c>
      <c r="Y12" s="16" t="inlineStr">
        <is>
          <t>B</t>
        </is>
      </c>
      <c r="Z12" s="16" t="inlineStr">
        <is>
          <t>D</t>
        </is>
      </c>
      <c r="AA12" s="16" t="inlineStr">
        <is>
          <t>C</t>
        </is>
      </c>
      <c r="AB12" s="16" t="inlineStr">
        <is>
          <t>D</t>
        </is>
      </c>
      <c r="AC12" s="16" t="inlineStr">
        <is>
          <t>B</t>
        </is>
      </c>
      <c r="AD12" s="16" t="inlineStr">
        <is>
          <t>B</t>
        </is>
      </c>
      <c r="AE12" s="16" t="inlineStr">
        <is>
          <t>A</t>
        </is>
      </c>
      <c r="AM12" s="22" t="inlineStr">
        <is>
          <t>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3">
      <c r="A13" s="29" t="n">
        <v>46322.27357638889</v>
      </c>
      <c r="B13" s="16" t="inlineStr">
        <is>
          <t>Dad</t>
        </is>
      </c>
      <c r="C13" s="22" t="inlineStr">
        <is>
          <t>A — Green views and quiet</t>
        </is>
      </c>
      <c r="D13" s="22" t="inlineStr">
        <is>
          <t>D — Looking after the house and land</t>
        </is>
      </c>
      <c r="E13" s="21" t="n">
        <v>1500000</v>
      </c>
      <c r="F13" s="16" t="inlineStr">
        <is>
          <t>D - 45 min or more</t>
        </is>
      </c>
      <c r="G13" s="16" t="n">
        <v>75</v>
      </c>
      <c r="H13" s="16" t="inlineStr">
        <is>
          <t>D - no limit</t>
        </is>
      </c>
      <c r="I13" s="16" t="inlineStr">
        <is>
          <t>C - Doesn't matter</t>
        </is>
      </c>
      <c r="J13" s="16" t="inlineStr">
        <is>
          <t>E - Depends on Garden</t>
        </is>
      </c>
      <c r="K13" s="22" t="inlineStr">
        <is>
          <t>A — Yes, living together</t>
        </is>
      </c>
      <c r="L13" s="22" t="inlineStr">
        <is>
          <t>E — Not decided / depends (see notes)</t>
        </is>
      </c>
      <c r="M13" s="22" t="inlineStr">
        <is>
          <t>C — Hills and forest all around</t>
        </is>
      </c>
      <c r="N13" s="22" t="inlineStr">
        <is>
          <t>B — Indian groceries and restaurants</t>
        </is>
      </c>
      <c r="O13" s="16" t="inlineStr">
        <is>
          <t>A — A forest street, 35 min from Glen Waverley</t>
        </is>
      </c>
      <c r="P13" s="16" t="inlineStr">
        <is>
          <t>B — Hills and bush, beach an hour away</t>
        </is>
      </c>
      <c r="Q13" s="16" t="inlineStr">
        <is>
          <t>A — A quiet street, driving 15 min to the shops and doctor</t>
        </is>
      </c>
      <c r="R13" s="22" t="inlineStr">
        <is>
          <t>B — Very green, community a 30-min drive away</t>
        </is>
      </c>
      <c r="S13" s="22" t="inlineStr">
        <is>
          <t>A — Scenic country or coastal town, 60–90 min from family</t>
        </is>
      </c>
      <c r="T13" s="22" t="inlineStr">
        <is>
          <t>A — Inland forest, hills and gardens</t>
        </is>
      </c>
      <c r="U13" s="22" t="inlineStr">
        <is>
          <t>A — Stay put and rely on taxis or family</t>
        </is>
      </c>
      <c r="V13" s="16" t="inlineStr">
        <is>
          <t>D</t>
        </is>
      </c>
      <c r="W13" s="16" t="inlineStr">
        <is>
          <t>B</t>
        </is>
      </c>
      <c r="X13" s="16" t="inlineStr">
        <is>
          <t>B</t>
        </is>
      </c>
      <c r="Y13" s="16" t="inlineStr">
        <is>
          <t>B</t>
        </is>
      </c>
      <c r="Z13" s="16" t="inlineStr">
        <is>
          <t>B</t>
        </is>
      </c>
      <c r="AA13" s="16" t="inlineStr">
        <is>
          <t>C</t>
        </is>
      </c>
      <c r="AB13" s="16" t="inlineStr">
        <is>
          <t>C</t>
        </is>
      </c>
      <c r="AC13" s="16" t="inlineStr">
        <is>
          <t>C</t>
        </is>
      </c>
      <c r="AD13" s="16" t="inlineStr">
        <is>
          <t>C</t>
        </is>
      </c>
      <c r="AE13" s="16" t="inlineStr">
        <is>
          <t>A</t>
        </is>
      </c>
      <c r="AM13" s="22" t="inlineStr">
        <is>
          <t>Round 3 (Q10–Q12) 2026-10-27T06:33:57Z merged onto row 10. | Round 2 (Q13, Q15) 2026-10-27T06:08:36Z merged onto row 6. | Merged: row 5 + gap form (Claude artifact) 2026-10-27T02:00:03Z UTC. Notes: Q3–Q7b: ideally D, or min 3 bedrooms</t>
        </is>
      </c>
    </row>
    <row r="14">
      <c r="A14" s="29" t="n">
        <v>46322.27386574074</v>
      </c>
      <c r="B14" s="16" t="inlineStr">
        <is>
          <t>Me</t>
        </is>
      </c>
      <c r="C14" s="22" t="inlineStr">
        <is>
          <t>B — Being near the beach</t>
        </is>
      </c>
      <c r="D14" s="22" t="inlineStr">
        <is>
          <t>B — Being far from family</t>
        </is>
      </c>
      <c r="F14" s="16" t="inlineStr">
        <is>
          <t>B - 25m</t>
        </is>
      </c>
      <c r="H14" s="16" t="inlineStr">
        <is>
          <t>B - 20m</t>
        </is>
      </c>
      <c r="I14" s="16" t="inlineStr">
        <is>
          <t>A - None</t>
        </is>
      </c>
      <c r="J14" s="16" t="inlineStr">
        <is>
          <t>C - Courtyard</t>
        </is>
      </c>
      <c r="K14" s="22" t="inlineStr">
        <is>
          <t>A — Yes, living together</t>
        </is>
      </c>
      <c r="L14" s="22" t="inlineStr">
        <is>
          <t>D — A self-contained space (granny flat or separate unit)</t>
        </is>
      </c>
      <c r="M14" s="22" t="inlineStr">
        <is>
          <t>E — None of these / depends (see notes)</t>
        </is>
      </c>
      <c r="N14" s="22" t="inlineStr">
        <is>
          <t>D — Friendly neighbours of any background</t>
        </is>
      </c>
      <c r="O14" s="16" t="inlineStr">
        <is>
          <t>A — A forest street, 35 min from Glen Waverley</t>
        </is>
      </c>
      <c r="P14" s="16" t="inlineStr">
        <is>
          <t>A — Flat suburban streets, beach 10 min away</t>
        </is>
      </c>
      <c r="Q14" s="16" t="inlineStr">
        <is>
          <t>B — A busier street, walking to the shops, doctor and station</t>
        </is>
      </c>
      <c r="R14" s="22" t="inlineStr">
        <is>
          <t>B — Very green, community a 30-min drive away</t>
        </is>
      </c>
      <c r="S14" s="22" t="inlineStr">
        <is>
          <t>A — Scenic country or coastal town, 60–90 min from family</t>
        </is>
      </c>
      <c r="T14" s="22" t="inlineStr">
        <is>
          <t>B — Coastal or bay town with greenery and water walks</t>
        </is>
      </c>
      <c r="U14" s="22" t="inlineStr">
        <is>
          <t>C — Take the train or bus to family and the hospital</t>
        </is>
      </c>
      <c r="V14" s="16" t="inlineStr">
        <is>
          <t>D</t>
        </is>
      </c>
      <c r="W14" s="16" t="inlineStr">
        <is>
          <t>A</t>
        </is>
      </c>
      <c r="X14" s="16" t="inlineStr">
        <is>
          <t>B</t>
        </is>
      </c>
      <c r="Y14" s="16" t="inlineStr">
        <is>
          <t>D</t>
        </is>
      </c>
      <c r="Z14" s="16" t="inlineStr">
        <is>
          <t>B</t>
        </is>
      </c>
      <c r="AA14" s="16" t="inlineStr">
        <is>
          <t>C</t>
        </is>
      </c>
      <c r="AB14" s="16" t="inlineStr">
        <is>
          <t>C</t>
        </is>
      </c>
      <c r="AC14" s="16" t="inlineStr">
        <is>
          <t>A</t>
        </is>
      </c>
      <c r="AD14" s="16" t="inlineStr">
        <is>
          <t>A</t>
        </is>
      </c>
      <c r="AE14" s="16" t="inlineStr">
        <is>
          <t>C</t>
        </is>
      </c>
      <c r="AM14" s="22" t="inlineStr">
        <is>
          <t>Round 3 (Q10–Q12) 2026-10-27T06:34:22Z merged onto row 11. | 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5">
      <c r="A15" s="29" t="n">
        <v>46322.27782407407</v>
      </c>
      <c r="B15" s="16" t="inlineStr">
        <is>
          <t>Mum</t>
        </is>
      </c>
      <c r="C15" s="22" t="inlineStr">
        <is>
          <t>A — Green views and quiet</t>
        </is>
      </c>
      <c r="D15" s="22" t="inlineStr">
        <is>
          <t>E — None of these / depends (see notes)</t>
        </is>
      </c>
      <c r="E15" s="21" t="n">
        <v>1250000</v>
      </c>
      <c r="F15" s="16" t="inlineStr">
        <is>
          <t>B - 25m</t>
        </is>
      </c>
      <c r="H15" s="16" t="inlineStr">
        <is>
          <t>B - 20m</t>
        </is>
      </c>
      <c r="I15" s="16" t="inlineStr">
        <is>
          <t>A - None at all (Single-level only)</t>
        </is>
      </c>
      <c r="J15" s="16" t="inlineStr">
        <is>
          <t>C - Courtyard</t>
        </is>
      </c>
      <c r="K15" s="16" t="inlineStr">
        <is>
          <t>A — Yes, living together</t>
        </is>
      </c>
      <c r="L15" s="22" t="inlineStr">
        <is>
          <t>E — Not decided / depends (see notes)</t>
        </is>
      </c>
      <c r="M15" s="22" t="inlineStr">
        <is>
          <t>A — A green outlook from the house</t>
        </is>
      </c>
      <c r="N15" s="22" t="inlineStr">
        <is>
          <t>A — A church or place of worship nearby</t>
        </is>
      </c>
      <c r="O15" s="16" t="inlineStr">
        <is>
          <t>B — A leafy suburban street, 15 min from Glen Waverley</t>
        </is>
      </c>
      <c r="P15" s="16" t="inlineStr">
        <is>
          <t>A — Flat suburban streets, beach 10 min away</t>
        </is>
      </c>
      <c r="Q15" s="16" t="inlineStr">
        <is>
          <t>A — A quiet street, driving 15 min to the shops and doctor</t>
        </is>
      </c>
      <c r="R15" s="22" t="inlineStr">
        <is>
          <t>A — Indian shops and community in your own suburb, less green</t>
        </is>
      </c>
      <c r="S15" s="22" t="inlineStr">
        <is>
          <t>B — Leafy metropolitan suburb within 35 min of family</t>
        </is>
      </c>
      <c r="T15" s="22" t="inlineStr">
        <is>
          <t>B — Coastal or bay town with greenery and water walks</t>
        </is>
      </c>
      <c r="U15" s="22" t="inlineStr">
        <is>
          <t>A — Stay put and rely on taxis or family</t>
        </is>
      </c>
      <c r="V15" s="16" t="inlineStr">
        <is>
          <t>B</t>
        </is>
      </c>
      <c r="W15" s="16" t="inlineStr">
        <is>
          <t>C</t>
        </is>
      </c>
      <c r="X15" s="16" t="inlineStr">
        <is>
          <t>C</t>
        </is>
      </c>
      <c r="Y15" s="16" t="inlineStr">
        <is>
          <t>B</t>
        </is>
      </c>
      <c r="Z15" s="16" t="inlineStr">
        <is>
          <t>D</t>
        </is>
      </c>
      <c r="AA15" s="16" t="inlineStr">
        <is>
          <t>C</t>
        </is>
      </c>
      <c r="AB15" s="16" t="inlineStr">
        <is>
          <t>D</t>
        </is>
      </c>
      <c r="AC15" s="16" t="inlineStr">
        <is>
          <t>B</t>
        </is>
      </c>
      <c r="AD15" s="16" t="inlineStr">
        <is>
          <t>B</t>
        </is>
      </c>
      <c r="AE15" s="16" t="inlineStr">
        <is>
          <t>A</t>
        </is>
      </c>
      <c r="AM15" s="22" t="inlineStr">
        <is>
          <t>Round 3 resubmission 2026-10-27T06:40:04Z merged onto row 12: Mum changed Q10 from A (forest street) to B (leafy street 15 min from GW); Q11, Q12 unchanged. | 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  <row r="40">
      <c r="A40" s="16" t="inlineStr">
        <is>
          <t>[Q13d]</t>
        </is>
      </c>
      <c r="B40" s="16">
        <f>IFERROR(IF(INDEX(RawResponses!$A:$AN,$B$2,MATCH($A40&amp;"*",RawResponses!$A$1:$AN$1,0))="","",INDEX(RawResponses!$A:$AN,$B$2,MATCH($A40&amp;"*",RawResponses!$A$1:$AN$1,0))),"")</f>
        <v/>
      </c>
      <c r="C40" s="16">
        <f>IFERROR(IF(INDEX(RawResponses!$A:$AN,$B$3,MATCH($A40&amp;"*",RawResponses!$A$1:$AN$1,0))="","",INDEX(RawResponses!$A:$AN,$B$3,MATCH($A40&amp;"*",RawResponses!$A$1:$AN$1,0))),"")</f>
        <v/>
      </c>
      <c r="D40" s="16">
        <f>IFERROR(IF(INDEX(RawResponses!$A:$AN,$B$4,MATCH($A40&amp;"*",RawResponses!$A$1:$AN$1,0))="","",INDEX(RawResponses!$A:$AN,$B$4,MATCH($A40&amp;"*",RawResponses!$A$1:$AN$1,0))),"")</f>
        <v/>
      </c>
      <c r="E40" s="16">
        <f>LEFT(B40,1)</f>
        <v/>
      </c>
      <c r="F40" s="16">
        <f>LEFT(C40,1)</f>
        <v/>
      </c>
      <c r="G40" s="16">
        <f>LEFT(D40,1)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  <c r="H1" s="16" t="inlineStr">
        <is>
          <t>Question</t>
        </is>
      </c>
      <c r="I1" s="16" t="inlineStr">
        <is>
          <t>A-side priority</t>
        </is>
      </c>
      <c r="J1" s="16" t="inlineStr">
        <is>
          <t>B-side priority</t>
        </is>
      </c>
      <c r="K1" s="16" t="inlineStr">
        <is>
          <t>Mum vote</t>
        </is>
      </c>
      <c r="L1" s="16" t="inlineStr">
        <is>
          <t>Dad vote</t>
        </is>
      </c>
      <c r="M1" s="16" t="inlineStr">
        <is>
          <t>Me vote</t>
        </is>
      </c>
      <c r="N1" s="16" t="inlineStr">
        <is>
          <t>A votes (weighted)</t>
        </is>
      </c>
      <c r="O1" s="16" t="inlineStr">
        <is>
          <t>B votes (weighted)</t>
        </is>
      </c>
      <c r="P1" s="16" t="inlineStr">
        <is>
          <t>Winning side</t>
        </is>
      </c>
      <c r="Q1" s="16" t="inlineStr">
        <is>
          <t>Winner</t>
        </is>
      </c>
      <c r="R1" s="16" t="inlineStr">
        <is>
          <t>Loser</t>
        </is>
      </c>
      <c r="S1" s="16" t="inlineStr">
        <is>
          <t>Winner weight</t>
        </is>
      </c>
      <c r="T1" s="16" t="inlineStr">
        <is>
          <t>Loser weight</t>
        </is>
      </c>
      <c r="U1" s="16" t="inlineStr">
        <is>
          <t>Transfer</t>
        </is>
      </c>
    </row>
    <row r="2" ht="15.75" customHeight="1" s="15">
      <c r="A2" s="16" t="inlineStr">
        <is>
          <t>Trade-offs: see H1:U5 (live, blueprint rule).</t>
        </is>
      </c>
      <c r="B2" s="16" t="n"/>
      <c r="H2" s="22" t="inlineStr">
        <is>
          <t>Q10</t>
        </is>
      </c>
      <c r="I2" s="22" t="inlineStr">
        <is>
          <t>Nature</t>
        </is>
      </c>
      <c r="J2" s="22" t="inlineStr">
        <is>
          <t>Near family in GW</t>
        </is>
      </c>
      <c r="K2" s="22">
        <f>IF(OR(CleanedAnswers!B15=$I2,LEFT(CleanedAnswers!B15,3)="A —"),"A",IF(OR(CleanedAnswers!B15=$J2,LEFT(CleanedAnswers!B15,3)="B —"),"B",""))</f>
        <v/>
      </c>
      <c r="L2" s="22">
        <f>IF(OR(CleanedAnswers!C15=$I2,LEFT(CleanedAnswers!C15,3)="A —"),"A",IF(OR(CleanedAnswers!C15=$J2,LEFT(CleanedAnswers!C15,3)="B —"),"B",""))</f>
        <v/>
      </c>
      <c r="M2" s="22">
        <f>IF(OR(CleanedAnswers!D15=$I2,LEFT(CleanedAnswers!D15,3)="A —"),"A",IF(OR(CleanedAnswers!D15=$J2,LEFT(CleanedAnswers!D15,3)="B —"),"B",""))</f>
        <v/>
      </c>
      <c r="N2" s="22">
        <f>(K2="A")*Settings!$B$2+(L2="A")*Settings!$B$3+(M2="A")*Settings!$B$4</f>
        <v/>
      </c>
      <c r="O2" s="22">
        <f>(K2="B")*Settings!$B$2+(L2="B")*Settings!$B$3+(M2="B")*Settings!$B$4</f>
        <v/>
      </c>
      <c r="P2" s="22">
        <f>IF(N2+O2=0,"",IF(N2&gt;O2,"A",IF(O2&gt;N2,"B","Split")))</f>
        <v/>
      </c>
      <c r="Q2" s="22">
        <f>IF(P2="A",I2,IF(P2="B",J2,""))</f>
        <v/>
      </c>
      <c r="R2" s="22">
        <f>IF(P2="A",J2,IF(P2="B",I2,""))</f>
        <v/>
      </c>
      <c r="S2" s="22">
        <f>IF(Q2="","",INDEX($D$6:$D$15,MATCH(Q2,$A$6:$A$15,0)))</f>
        <v/>
      </c>
      <c r="T2" s="22">
        <f>IF(R2="","",INDEX($D$6:$D$15,MATCH(R2,$A$6:$A$15,0)))</f>
        <v/>
      </c>
      <c r="U2" s="22">
        <f>IF(OR(Q2="",NOT(ISNUMBER(S2)),NOT(ISNUMBER(T2))),0,IF(S2&lt;T2+Settings!$B$7,MIN(T2,(T2-S2+Settings!$B$7)/2),0))</f>
        <v/>
      </c>
    </row>
    <row r="3" ht="15.75" customHeight="1" s="15">
      <c r="A3" s="16" t="n"/>
      <c r="B3" s="16" t="n"/>
      <c r="H3" s="22" t="inlineStr">
        <is>
          <t>Q11</t>
        </is>
      </c>
      <c r="I3" s="22" t="inlineStr">
        <is>
          <t>Beach</t>
        </is>
      </c>
      <c r="J3" s="22" t="inlineStr">
        <is>
          <t>Nature</t>
        </is>
      </c>
      <c r="K3" s="22">
        <f>IF(OR(CleanedAnswers!B16=$I3,LEFT(CleanedAnswers!B16,3)="A —"),"A",IF(OR(CleanedAnswers!B16=$J3,LEFT(CleanedAnswers!B16,3)="B —"),"B",""))</f>
        <v/>
      </c>
      <c r="L3" s="22">
        <f>IF(OR(CleanedAnswers!C16=$I3,LEFT(CleanedAnswers!C16,3)="A —"),"A",IF(OR(CleanedAnswers!C16=$J3,LEFT(CleanedAnswers!C16,3)="B —"),"B",""))</f>
        <v/>
      </c>
      <c r="M3" s="22">
        <f>IF(OR(CleanedAnswers!D16=$I3,LEFT(CleanedAnswers!D16,3)="A —"),"A",IF(OR(CleanedAnswers!D16=$J3,LEFT(CleanedAnswers!D16,3)="B —"),"B",""))</f>
        <v/>
      </c>
      <c r="N3" s="22">
        <f>(K3="A")*Settings!$B$2+(L3="A")*Settings!$B$3+(M3="A")*Settings!$B$4</f>
        <v/>
      </c>
      <c r="O3" s="22">
        <f>(K3="B")*Settings!$B$2+(L3="B")*Settings!$B$3+(M3="B")*Settings!$B$4</f>
        <v/>
      </c>
      <c r="P3" s="22">
        <f>IF(N3+O3=0,"",IF(N3&gt;O3,"A",IF(O3&gt;N3,"B","Split")))</f>
        <v/>
      </c>
      <c r="Q3" s="22">
        <f>IF(P3="A",I3,IF(P3="B",J3,""))</f>
        <v/>
      </c>
      <c r="R3" s="22">
        <f>IF(P3="A",J3,IF(P3="B",I3,""))</f>
        <v/>
      </c>
      <c r="S3" s="22">
        <f>IF(Q3="","",INDEX($D$6:$D$15,MATCH(Q3,$A$6:$A$15,0)))</f>
        <v/>
      </c>
      <c r="T3" s="22">
        <f>IF(R3="","",INDEX($D$6:$D$15,MATCH(R3,$A$6:$A$15,0)))</f>
        <v/>
      </c>
      <c r="U3" s="22">
        <f>IF(OR(Q3="",NOT(ISNUMBER(S3)),NOT(ISNUMBER(T3))),0,IF(S3&lt;T3+Settings!$B$7,MIN(T3,(T3-S3+Settings!$B$7)/2),0))</f>
        <v/>
      </c>
    </row>
    <row r="4">
      <c r="H4" s="22" t="inlineStr">
        <is>
          <t>Q12</t>
        </is>
      </c>
      <c r="I4" s="22" t="inlineStr">
        <is>
          <t>Village character</t>
        </is>
      </c>
      <c r="J4" s="22" t="inlineStr">
        <is>
          <t>Shops &amp; doctor</t>
        </is>
      </c>
      <c r="K4" s="22">
        <f>IF(OR(CleanedAnswers!B17=$I4,LEFT(CleanedAnswers!B17,3)="A —"),"A",IF(OR(CleanedAnswers!B17=$J4,LEFT(CleanedAnswers!B17,3)="B —"),"B",""))</f>
        <v/>
      </c>
      <c r="L4" s="22">
        <f>IF(OR(CleanedAnswers!C17=$I4,LEFT(CleanedAnswers!C17,3)="A —"),"A",IF(OR(CleanedAnswers!C17=$J4,LEFT(CleanedAnswers!C17,3)="B —"),"B",""))</f>
        <v/>
      </c>
      <c r="M4" s="22">
        <f>IF(OR(CleanedAnswers!D17=$I4,LEFT(CleanedAnswers!D17,3)="A —"),"A",IF(OR(CleanedAnswers!D17=$J4,LEFT(CleanedAnswers!D17,3)="B —"),"B",""))</f>
        <v/>
      </c>
      <c r="N4" s="22">
        <f>(K4="A")*Settings!$B$2+(L4="A")*Settings!$B$3+(M4="A")*Settings!$B$4</f>
        <v/>
      </c>
      <c r="O4" s="22">
        <f>(K4="B")*Settings!$B$2+(L4="B")*Settings!$B$3+(M4="B")*Settings!$B$4</f>
        <v/>
      </c>
      <c r="P4" s="22">
        <f>IF(N4+O4=0,"",IF(N4&gt;O4,"A",IF(O4&gt;N4,"B","Split")))</f>
        <v/>
      </c>
      <c r="Q4" s="22">
        <f>IF(P4="A",I4,IF(P4="B",J4,""))</f>
        <v/>
      </c>
      <c r="R4" s="22">
        <f>IF(P4="A",J4,IF(P4="B",I4,""))</f>
        <v/>
      </c>
      <c r="S4" s="22">
        <f>IF(Q4="","",INDEX($D$6:$D$15,MATCH(Q4,$A$6:$A$15,0)))</f>
        <v/>
      </c>
      <c r="T4" s="22">
        <f>IF(R4="","",INDEX($D$6:$D$15,MATCH(R4,$A$6:$A$15,0)))</f>
        <v/>
      </c>
      <c r="U4" s="22">
        <f>IF(OR(Q4="",NOT(ISNUMBER(S4)),NOT(ISNUMBER(T4))),0,IF(S4&lt;T4+Settings!$B$7,MIN(T4,(T4-S4+Settings!$B$7)/2),0))</f>
        <v/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Net forced-choice correction (live)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  <c r="F5" s="16" t="inlineStr">
        <is>
          <t>Manual tweak (editable, e.g. 0.03 = +3 pts)</t>
        </is>
      </c>
      <c r="H5" s="22" t="inlineStr">
        <is>
          <t>Q13</t>
        </is>
      </c>
      <c r="I5" s="22" t="inlineStr">
        <is>
          <t>Indian community</t>
        </is>
      </c>
      <c r="J5" s="22" t="inlineStr">
        <is>
          <t>Nature</t>
        </is>
      </c>
      <c r="K5" s="22">
        <f>IF(OR(CleanedAnswers!B18=$I5,LEFT(CleanedAnswers!B18,3)="A —"),"A",IF(OR(CleanedAnswers!B18=$J5,LEFT(CleanedAnswers!B18,3)="B —"),"B",""))</f>
        <v/>
      </c>
      <c r="L5" s="22">
        <f>IF(OR(CleanedAnswers!C18=$I5,LEFT(CleanedAnswers!C18,3)="A —"),"A",IF(OR(CleanedAnswers!C18=$J5,LEFT(CleanedAnswers!C18,3)="B —"),"B",""))</f>
        <v/>
      </c>
      <c r="M5" s="22">
        <f>IF(OR(CleanedAnswers!D18=$I5,LEFT(CleanedAnswers!D18,3)="A —"),"A",IF(OR(CleanedAnswers!D18=$J5,LEFT(CleanedAnswers!D18,3)="B —"),"B",""))</f>
        <v/>
      </c>
      <c r="N5" s="22">
        <f>(K5="A")*Settings!$B$2+(L5="A")*Settings!$B$3+(M5="A")*Settings!$B$4</f>
        <v/>
      </c>
      <c r="O5" s="22">
        <f>(K5="B")*Settings!$B$2+(L5="B")*Settings!$B$3+(M5="B")*Settings!$B$4</f>
        <v/>
      </c>
      <c r="P5" s="22">
        <f>IF(N5+O5=0,"",IF(N5&gt;O5,"A",IF(O5&gt;N5,"B","Split")))</f>
        <v/>
      </c>
      <c r="Q5" s="22">
        <f>IF(P5="A",I5,IF(P5="B",J5,""))</f>
        <v/>
      </c>
      <c r="R5" s="22">
        <f>IF(P5="A",J5,IF(P5="B",I5,""))</f>
        <v/>
      </c>
      <c r="S5" s="22">
        <f>IF(Q5="","",INDEX($D$6:$D$15,MATCH(Q5,$A$6:$A$15,0)))</f>
        <v/>
      </c>
      <c r="T5" s="22">
        <f>IF(R5="","",INDEX($D$6:$D$15,MATCH(R5,$A$6:$A$15,0)))</f>
        <v/>
      </c>
      <c r="U5" s="22">
        <f>IF(OR(Q5="",NOT(ISNUMBER(S5)),NOT(ISNUMBER(T5))),0,IF(S5&lt;T5+Settings!$B$7,MIN(T5,(T5-S5+Settings!$B$7)/2),0))</f>
        <v/>
      </c>
    </row>
    <row r="6" ht="15.75" customHeight="1" s="15">
      <c r="A6" s="16" t="inlineStr">
        <is>
          <t>Near family in GW</t>
        </is>
      </c>
      <c r="B6" s="16">
        <f>MAX(0,D6+C6+F6)/SUMPRODUCT((D$6:D$15+C$6:C$15+F$6:F$15&gt;0)*(D$6:D$15+C$6:C$15+F$6:F$15))</f>
        <v/>
      </c>
      <c r="C6" s="16">
        <f>SUMIF($Q$2:$Q$5,A6,$U$2:$U$5)-SUMIF($R$2:$R$5,A6,$U$2:$U$5)</f>
        <v/>
      </c>
      <c r="D6" s="16">
        <f>PriorityWeights!K3</f>
        <v/>
      </c>
      <c r="E6" s="16" t="n">
        <v>0.153</v>
      </c>
      <c r="F6" s="16" t="n">
        <v>0</v>
      </c>
    </row>
    <row r="7" ht="15.75" customHeight="1" s="15">
      <c r="A7" s="16" t="inlineStr">
        <is>
          <t>Nature</t>
        </is>
      </c>
      <c r="B7" s="16">
        <f>MAX(0,D7+C7+F7)/SUMPRODUCT((D$6:D$15+C$6:C$15+F$6:F$15&gt;0)*(D$6:D$15+C$6:C$15+F$6:F$15))</f>
        <v/>
      </c>
      <c r="C7" s="16">
        <f>SUMIF($Q$2:$Q$5,A7,$U$2:$U$5)-SUMIF($R$2:$R$5,A7,$U$2:$U$5)</f>
        <v/>
      </c>
      <c r="D7" s="16">
        <f>PriorityWeights!K2</f>
        <v/>
      </c>
      <c r="E7" s="16" t="n">
        <v>0.133</v>
      </c>
      <c r="F7" s="16" t="n">
        <v>0</v>
      </c>
    </row>
    <row r="8" ht="15.75" customHeight="1" s="15">
      <c r="A8" s="16" t="inlineStr">
        <is>
          <t>Hospital</t>
        </is>
      </c>
      <c r="B8" s="16">
        <f>MAX(0,D8+C8+F8)/SUMPRODUCT((D$6:D$15+C$6:C$15+F$6:F$15&gt;0)*(D$6:D$15+C$6:C$15+F$6:F$15))</f>
        <v/>
      </c>
      <c r="C8" s="16">
        <f>SUMIF($Q$2:$Q$5,A8,$U$2:$U$5)-SUMIF($R$2:$R$5,A8,$U$2:$U$5)</f>
        <v/>
      </c>
      <c r="D8" s="16">
        <f>PriorityWeights!K6</f>
        <v/>
      </c>
      <c r="E8" s="16" t="n">
        <v>0.133</v>
      </c>
      <c r="F8" s="16" t="n">
        <v>0</v>
      </c>
    </row>
    <row r="9" ht="15.75" customHeight="1" s="15">
      <c r="A9" s="16" t="inlineStr">
        <is>
          <t>Indian community</t>
        </is>
      </c>
      <c r="B9" s="16">
        <f>MAX(0,D9+C9+F9)/SUMPRODUCT((D$6:D$15+C$6:C$15+F$6:F$15&gt;0)*(D$6:D$15+C$6:C$15+F$6:F$15))</f>
        <v/>
      </c>
      <c r="C9" s="16">
        <f>SUMIF($Q$2:$Q$5,A9,$U$2:$U$5)-SUMIF($R$2:$R$5,A9,$U$2:$U$5)</f>
        <v/>
      </c>
      <c r="D9" s="16">
        <f>PriorityWeights!K4</f>
        <v/>
      </c>
      <c r="E9" s="16" t="n">
        <v>0.117</v>
      </c>
      <c r="F9" s="16" t="n">
        <v>0</v>
      </c>
    </row>
    <row r="10" ht="15.75" customHeight="1" s="15">
      <c r="A10" s="16" t="inlineStr">
        <is>
          <t>Shops &amp; doctor</t>
        </is>
      </c>
      <c r="B10" s="16">
        <f>MAX(0,D10+C10+F10)/SUMPRODUCT((D$6:D$15+C$6:C$15+F$6:F$15&gt;0)*(D$6:D$15+C$6:C$15+F$6:F$15))</f>
        <v/>
      </c>
      <c r="C10" s="16">
        <f>SUMIF($Q$2:$Q$5,A10,$U$2:$U$5)-SUMIF($R$2:$R$5,A10,$U$2:$U$5)</f>
        <v/>
      </c>
      <c r="D10" s="16">
        <f>PriorityWeights!K8</f>
        <v/>
      </c>
      <c r="E10" s="16" t="n">
        <v>0.108</v>
      </c>
      <c r="F10" s="16" t="n">
        <v>0</v>
      </c>
    </row>
    <row r="11" ht="15.75" customHeight="1" s="15">
      <c r="A11" s="16" t="inlineStr">
        <is>
          <t>Village character</t>
        </is>
      </c>
      <c r="B11" s="16">
        <f>MAX(0,D11+C11+F11)/SUMPRODUCT((D$6:D$15+C$6:C$15+F$6:F$15&gt;0)*(D$6:D$15+C$6:C$15+F$6:F$15))</f>
        <v/>
      </c>
      <c r="C11" s="16">
        <f>SUMIF($Q$2:$Q$5,A11,$U$2:$U$5)-SUMIF($R$2:$R$5,A11,$U$2:$U$5)</f>
        <v/>
      </c>
      <c r="D11" s="16">
        <f>PriorityWeights!K9</f>
        <v/>
      </c>
      <c r="E11" s="16" t="n">
        <v>0.08799999999999999</v>
      </c>
      <c r="F11" s="16" t="n">
        <v>0</v>
      </c>
    </row>
    <row r="12" ht="15.75" customHeight="1" s="15">
      <c r="A12" s="16" t="inlineStr">
        <is>
          <t>Train/bus</t>
        </is>
      </c>
      <c r="B12" s="16">
        <f>MAX(0,D12+C12+F12)/SUMPRODUCT((D$6:D$15+C$6:C$15+F$6:F$15&gt;0)*(D$6:D$15+C$6:C$15+F$6:F$15))</f>
        <v/>
      </c>
      <c r="C12" s="16">
        <f>SUMIF($Q$2:$Q$5,A12,$U$2:$U$5)-SUMIF($R$2:$R$5,A12,$U$2:$U$5)</f>
        <v/>
      </c>
      <c r="D12" s="16">
        <f>PriorityWeights!K7</f>
        <v/>
      </c>
      <c r="E12" s="16" t="n">
        <v>0.081</v>
      </c>
      <c r="F12" s="16" t="n">
        <v>0</v>
      </c>
    </row>
    <row r="13" ht="15.75" customHeight="1" s="15">
      <c r="A13" s="16" t="inlineStr">
        <is>
          <t>Price</t>
        </is>
      </c>
      <c r="B13" s="16">
        <f>MAX(0,D13+C13+F13)/SUMPRODUCT((D$6:D$15+C$6:C$15+F$6:F$15&gt;0)*(D$6:D$15+C$6:C$15+F$6:F$15))</f>
        <v/>
      </c>
      <c r="C13" s="16">
        <f>SUMIF($Q$2:$Q$5,A13,$U$2:$U$5)-SUMIF($R$2:$R$5,A13,$U$2:$U$5)</f>
        <v/>
      </c>
      <c r="D13" s="16">
        <f>PriorityWeights!K10</f>
        <v/>
      </c>
      <c r="E13" s="16" t="n">
        <v>0.081</v>
      </c>
      <c r="F13" s="16" t="n">
        <v>0</v>
      </c>
    </row>
    <row r="14" ht="15.75" customHeight="1" s="15">
      <c r="A14" s="16" t="inlineStr">
        <is>
          <t>Beach</t>
        </is>
      </c>
      <c r="B14" s="16">
        <f>MAX(0,D14+C14+F14)/SUMPRODUCT((D$6:D$15+C$6:C$15+F$6:F$15&gt;0)*(D$6:D$15+C$6:C$15+F$6:F$15))</f>
        <v/>
      </c>
      <c r="C14" s="16">
        <f>SUMIF($Q$2:$Q$5,A14,$U$2:$U$5)-SUMIF($R$2:$R$5,A14,$U$2:$U$5)</f>
        <v/>
      </c>
      <c r="D14" s="16">
        <f>PriorityWeights!K5</f>
        <v/>
      </c>
      <c r="E14" s="16" t="n">
        <v>0.061</v>
      </c>
      <c r="F14" s="16" t="n">
        <v>0</v>
      </c>
    </row>
    <row r="15" ht="15.75" customHeight="1" s="15">
      <c r="A15" s="16" t="inlineStr">
        <is>
          <t>City trip</t>
        </is>
      </c>
      <c r="B15" s="16">
        <f>MAX(0,D15+C15+F15)/SUMPRODUCT((D$6:D$15+C$6:C$15+F$6:F$15&gt;0)*(D$6:D$15+C$6:C$15+F$6:F$15))</f>
        <v/>
      </c>
      <c r="C15" s="16">
        <f>SUMIF($Q$2:$Q$5,A15,$U$2:$U$5)-SUMIF($R$2:$R$5,A15,$U$2:$U$5)</f>
        <v/>
      </c>
      <c r="D15" s="16">
        <f>PriorityWeights!K11</f>
        <v/>
      </c>
      <c r="E15" s="16" t="n">
        <v>0.045</v>
      </c>
      <c r="F15" s="16" t="n">
        <v>0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= survey weight (D) + live trade-off correction (C, rule from survey blueprint: winner moved 2 pts ahead of loser) + manual tweak (F), floored at 0 and renormalised. E = old typed weights.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X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" customWidth="1" style="15" min="37" max="37"/>
    <col width="13" customWidth="1" style="15" min="38" max="38"/>
    <col width="13" customWidth="1" style="15" min="39" max="39"/>
    <col width="13" customWidth="1" style="15" min="40" max="40"/>
    <col width="13" customWidth="1" style="15" min="41" max="41"/>
    <col width="13" customWidth="1" style="15" min="42" max="42"/>
    <col width="13" customWidth="1" style="15" min="43" max="43"/>
    <col width="13" customWidth="1" style="15" min="44" max="44"/>
    <col width="13" customWidth="1" style="15" min="45" max="45"/>
    <col width="13" customWidth="1" style="15" min="46" max="46"/>
    <col width="13" customWidth="1" style="15" min="47" max="47"/>
    <col width="30" customWidth="1" style="15" min="48" max="48"/>
    <col width="30" customWidth="1" style="15" min="49" max="49"/>
    <col width="16" customWidth="1" style="15" min="50" max="50"/>
  </cols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  <c r="AK1" s="23" t="inlineStr">
        <is>
          <t>ABS SAL code (2021)</t>
        </is>
      </c>
      <c r="AL1" s="23" t="inlineStr">
        <is>
          <t>Population (ABS 2021)</t>
        </is>
      </c>
      <c r="AM1" s="23" t="inlineStr">
        <is>
          <t>Median age</t>
        </is>
      </c>
      <c r="AN1" s="23" t="inlineStr">
        <is>
          <t>% aged 65+</t>
        </is>
      </c>
      <c r="AO1" s="23" t="inlineStr">
        <is>
          <t>% born overseas (of all people)</t>
        </is>
      </c>
      <c r="AP1" s="23" t="inlineStr">
        <is>
          <t>% birthplace not stated</t>
        </is>
      </c>
      <c r="AQ1" s="23" t="inlineStr">
        <is>
          <t>% born in India</t>
        </is>
      </c>
      <c r="AR1" s="23" t="inlineStr">
        <is>
          <t>% Indian ancestry</t>
        </is>
      </c>
      <c r="AS1" s="23" t="inlineStr">
        <is>
          <t>% Hinduism</t>
        </is>
      </c>
      <c r="AT1" s="23" t="inlineStr">
        <is>
          <t>% Sikhism</t>
        </is>
      </c>
      <c r="AU1" s="23" t="inlineStr">
        <is>
          <t>% other language at home</t>
        </is>
      </c>
      <c r="AV1" s="23" t="inlineStr">
        <is>
          <t>Top 3 languages other than English (% of people)</t>
        </is>
      </c>
      <c r="AW1" s="23" t="inlineStr">
        <is>
          <t>Demography source and caveats</t>
        </is>
      </c>
      <c r="AX1" s="23" t="inlineStr">
        <is>
          <t>Community comparison band (display-only)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  <c r="AK2" s="22" t="inlineStr">
        <is>
          <t>SAL20252</t>
        </is>
      </c>
      <c r="AL2" s="32" t="n">
        <v>14478</v>
      </c>
      <c r="AM2" s="22" t="n">
        <v>41</v>
      </c>
      <c r="AN2" s="33" t="n">
        <v>0.185</v>
      </c>
      <c r="AO2" s="33" t="n">
        <v>0.324</v>
      </c>
      <c r="AP2" s="33" t="n">
        <v>0.03</v>
      </c>
      <c r="AQ2" s="33" t="n">
        <v>0.043</v>
      </c>
      <c r="AR2" s="33" t="n">
        <v>0.048</v>
      </c>
      <c r="AS2" s="33" t="n">
        <v>0.035</v>
      </c>
      <c r="AT2" s="33" t="n">
        <v>0.011</v>
      </c>
      <c r="AU2" s="33" t="n">
        <v>0.279</v>
      </c>
      <c r="AV2" s="22" t="inlineStr">
        <is>
          <t>Mandarin 10.4%; Cantonese 3.2%; Hindi 1.3%</t>
        </is>
      </c>
      <c r="AW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" s="22">
        <f>IF(AU2="","",IF(OR(AU2&gt;=0.5,AQ2&gt;=0.08),"High",IF(OR(AU2&gt;=0.3,AQ2&gt;=0.04),"Medium","Low")))</f>
        <v/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>
        <f>IF(J3="","",ROUND(MAX(0,10*(1-J3/Filters!$B$4)),1))</f>
        <v/>
      </c>
      <c r="N3" s="19" t="n">
        <v>4</v>
      </c>
      <c r="O3" s="19">
        <f>IF(K3="","",ROUND(MAX(0,10*(1-K3/Filters!$B$5)),1))</f>
        <v/>
      </c>
      <c r="P3" s="19" t="n">
        <v>6</v>
      </c>
      <c r="Q3" s="19" t="n">
        <v>10</v>
      </c>
      <c r="R3" s="19" t="n">
        <v>3</v>
      </c>
      <c r="S3" s="19" t="n">
        <v>9</v>
      </c>
      <c r="T3" s="19">
        <f>IF(G3="","",ROUND(MAX(0,MIN(10,10*(Filters!$B$2-G3)/(Filters!$B$2-500000))),1))</f>
        <v/>
      </c>
      <c r="U3" s="19" t="n">
        <v>0</v>
      </c>
      <c r="V3" s="19" t="n">
        <v>7</v>
      </c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19,144; 20 km E of CBD [Wikipedia Ringwood] (23 km per Victorian Places). Train: major hub; Ringwood station is the junction of the Lilydale and Belgrave lines; Heatherdale station also in the suburb; many bus routes [Wikipedia]; S 9 consistent. Shops: Eastland Shopping Centre (opened 1967, redeveloped) and Ringwood Town Square [Wikipedia; Victorian Places]; Q 10 consistent. Nature: Ringwood Lake 8.5 ha park with a bushland walking circuit; Jubilee Park [Wikipedia; Victorian Places]; N 4 consistent. Village: commercial centre on a highway with bypass routes [Victorian Places]; R 3 consistent. Indian community: India-born 3.2% (618), Indian ancestry 3.7%, Hinduism 2.7%, Sikhism 0.7% [ABS 2021 GCP SAL22174]; P 6 generous next to Berwick 7 at 6.1% (4-5 arguable). City trip: 20 km by train; journey time not stated; V 7 estimate. NOT checked: GPs, journey time. Scores unchanged.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  <c r="AK3" s="22" t="inlineStr">
        <is>
          <t>SAL22174</t>
        </is>
      </c>
      <c r="AL3" s="32" t="n">
        <v>19144</v>
      </c>
      <c r="AM3" s="22" t="n">
        <v>38</v>
      </c>
      <c r="AN3" s="33" t="n">
        <v>0.172</v>
      </c>
      <c r="AO3" s="33" t="n">
        <v>0.357</v>
      </c>
      <c r="AP3" s="33" t="n">
        <v>0.034</v>
      </c>
      <c r="AQ3" s="33" t="n">
        <v>0.032</v>
      </c>
      <c r="AR3" s="33" t="n">
        <v>0.03700000000000001</v>
      </c>
      <c r="AS3" s="33" t="n">
        <v>0.027</v>
      </c>
      <c r="AT3" s="33" t="n">
        <v>0.006999999999999999</v>
      </c>
      <c r="AU3" s="33" t="n">
        <v>0.316</v>
      </c>
      <c r="AV3" s="22" t="inlineStr">
        <is>
          <t>Mandarin 9.0%; Cantonese 3.2%; Persian 1.5%</t>
        </is>
      </c>
      <c r="AW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3" s="22">
        <f>IF(AU3="","",IF(OR(AU3&gt;=0.5,AQ3&gt;=0.08),"High",IF(OR(AU3&gt;=0.3,AQ3&gt;=0.04),"Medium","Low")))</f>
        <v/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>
        <f>IF(J4="","",ROUND(MAX(0,10*(1-J4/Filters!$B$4)),1))</f>
        <v/>
      </c>
      <c r="N4" s="19" t="n">
        <v>6</v>
      </c>
      <c r="O4" s="19">
        <f>IF(K4="","",ROUND(MAX(0,10*(1-K4/Filters!$B$5)),1))</f>
        <v/>
      </c>
      <c r="P4" s="19" t="n">
        <v>5</v>
      </c>
      <c r="Q4" s="19" t="n">
        <v>8</v>
      </c>
      <c r="R4" s="19" t="n">
        <v>4</v>
      </c>
      <c r="S4" s="19" t="n">
        <v>8</v>
      </c>
      <c r="T4" s="19">
        <f>IF(G4="","",ROUND(MAX(0,MIN(10,10*(Filters!$B$2-G4)/(Filters!$B$2-500000))),1))</f>
        <v/>
      </c>
      <c r="U4" s="19" t="n">
        <v>0</v>
      </c>
      <c r="V4" s="19" t="n">
        <v>8</v>
      </c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7,360; 11 km NE of CBD, City of Banyule [Wikipedia Heidelberg]. Hospital: Austin Hospital (with Mercy Hospital for Women) is in the suburb [Wikipedia]. Shops: Heidelberg Central (Burgundy St) 'over 230 retail and professional businesses'; Warringal Shopping Centre [Wikipedia]; Q 8 consistent (9 arguable). Train: station at the west end of Burgundy St [Victorian Places]; Hurstbridge line [AC]; S 8 consistent. Nature: eastern flank is the Yarra Flats and Warringal wetlands [Victorian Places]; N 6 consistent. Village: old Waringal village core (St John's 1849, Old England Hotel 1848) but now 'a mature suburb' dominated by the hospital [Victorian Places]; R 4 consistent. Indian community: India-born 3.0%, Indian ancestry 3.5%, Hinduism 2.9% [ABS 2021 GCP SAL21167]; P 5 consistent. City trip: 11 km by train; V 8 consistent. NOT checked: supermarket name, GPs, journey time. Victorian Places gives '2 km', an error; Wikipedia 11 km used. Scores unchanged.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  <c r="AK4" s="22" t="inlineStr">
        <is>
          <t>SAL21167</t>
        </is>
      </c>
      <c r="AL4" s="32" t="n">
        <v>7360</v>
      </c>
      <c r="AM4" s="22" t="n">
        <v>39</v>
      </c>
      <c r="AN4" s="33" t="n">
        <v>0.179</v>
      </c>
      <c r="AO4" s="33" t="n">
        <v>0.281</v>
      </c>
      <c r="AP4" s="33" t="n">
        <v>0.042</v>
      </c>
      <c r="AQ4" s="33" t="n">
        <v>0.03</v>
      </c>
      <c r="AR4" s="33" t="n">
        <v>0.035</v>
      </c>
      <c r="AS4" s="33" t="n">
        <v>0.029</v>
      </c>
      <c r="AT4" s="33" t="n">
        <v>0.002</v>
      </c>
      <c r="AU4" s="33" t="n">
        <v>0.237</v>
      </c>
      <c r="AV4" s="22" t="inlineStr">
        <is>
          <t>Italian 2.7%; Mandarin 2.7%; Greek 1.8%</t>
        </is>
      </c>
      <c r="AW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" s="22">
        <f>IF(AU4="","",IF(OR(AU4&gt;=0.5,AQ4&gt;=0.08),"High",IF(OR(AU4&gt;=0.3,AQ4&gt;=0.04),"Medium","Low")))</f>
        <v/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>
        <f>IF(J5="","",ROUND(MAX(0,10*(1-J5/Filters!$B$4)),1))</f>
        <v/>
      </c>
      <c r="N5" s="19" t="n">
        <v>8</v>
      </c>
      <c r="O5" s="19">
        <f>IF(K5="","",ROUND(MAX(0,10*(1-K5/Filters!$B$5)),1))</f>
        <v/>
      </c>
      <c r="P5" s="19" t="n">
        <v>3</v>
      </c>
      <c r="Q5" s="19" t="n">
        <v>8</v>
      </c>
      <c r="R5" s="19" t="n">
        <v>7</v>
      </c>
      <c r="S5" s="19" t="n">
        <v>8</v>
      </c>
      <c r="T5" s="19">
        <f>IF(G5="","",ROUND(MAX(0,MIN(10,10*(Filters!$B$2-G5)/(Filters!$B$2-500000))),1))</f>
        <v/>
      </c>
      <c r="U5" s="19" t="n">
        <v>0</v>
      </c>
      <c r="V5" s="19" t="n">
        <v>7</v>
      </c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18,847; 20 km NE of CBD, Shire of Nillumbik [Wikipedia Eltham]. Nature: green wedge leaves 'extensive areas undeveloped within and to three sides of the suburb'; Barak Bushlands, Laughing Waters bushland (riparian and open forest), Diamond Creek Trail, Maroondah Aqueduct Trail [Wikipedia]; N 8 consistent. Village: central shopping strip on Main Road, Sunday farmers' market, Montsalvat artists' colony, mud-brick heritage (Alistair Knox) [Wikipedia]; R 7 consistent. Train: Eltham station, Hurstbridge line; major bus interchange (SmartBus 902 etc.) [Wikipedia]; S 8 consistent. Shops: supermarket not named; Q 8 estimate. Indian community: India-born 0.7%, Hinduism 0.6% [ABS 2021 GCP SAL20865]; P 3 generous (2 arguable). City trip: 20 km by train; V 7 estimate. NOT checked: GPs, supermarket, journey time. Scores unchanged.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  <c r="AK5" s="22" t="inlineStr">
        <is>
          <t>SAL20865</t>
        </is>
      </c>
      <c r="AL5" s="32" t="n">
        <v>18847</v>
      </c>
      <c r="AM5" s="22" t="n">
        <v>43</v>
      </c>
      <c r="AN5" s="33" t="n">
        <v>0.185</v>
      </c>
      <c r="AO5" s="33" t="n">
        <v>0.185</v>
      </c>
      <c r="AP5" s="33" t="n">
        <v>0.024</v>
      </c>
      <c r="AQ5" s="33" t="n">
        <v>0.006999999999999999</v>
      </c>
      <c r="AR5" s="33" t="n">
        <v>0.013</v>
      </c>
      <c r="AS5" s="33" t="n">
        <v>0.006</v>
      </c>
      <c r="AT5" s="33" t="n">
        <v>0.001</v>
      </c>
      <c r="AU5" s="33" t="n">
        <v>0.105</v>
      </c>
      <c r="AV5" s="22" t="inlineStr">
        <is>
          <t>Mandarin 1.6%; Italian 1.0%; Greek 0.9%</t>
        </is>
      </c>
      <c r="AW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" s="22">
        <f>IF(AU5="","",IF(OR(AU5&gt;=0.5,AQ5&gt;=0.08),"High",IF(OR(AU5&gt;=0.3,AQ5&gt;=0.04),"Medium","Low")))</f>
        <v/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>
        <f>IF(J6="","",ROUND(MAX(0,10*(1-J6/Filters!$B$4)),1))</f>
        <v/>
      </c>
      <c r="N6" s="19" t="n">
        <v>8</v>
      </c>
      <c r="O6" s="19">
        <f>IF(K6="","",ROUND(MAX(0,10*(1-K6/Filters!$B$5)),1))</f>
        <v/>
      </c>
      <c r="P6" s="19" t="n">
        <v>5</v>
      </c>
      <c r="Q6" s="19" t="n">
        <v>6</v>
      </c>
      <c r="R6" s="19" t="n">
        <v>5</v>
      </c>
      <c r="S6" s="19" t="n">
        <v>7</v>
      </c>
      <c r="T6" s="19">
        <f>IF(G6="","",ROUND(MAX(0,MIN(10,10*(Filters!$B$2-G6)/(Filters!$B$2-500000))),1))</f>
        <v/>
      </c>
      <c r="U6" s="19" t="n">
        <v>0</v>
      </c>
      <c r="V6" s="19" t="n">
        <v>6</v>
      </c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 | SCORES 27 Oct 2026: M (near family) and T (price) are formulas from J and G; O from K. N, P, Q, R, S, U, V are ESTIMATES (Claude, general knowledge, not site-checked); S also rests on train Yes/No marked 'verify'. Price = postcode-level AVM shared with FTG. | CHECKED 27 Oct 2026, source run C1 (suburb level; Wikipedia, Victorian Places, ABS 2021 GCP DataPack). Pop 3,417; 32 km E of CBD [Wikipedia Upper Ferntree Gully]. Nature: Ferntree Gully Park (Dandenong Ranges National Park) incl. the '1,000 steps' Kokoda walk; Ferny Creek reserves [Wikipedia]; N 8 consistent. Hospital: Angliss Hospital is in the suburb, with medical consulting rooms nearby [Wikipedia]. Shops: 'limited retail outlets (mainly food, hairdressing, banking, chemist, post office)' along Burwood Hwy; Ferntree Plaza the largest centre [Wikipedia]; Q 6 consistent. Village: highway strip with used-car yards [Wikipedia]; R 5 consistent. Train: station on the Belgrave line [AC]; S 7 not re-checked. Indian community: India-born 1.0%, Hinduism 0.3% [ABS 2021 GCP SAL22614]; P 5 not supported (2 arguable). City trip: 32 km by train; V 6 estimate. NOT checked: GPs by name, supermarket, journey time. Scores unchanged.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  <c r="AK6" s="22" t="inlineStr">
        <is>
          <t>SAL22614</t>
        </is>
      </c>
      <c r="AL6" s="32" t="n">
        <v>3417</v>
      </c>
      <c r="AM6" s="22" t="n">
        <v>41</v>
      </c>
      <c r="AN6" s="33" t="n">
        <v>0.184</v>
      </c>
      <c r="AO6" s="33" t="n">
        <v>0.192</v>
      </c>
      <c r="AP6" s="33" t="n">
        <v>0.036</v>
      </c>
      <c r="AQ6" s="33" t="n">
        <v>0.01</v>
      </c>
      <c r="AR6" s="33" t="n">
        <v>0.014</v>
      </c>
      <c r="AS6" s="33" t="n">
        <v>0.003</v>
      </c>
      <c r="AT6" s="33" t="n">
        <v>0</v>
      </c>
      <c r="AU6" s="33" t="n">
        <v>0.083</v>
      </c>
      <c r="AV6" s="22" t="inlineStr">
        <is>
          <t>German 1.2%; Greek 0.8%; Mandarin 0.7%</t>
        </is>
      </c>
      <c r="AW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" s="22">
        <f>IF(AU6="","",IF(OR(AU6&gt;=0.5,AQ6&gt;=0.08),"High",IF(OR(AU6&gt;=0.3,AQ6&gt;=0.04),"Medium","Low")))</f>
        <v/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1675000</v>
      </c>
      <c r="H7" s="18" t="inlineStr">
        <is>
          <t>Sale median, all bedrooms, 12 months (442 sales); unit $930k</t>
        </is>
      </c>
      <c r="I7" s="18" t="n">
        <v>1775500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 C 29 Oct 2026: G7 $1,675,000 and H7 442 sales from the realestate.com.au Glen Waverley suburb profile (house median, all bedrooms, past 12 months; figure read by the user 29 Oct 2026), CHECKED. Replaces $1,763,500 (454 sales; no source named). Cross-checks: REIV $1,750,000 (1 Jul 2025-30 Jun 2026, via the 5 Northam St Statement of Information); Jellis Craig $1.68m (rolling 12 months, read 28 Oct 2026); realestate.com.au 4-bed median $1,603,000 (Oct 2025-Sep 2026, 175 sales).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29 Oct 2026</t>
        </is>
      </c>
      <c r="AI7" s="22" t="inlineStr">
        <is>
          <t>Needs data</t>
        </is>
      </c>
      <c r="AJ7" s="22" t="inlineStr">
        <is>
          <t>House median $1.68M (442 sales, realestate.com.au) exceeds $1.5M cap; unit median $930k. Awaiting documented search for suitable single-level homes/units under $1.5M.</t>
        </is>
      </c>
      <c r="AK7" s="22" t="inlineStr">
        <is>
          <t>SAL21013</t>
        </is>
      </c>
      <c r="AL7" s="32" t="n">
        <v>42642</v>
      </c>
      <c r="AM7" s="22" t="n">
        <v>40</v>
      </c>
      <c r="AN7" s="33" t="n">
        <v>0.198</v>
      </c>
      <c r="AO7" s="33" t="n">
        <v>0.5870000000000001</v>
      </c>
      <c r="AP7" s="33" t="n">
        <v>0.033</v>
      </c>
      <c r="AQ7" s="33" t="n">
        <v>0.08</v>
      </c>
      <c r="AR7" s="33" t="n">
        <v>0.096</v>
      </c>
      <c r="AS7" s="33" t="n">
        <v>0.098</v>
      </c>
      <c r="AT7" s="33" t="n">
        <v>0.009000000000000001</v>
      </c>
      <c r="AU7" s="33" t="n">
        <v>0.608</v>
      </c>
      <c r="AV7" s="22" t="inlineStr">
        <is>
          <t>Mandarin 23.3%; Cantonese 8.0%; Sinhalese 4.0%</t>
        </is>
      </c>
      <c r="AW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" s="22">
        <f>IF(AU7="","",IF(OR(AU7&gt;=0.5,AQ7&gt;=0.08),"High",IF(OR(AU7&gt;=0.3,AQ7&gt;=0.04),"Medium","Low")))</f>
        <v/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>
        <f>IF(J8="","",ROUND(MAX(0,10*(1-J8/Filters!$B$4)),1))</f>
        <v/>
      </c>
      <c r="N8" s="19" t="n">
        <v>9</v>
      </c>
      <c r="O8" s="19">
        <f>IF(K8="","",ROUND(MAX(0,10*(1-K8/Filters!$B$5)),1))</f>
        <v/>
      </c>
      <c r="P8" s="19" t="n">
        <v>3</v>
      </c>
      <c r="Q8" s="19" t="n">
        <v>6</v>
      </c>
      <c r="R8" s="19" t="n">
        <v>8</v>
      </c>
      <c r="S8" s="19" t="n">
        <v>3</v>
      </c>
      <c r="T8" s="19">
        <f>IF(G8="","",ROUND(MAX(0,MIN(10,10*(Filters!$B$2-G8)/(Filters!$B$2-500000))),1))</f>
        <v/>
      </c>
      <c r="U8" s="19" t="n">
        <v>0</v>
      </c>
      <c r="V8" s="19" t="n">
        <v>4</v>
      </c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5,541; 24 km NE of CBD on the Yarra River; town 'nestled into a gorge on the river' [Wikipedia Warrandyte]. Nature: Warrandyte State Park (Pound Bend, Fourth Hill, Black Flat, Mount Lofty), river swimming, canoeing, bushwalking, many reserves incl. Currawong Bush Park [Wikipedia]; N 9 consistent. Village: surviving colonial-era buildings, shops on Yarra St near the bridge, Mechanics' Institute arts community [Wikipedia]; R 8 consistent. Shops: Goldfields Shopping Centre plus Yarra St shops [Wikipedia]; supermarket not named; Q 6 estimate. Train: no station in either source; S 3 consistent (bus 906 not checked). Two community-run micro-retirement villages [Wikipedia]. Indian community: India-born 0.7%, Hinduism 0.7% [ABS 2021 GCP SAL22702]; P 3 generous (2 arguable). City trip: 24 km but no rail; V 4 estimate. NOT checked: GPs, bus, journey time, bushfire overlay. Scores unchanged.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  <c r="AK8" s="22" t="inlineStr">
        <is>
          <t>SAL22702</t>
        </is>
      </c>
      <c r="AL8" s="32" t="n">
        <v>5541</v>
      </c>
      <c r="AM8" s="22" t="n">
        <v>45</v>
      </c>
      <c r="AN8" s="33" t="n">
        <v>0.176</v>
      </c>
      <c r="AO8" s="33" t="n">
        <v>0.202</v>
      </c>
      <c r="AP8" s="33" t="n">
        <v>0.024</v>
      </c>
      <c r="AQ8" s="33" t="n">
        <v>0.006999999999999999</v>
      </c>
      <c r="AR8" s="33" t="n">
        <v>0.015</v>
      </c>
      <c r="AS8" s="33" t="n">
        <v>0.006999999999999999</v>
      </c>
      <c r="AT8" s="33" t="n">
        <v>0.004</v>
      </c>
      <c r="AU8" s="33" t="n">
        <v>0.13</v>
      </c>
      <c r="AV8" s="22" t="inlineStr">
        <is>
          <t>Mandarin 2.9%; Greek 1.7%; Italian 1.6%</t>
        </is>
      </c>
      <c r="AW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8" s="22">
        <f>IF(AU8="","",IF(OR(AU8&gt;=0.5,AQ8&gt;=0.08),"High",IF(OR(AU8&gt;=0.3,AQ8&gt;=0.04),"Medium","Low")))</f>
        <v/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>
        <f>IF(J9="","",ROUND(MAX(0,10*(1-J9/Filters!$B$4)),1))</f>
        <v/>
      </c>
      <c r="N9" s="19" t="n">
        <v>7</v>
      </c>
      <c r="O9" s="19">
        <f>IF(K9="","",ROUND(MAX(0,10*(1-K9/Filters!$B$5)),1))</f>
        <v/>
      </c>
      <c r="P9" s="19" t="n">
        <v>2</v>
      </c>
      <c r="Q9" s="19" t="n">
        <v>7</v>
      </c>
      <c r="R9" s="19" t="n">
        <v>6</v>
      </c>
      <c r="S9" s="19" t="n">
        <v>7</v>
      </c>
      <c r="T9" s="19">
        <f>IF(G9="","",ROUND(MAX(0,MIN(10,10*(Filters!$B$2-G9)/(Filters!$B$2-500000))),1))</f>
        <v/>
      </c>
      <c r="U9" s="19" t="n">
        <v>0</v>
      </c>
      <c r="V9" s="19" t="n">
        <v>6</v>
      </c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12,503; 23 km NE of CBD, Shire of Nillumbik [Wikipedia Diamond Creek]. Train: shopping centre and station sit on the banks of the Diamond Creek; Hurstbridge line [Wikipedia]; S 7 consistent. Shops: a shopping centre near the station and a second centre across the line [Victorian Places]; Q 7 consistent (supermarket not named). Nature: creek corridor and the large Diamond Creek reserve [Victorian Places]; N 7 consistent. Village: 'a pleasant backwater' that grew suburban from the 1970s; heritage St John's (c1867) [Victorian Places; Wikipedia]; R 6 consistent. Community centre was a 2009 bushfire evacuation point [Wikipedia]. Indian community: India-born 0.7%, Hinduism 0.7% [ABS 2021 GCP SAL20752]; P 2 consistent. City trip: 23 km by train; V 6 estimate. NOT checked: GPs, supermarket, journey time. Scores unchanged.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  <c r="AK9" s="22" t="inlineStr">
        <is>
          <t>SAL20752</t>
        </is>
      </c>
      <c r="AL9" s="32" t="n">
        <v>12503</v>
      </c>
      <c r="AM9" s="22" t="n">
        <v>39</v>
      </c>
      <c r="AN9" s="33" t="n">
        <v>0.131</v>
      </c>
      <c r="AO9" s="33" t="n">
        <v>0.146</v>
      </c>
      <c r="AP9" s="33" t="n">
        <v>0.022</v>
      </c>
      <c r="AQ9" s="33" t="n">
        <v>0.006999999999999999</v>
      </c>
      <c r="AR9" s="33" t="n">
        <v>0.011</v>
      </c>
      <c r="AS9" s="33" t="n">
        <v>0.006999999999999999</v>
      </c>
      <c r="AT9" s="33" t="n">
        <v>0.002</v>
      </c>
      <c r="AU9" s="33" t="n">
        <v>0.08699999999999999</v>
      </c>
      <c r="AV9" s="22" t="inlineStr">
        <is>
          <t>Italian 1.2%; Greek 0.7%; Mandarin 0.7%</t>
        </is>
      </c>
      <c r="AW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9" s="22">
        <f>IF(AU9="","",IF(OR(AU9&gt;=0.5,AQ9&gt;=0.08),"High",IF(OR(AU9&gt;=0.3,AQ9&gt;=0.04),"Medium","Low")))</f>
        <v/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>
        <f>IF(J10="","",ROUND(MAX(0,10*(1-J10/Filters!$B$4)),1))</f>
        <v/>
      </c>
      <c r="N10" s="19" t="n">
        <v>4</v>
      </c>
      <c r="O10" s="19">
        <f>IF(K10="","",ROUND(MAX(0,10*(1-K10/Filters!$B$5)),1))</f>
        <v/>
      </c>
      <c r="P10" s="19" t="n">
        <v>5</v>
      </c>
      <c r="Q10" s="19" t="n">
        <v>9</v>
      </c>
      <c r="R10" s="19" t="n">
        <v>6</v>
      </c>
      <c r="S10" s="19" t="n">
        <v>8</v>
      </c>
      <c r="T10" s="19">
        <f>IF(G10="","",ROUND(MAX(0,MIN(10,10*(Filters!$B$2-G10)/(Filters!$B$2-500000))),1))</f>
        <v/>
      </c>
      <c r="U10" s="19" t="n">
        <v>9</v>
      </c>
      <c r="V10" s="19" t="n">
        <v>8</v>
      </c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Mentone Beach + lifesaving club; Woolworths at Thrift Park; Southland next door (Wikipedia Mentone). GPs: Mentone Medical Clinic, St Kerellos Medical Centre (healthdirect). N, P, R, V remain estimates. | CHECKED 27 Oct 2026, second pass (N, P, R, V; suburb level). Nature: Mentone Beach along Beaumaris Bay [Wikipedia Mentone]; no bushland or large reserve named; N 4 consistent. Village: 'lively shopping area' on Como Pde West, Balcombe Rd, Mentone Pde with cafés, bakeries, bookshops; Mediterranean-named 1880s township streets [Wikipedia; Victorian Places]; R 6 consistent. Indian community: India-born 1.9%, Indian ancestry 2.5%, Hinduism 1.7% [ABS 2021 GCP SAL21648]; P 5 generous (3 arguable). City trip: 21-22 km SE on the Frankston line [Wikipedia; Victorian Places]; journey time not stated; V 8 plausible. Scores unchanged.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line, rebuilt 2020 (checked: Wikipedia Mentone)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  <c r="AK10" s="22" t="inlineStr">
        <is>
          <t>SAL21648</t>
        </is>
      </c>
      <c r="AL10" s="32" t="n">
        <v>13197</v>
      </c>
      <c r="AM10" s="22" t="n">
        <v>42</v>
      </c>
      <c r="AN10" s="33" t="n">
        <v>0.196</v>
      </c>
      <c r="AO10" s="33" t="n">
        <v>0.288</v>
      </c>
      <c r="AP10" s="33" t="n">
        <v>0.025</v>
      </c>
      <c r="AQ10" s="33" t="n">
        <v>0.019</v>
      </c>
      <c r="AR10" s="33" t="n">
        <v>0.025</v>
      </c>
      <c r="AS10" s="33" t="n">
        <v>0.017</v>
      </c>
      <c r="AT10" s="33" t="n">
        <v>0.002</v>
      </c>
      <c r="AU10" s="33" t="n">
        <v>0.198</v>
      </c>
      <c r="AV10" s="22" t="inlineStr">
        <is>
          <t>Greek 3.5%; Mandarin 3.0%; Russian 1.5%</t>
        </is>
      </c>
      <c r="AW1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0" s="22">
        <f>IF(AU10="","",IF(OR(AU10&gt;=0.5,AQ10&gt;=0.08),"High",IF(OR(AU10&gt;=0.3,AQ10&gt;=0.04),"Medium","Low")))</f>
        <v/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>
        <f>IF(J11="","",ROUND(MAX(0,10*(1-J11/Filters!$B$4)),1))</f>
        <v/>
      </c>
      <c r="N11" s="19" t="n">
        <v>6</v>
      </c>
      <c r="O11" s="19">
        <f>IF(K11="","",ROUND(MAX(0,10*(1-K11/Filters!$B$5)),1))</f>
        <v/>
      </c>
      <c r="P11" s="19" t="n">
        <v>4</v>
      </c>
      <c r="Q11" s="19" t="n">
        <v>9</v>
      </c>
      <c r="R11" s="19" t="n">
        <v>3</v>
      </c>
      <c r="S11" s="19" t="n">
        <v>9</v>
      </c>
      <c r="T11" s="19">
        <f>IF(G11="","",ROUND(MAX(0,MIN(10,10*(Filters!$B$2-G11)/(Filters!$B$2-500000))),1))</f>
        <v/>
      </c>
      <c r="U11" s="19" t="n">
        <v>8</v>
      </c>
      <c r="V11" s="19" t="n">
        <v>6</v>
      </c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Rail terminus + bus hub to Mornington, Rosebud etc. (Wikipedia). GP: myhealth Bayside (healthdirect). Beach U and supermarket not individually checked. N, P, R, V remain estimates. | CHECKED 27 Oct 2026, second pass (N, P, R, V; suburb level). Nature: 'generally a leafy suburb'; natural reserves Bunarong Park, Frankston Foreshore Reserve, Lower Sweetwater Creek Reserve, Paratea Reserve; over 20 indigenous orchid species; McClelland Sculpture Park in 16 ha of park and reserve [Wikipedia Frankston]; N 5 consistent (6 arguable). Village: regional centre with Bayside (250+ stores) and Karingal Hub; several vacant highway buildings noted [Wikipedia; Victorian Places]; R 3 consistent. Health hub: four hospitals in the suburb [Wikipedia]. Indian community: India-born 1.1%, Hinduism 0.8%; Malayalam 0.5% at home [ABS 2021 GCP SAL20947; Wikipedia]; P 4 generous (2 arguable). City trip: 39-40 km SE, line terminus [Wikipedia; Victorian Places]; V 6 plausible. Scores unchanged. | C3 28 Oct 2026: N 5-&gt;6 (source: 'generally a leafy suburb'; Bunarong Park, Lower Sweetwater Creek and Paratea reserves [Wikipedia Frankston]).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terminus of Frankston and Stony Point lines; bus hub (checked: Wikipedia Frankston station)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  <c r="AK11" s="22" t="inlineStr">
        <is>
          <t>SAL20947</t>
        </is>
      </c>
      <c r="AL11" s="32" t="n">
        <v>37331</v>
      </c>
      <c r="AM11" s="22" t="n">
        <v>39</v>
      </c>
      <c r="AN11" s="33" t="n">
        <v>0.179</v>
      </c>
      <c r="AO11" s="33" t="n">
        <v>0.225</v>
      </c>
      <c r="AP11" s="33" t="n">
        <v>0.06900000000000001</v>
      </c>
      <c r="AQ11" s="33" t="n">
        <v>0.011</v>
      </c>
      <c r="AR11" s="33" t="n">
        <v>0.014</v>
      </c>
      <c r="AS11" s="33" t="n">
        <v>0.008</v>
      </c>
      <c r="AT11" s="33" t="n">
        <v>0.001</v>
      </c>
      <c r="AU11" s="33" t="n">
        <v>0.121</v>
      </c>
      <c r="AV11" s="22" t="inlineStr">
        <is>
          <t>Mandarin 1.4%; Greek 1.0%; Russian 0.6%</t>
        </is>
      </c>
      <c r="AW1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1" s="22">
        <f>IF(AU11="","",IF(OR(AU11&gt;=0.5,AQ11&gt;=0.08),"High",IF(OR(AU11&gt;=0.3,AQ11&gt;=0.04),"Medium","Low")))</f>
        <v/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>
        <f>IF(J12="","",ROUND(MAX(0,10*(1-J12/Filters!$B$4)),1))</f>
        <v/>
      </c>
      <c r="N12" s="19" t="n">
        <v>4</v>
      </c>
      <c r="O12" s="19">
        <f>IF(K12="","",ROUND(MAX(0,10*(1-K12/Filters!$B$5)),1))</f>
        <v/>
      </c>
      <c r="P12" s="19" t="n">
        <v>6</v>
      </c>
      <c r="Q12" s="19" t="n">
        <v>8</v>
      </c>
      <c r="R12" s="19" t="n">
        <v>6</v>
      </c>
      <c r="S12" s="19" t="n">
        <v>8</v>
      </c>
      <c r="T12" s="19">
        <f>IF(G12="","",ROUND(MAX(0,MIN(10,10*(Filters!$B$2-G12)/(Filters!$B$2-500000))),1))</f>
        <v/>
      </c>
      <c r="U12" s="19" t="n">
        <v>8</v>
      </c>
      <c r="V12" s="19" t="n">
        <v>8</v>
      </c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Altona Bay beach, pier, coastal park (Victorian Places). GP: Pier Street Medical Centre (healthdirect). Coles Altona (grocerize). N, P, R, V remain estimates. | CHECKED 27 Oct 2026, second pass (N, P, R, V; suburb level). Nature: Altona Beach, one of only two swimming beaches in the western suburbs; conservation areas and wetlands along the bay shore; long bayside promenade [Wikipedia Altona]; north-western half is mixed industry [Wikipedia]; N 4 consistent. Village: Pier St and Esplanade precinct; annual beach festival; civic theatre [Wikipedia]; R 6 consistent. Indian community: India-born 1.4%, Indian ancestry 1.9%, Hinduism 1.1% [ABS 2021 GCP SAL20035]; P 6 not supported (3 arguable). City trip: 13 km SW by train (Altona loop) [Wikipedia]; V 8 consistent. Scores unchanged. Victorian Places page not found.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Altona loop of Werribee line (checked: Wikipedia Altona station)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  <c r="AK12" s="22" t="inlineStr">
        <is>
          <t>SAL20035</t>
        </is>
      </c>
      <c r="AL12" s="32" t="n">
        <v>11490</v>
      </c>
      <c r="AM12" s="22" t="n">
        <v>42</v>
      </c>
      <c r="AN12" s="33" t="n">
        <v>0.194</v>
      </c>
      <c r="AO12" s="33" t="n">
        <v>0.283</v>
      </c>
      <c r="AP12" s="33" t="n">
        <v>0.044</v>
      </c>
      <c r="AQ12" s="33" t="n">
        <v>0.014</v>
      </c>
      <c r="AR12" s="33" t="n">
        <v>0.019</v>
      </c>
      <c r="AS12" s="33" t="n">
        <v>0.011</v>
      </c>
      <c r="AT12" s="33" t="n">
        <v>0.003</v>
      </c>
      <c r="AU12" s="33" t="n">
        <v>0.196</v>
      </c>
      <c r="AV12" s="22" t="inlineStr">
        <is>
          <t>Italian 1.6%; Greek 1.4%; Mandarin 1.4%</t>
        </is>
      </c>
      <c r="AW1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2" s="22">
        <f>IF(AU12="","",IF(OR(AU12&gt;=0.5,AQ12&gt;=0.08),"High",IF(OR(AU12&gt;=0.3,AQ12&gt;=0.04),"Medium","Low")))</f>
        <v/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  <c r="AK13" s="22" t="inlineStr">
        <is>
          <t>SAL22792</t>
        </is>
      </c>
      <c r="AL13" s="32" t="n">
        <v>14407</v>
      </c>
      <c r="AM13" s="22" t="n">
        <v>45</v>
      </c>
      <c r="AN13" s="33" t="n">
        <v>0.182</v>
      </c>
      <c r="AO13" s="33" t="n">
        <v>0.226</v>
      </c>
      <c r="AP13" s="33" t="n">
        <v>0.033</v>
      </c>
      <c r="AQ13" s="33" t="n">
        <v>0.005</v>
      </c>
      <c r="AR13" s="33" t="n">
        <v>0.009000000000000001</v>
      </c>
      <c r="AS13" s="33" t="n">
        <v>0.005</v>
      </c>
      <c r="AT13" s="33" t="n">
        <v>0.001</v>
      </c>
      <c r="AU13" s="33" t="n">
        <v>0.149</v>
      </c>
      <c r="AV13" s="22" t="inlineStr">
        <is>
          <t>Greek 2.4%; Italian 1.6%; Vietnamese 1.0%</t>
        </is>
      </c>
      <c r="AW1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3" s="22">
        <f>IF(AU13="","",IF(OR(AU13&gt;=0.5,AQ13&gt;=0.08),"High",IF(OR(AU13&gt;=0.3,AQ13&gt;=0.04),"Medium","Low")))</f>
        <v/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>
        <f>IF(J14="","",ROUND(MAX(0,10*(1-J14/Filters!$B$4)),1))</f>
        <v/>
      </c>
      <c r="N14" s="19" t="n">
        <v>9</v>
      </c>
      <c r="O14" s="19">
        <f>IF(K14="","",ROUND(MAX(0,10*(1-K14/Filters!$B$5)),1))</f>
        <v/>
      </c>
      <c r="P14" s="19" t="n">
        <v>1</v>
      </c>
      <c r="Q14" s="19" t="n">
        <v>6</v>
      </c>
      <c r="R14" s="19" t="n">
        <v>8</v>
      </c>
      <c r="S14" s="19" t="n">
        <v>2</v>
      </c>
      <c r="T14" s="19">
        <f>IF(G14="","",ROUND(MAX(0,MIN(10,10*(Filters!$B$2-G14)/(Filters!$B$2-500000))),1))</f>
        <v/>
      </c>
      <c r="U14" s="19" t="n">
        <v>0</v>
      </c>
      <c r="V14" s="19" t="n">
        <v>2</v>
      </c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7,589; 64 km NE of CBD on the Watts River [Wikipedia Healesville]. Nature: Healesville Sanctuary, Badger Weir picnic area, Maroondah Dam nearby; southern end of the Bicentennial Heritage Trail [Wikipedia]; N 9 consistent. Village: tourist town since the 1880s; Yarra Valley wine and food centre, organic market, cafés, festivals [Wikipedia]; R 8 consistent. Train: only the Yarra Valley tourist railway (Sundays, some holidays) [Wikipedia]; no metro or V/Line station; S 2 consistent. Indian community: India-born 0.2%, Hinduism 0.2% [ABS 2021 GCP SAL21158]; P 1 consistent. Older: median age 46, 23.7% aged 65+ [ABS]. City trip: 64 km, no rail; V 2 consistent. NOT checked: GPs, supermarket, bus. Scores unchanged.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  <c r="AK14" s="22" t="inlineStr">
        <is>
          <t>SAL21158</t>
        </is>
      </c>
      <c r="AL14" s="32" t="n">
        <v>7589</v>
      </c>
      <c r="AM14" s="22" t="n">
        <v>46</v>
      </c>
      <c r="AN14" s="33" t="n">
        <v>0.237</v>
      </c>
      <c r="AO14" s="33" t="n">
        <v>0.15</v>
      </c>
      <c r="AP14" s="33" t="n">
        <v>0.05599999999999999</v>
      </c>
      <c r="AQ14" s="33" t="n">
        <v>0.002</v>
      </c>
      <c r="AR14" s="33" t="n">
        <v>0.004</v>
      </c>
      <c r="AS14" s="33" t="n">
        <v>0.002</v>
      </c>
      <c r="AT14" s="33" t="n">
        <v>0</v>
      </c>
      <c r="AU14" s="33" t="n">
        <v>0.047</v>
      </c>
      <c r="AV14" s="22" t="inlineStr">
        <is>
          <t>German 0.7%; Italian 0.6%; Mandarin 0.3%</t>
        </is>
      </c>
      <c r="AW1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4" s="22">
        <f>IF(AU14="","",IF(OR(AU14&gt;=0.5,AQ14&gt;=0.08),"High",IF(OR(AU14&gt;=0.3,AQ14&gt;=0.04),"Medium","Low")))</f>
        <v/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>
        <f>IF(J15="","",ROUND(MAX(0,10*(1-J15/Filters!$B$4)),1))</f>
        <v/>
      </c>
      <c r="N15" s="19" t="n">
        <v>7</v>
      </c>
      <c r="O15" s="19">
        <f>IF(K15="","",ROUND(MAX(0,10*(1-K15/Filters!$B$5)),1))</f>
        <v/>
      </c>
      <c r="P15" s="19" t="n">
        <v>1</v>
      </c>
      <c r="Q15" s="19" t="n">
        <v>7</v>
      </c>
      <c r="R15" s="19" t="n">
        <v>9</v>
      </c>
      <c r="S15" s="19" t="n">
        <v>5</v>
      </c>
      <c r="T15" s="19">
        <f>IF(G15="","",ROUND(MAX(0,MIN(10,10*(Filters!$B$2-G15)/(Filters!$B$2-500000))),1))</f>
        <v/>
      </c>
      <c r="U15" s="19" t="n">
        <v>0</v>
      </c>
      <c r="V15" s="19" t="n">
        <v>5</v>
      </c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7,513; Macedon Ranges, ~75 km NW of Melbourne [Wikipedia Kyneton; Victorian Places]. Train: heritage-listed station south of town, ~86 km from Melbourne on the Bendigo line; 'a terminus for two weekday peak-hour trains' [Wikipedia; Victorian Places]; S 5 consistent (frequency not checked). Village: three main streets; Piper St 'has the oldest streetscape', galleries, bookstores, cafés; historic museum [Wikipedia; Victorian Places]; R 9 consistent. Nature: botanic gardens, Campaspe River walks, Black Hill and Bald Hill reserves nearby [Wikipedia]; N 7 consistent. Indian community: India-born 0.5%, Hinduism 0.3% [ABS 2021 GCP SAL21414]; P 1 consistent. Older: median age 47, 25.0% aged 65+ [ABS]. City trip: 86 km by V/Line; V 5 estimate. NOT checked: GPs, supermarket, train journey time. Scores unchanged.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  <c r="AK15" s="22" t="inlineStr">
        <is>
          <t>SAL21414</t>
        </is>
      </c>
      <c r="AL15" s="32" t="n">
        <v>7513</v>
      </c>
      <c r="AM15" s="22" t="n">
        <v>47</v>
      </c>
      <c r="AN15" s="33" t="n">
        <v>0.25</v>
      </c>
      <c r="AO15" s="33" t="n">
        <v>0.145</v>
      </c>
      <c r="AP15" s="33" t="n">
        <v>0.059</v>
      </c>
      <c r="AQ15" s="33" t="n">
        <v>0.005</v>
      </c>
      <c r="AR15" s="33" t="n">
        <v>0.006999999999999999</v>
      </c>
      <c r="AS15" s="33" t="n">
        <v>0.003</v>
      </c>
      <c r="AT15" s="33" t="n">
        <v>0.001</v>
      </c>
      <c r="AU15" s="33" t="n">
        <v>0.055</v>
      </c>
      <c r="AV15" s="22" t="inlineStr">
        <is>
          <t>Mandarin 1.3%; Italian 0.4%; French 0.3%</t>
        </is>
      </c>
      <c r="AW1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5" s="22">
        <f>IF(AU15="","",IF(OR(AU15&gt;=0.5,AQ15&gt;=0.08),"High",IF(OR(AU15&gt;=0.3,AQ15&gt;=0.04),"Medium","Low")))</f>
        <v/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>
        <f>IF(J16="","",ROUND(MAX(0,10*(1-J16/Filters!$B$4)),1))</f>
        <v/>
      </c>
      <c r="N16" s="19" t="n">
        <v>8</v>
      </c>
      <c r="O16" s="19">
        <f>IF(K16="","",ROUND(MAX(0,10*(1-K16/Filters!$B$5)),1))</f>
        <v/>
      </c>
      <c r="P16" s="19" t="n">
        <v>1</v>
      </c>
      <c r="Q16" s="19" t="n">
        <v>6</v>
      </c>
      <c r="R16" s="19" t="n">
        <v>9</v>
      </c>
      <c r="S16" s="19" t="n">
        <v>5</v>
      </c>
      <c r="T16" s="19">
        <f>IF(G16="","",ROUND(MAX(0,MIN(10,10*(Filters!$B$2-G16)/(Filters!$B$2-500000))),1))</f>
        <v/>
      </c>
      <c r="U16" s="19" t="n">
        <v>0</v>
      </c>
      <c r="V16" s="19" t="n">
        <v>5</v>
      </c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 | SCORES 27 Oct 2026: M (near family) and T (price) are formulas from J and G; O from K. N, P, Q, R, S, U, V are ESTIMATES (Claude, general knowledge, not site-checked); S also rests on train Yes/No marked 'verify'. | CHECKED 27 Oct 2026, full pass (suburb level). Pop 6,732, elevation 580 m, ~71 km NW of Melbourne, Great Dividing Range foothills [Wikipedia Woodend]. 'Valley surrounded by forest and bushland'; walk Five Mile Creek through Children's Park; Hanging Rock and Mt Macedon ~10 min drive [Macedon Ranges Shire]; N 8 consistent. Village: 'distinctive rural village character', historic buildings, clock tower, verandahed shopping [Macedon Ranges Shire]; R 9 consistent. Train: station staffed, V/Line Bendigo/Echuca/Swan Hill, 78.09 km from Southern Cross, myki zone 4/5 overlap, parking [Wikipedia Woodend station]; Bendigo line weekend average 60 min frequency 7am-7pm [V/Line fact sheet]; weekday Woodend frequency and journey time NOT confirmed. Shops &amp; doctor: IGA opened Aug 2022 at former Coles site, 19th Hole Shopping Centre, 7am-10pm [Midland Express 16 Aug 2022]; 4 GP clinics (Neal Street Medical, Brooke Street Medical Centre, Lifeline Healthcare Woodend, SkinGP) [healthdirect]; Q 6 supported, 7 arguable. Indian community: India, Indian ancestry, Hinduism/Sikhism, Hindi/Punjabi absent from ABS 2021 top responses (79.5% Australia-born, 53.3% no religion) [ABS SAL22833]; P 1 consistent. Beach 0 correct (inland). NOT checked: ED (AD still unconfirmed), winter comfort, trip frequency to Glen Waverley, city-trip time (V 5 is an estimate). Scores unchanged.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(checked: Wikipedia Woodend station; weekday frequency not confirmed)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  <c r="AK16" s="22" t="inlineStr">
        <is>
          <t>SAL22833</t>
        </is>
      </c>
      <c r="AL16" s="32" t="n">
        <v>6732</v>
      </c>
      <c r="AM16" s="22" t="n">
        <v>45</v>
      </c>
      <c r="AN16" s="33" t="n">
        <v>0.22</v>
      </c>
      <c r="AO16" s="33" t="n">
        <v>0.161</v>
      </c>
      <c r="AP16" s="33" t="n">
        <v>0.044</v>
      </c>
      <c r="AQ16" s="33" t="n">
        <v>0.002</v>
      </c>
      <c r="AR16" s="33" t="n">
        <v>0.004</v>
      </c>
      <c r="AS16" s="33" t="n">
        <v>0.004</v>
      </c>
      <c r="AT16" s="33" t="n">
        <v>0</v>
      </c>
      <c r="AU16" s="33" t="n">
        <v>0.048</v>
      </c>
      <c r="AV16" s="22" t="inlineStr">
        <is>
          <t>German 0.7%; Italian 0.4%; French 0.3%</t>
        </is>
      </c>
      <c r="AW1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6" s="22">
        <f>IF(AU16="","",IF(OR(AU16&gt;=0.5,AQ16&gt;=0.08),"High",IF(OR(AU16&gt;=0.3,AQ16&gt;=0.04),"Medium","Low")))</f>
        <v/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>
        <f>IF(J17="","",ROUND(MAX(0,10*(1-J17/Filters!$B$4)),1))</f>
        <v/>
      </c>
      <c r="N17" s="19" t="n">
        <v>9</v>
      </c>
      <c r="O17" s="19">
        <f>IF(K17="","",ROUND(MAX(0,10*(1-K17/Filters!$B$5)),1))</f>
        <v/>
      </c>
      <c r="P17" s="19" t="n">
        <v>1</v>
      </c>
      <c r="Q17" s="19" t="n">
        <v>3</v>
      </c>
      <c r="R17" s="19" t="n">
        <v>8</v>
      </c>
      <c r="S17" s="19" t="n">
        <v>5</v>
      </c>
      <c r="T17" s="19">
        <f>IF(G17="","",ROUND(MAX(0,MIN(10,10*(Filters!$B$2-G17)/(Filters!$B$2-500000))),1))</f>
        <v/>
      </c>
      <c r="U17" s="19" t="n">
        <v>0</v>
      </c>
      <c r="V17" s="19" t="n">
        <v>5</v>
      </c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2,073; foot of Mount Macedon, 58 km NW of Melbourne, on the Melbourne-Bendigo railway [Wikipedia Macedon; Victorian Places]. Nature: bushland foothills of the Mount Macedon range; vineyards nearby [Wikipedia]; N 10 plausible (9 arguable: town is at the foot, not on the mount). Village: rebuilt shops, churches and hall after the 1983 Ash Wednesday fire (499 houses, 8 lives lost in Macedon and Mount Macedon) [Victorian Places]; cafés and B&amp;Bs, new planning controls 'to protect the character' [Wikipedia]; R 8 consistent. Bushfire risk is real and documented. Shops: small; supermarket not named; Q 3 consistent. Train: station on the Bendigo line [Victorian Places]; S 5 consistent (frequency not checked). Indian community: India-born 0.2%, Hinduism 0.2% [ABS 2021 GCP SAL21562]; P 1 consistent. City trip: 58 km by V/Line; V 5 estimate. NOT checked: GPs, nearest ED, journey time. Scores unchanged. | C3 28 Oct 2026: N 10-&gt;9 (source: town sits at the foot of Mount Macedon; surrounding bushland long harvested for timber [Wikipedia Macedon]; 10 kept for national-park settings).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  <c r="AK17" s="22" t="inlineStr">
        <is>
          <t>SAL21562</t>
        </is>
      </c>
      <c r="AL17" s="32" t="n">
        <v>2073</v>
      </c>
      <c r="AM17" s="22" t="n">
        <v>44</v>
      </c>
      <c r="AN17" s="33" t="n">
        <v>0.192</v>
      </c>
      <c r="AO17" s="33" t="n">
        <v>0.132</v>
      </c>
      <c r="AP17" s="33" t="n">
        <v>0.053</v>
      </c>
      <c r="AQ17" s="33" t="n">
        <v>0.002</v>
      </c>
      <c r="AR17" s="33" t="n">
        <v>0.004</v>
      </c>
      <c r="AS17" s="33" t="n">
        <v>0.002</v>
      </c>
      <c r="AT17" s="33" t="n">
        <v>0</v>
      </c>
      <c r="AU17" s="33" t="n">
        <v>0.039</v>
      </c>
      <c r="AV17" s="22" t="inlineStr">
        <is>
          <t>French 0.5%; Polish 0.4%; Italian 0.3%</t>
        </is>
      </c>
      <c r="AW17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17" s="22">
        <f>IF(AU17="","",IF(OR(AU17&gt;=0.5,AQ17&gt;=0.08),"High",IF(OR(AU17&gt;=0.3,AQ17&gt;=0.04),"Medium","Low")))</f>
        <v/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>
        <f>IF(J18="","",ROUND(MAX(0,10*(1-J18/Filters!$B$4)),1))</f>
        <v/>
      </c>
      <c r="N18" s="19" t="n">
        <v>7</v>
      </c>
      <c r="O18" s="19">
        <f>IF(K18="","",ROUND(MAX(0,10*(1-K18/Filters!$B$5)),1))</f>
        <v/>
      </c>
      <c r="P18" s="19" t="n">
        <v>2</v>
      </c>
      <c r="Q18" s="19" t="n">
        <v>8</v>
      </c>
      <c r="R18" s="19" t="n">
        <v>5</v>
      </c>
      <c r="S18" s="19" t="n">
        <v>4</v>
      </c>
      <c r="T18" s="19">
        <f>IF(G18="","",ROUND(MAX(0,MIN(10,10*(Filters!$B$2-G18)/(Filters!$B$2-500000))),1))</f>
        <v/>
      </c>
      <c r="U18" s="19" t="n">
        <v>10</v>
      </c>
      <c r="V18" s="19" t="n">
        <v>3</v>
      </c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 | SCORES 27 Oct 2026: M (near family) and T (price) are formulas from J and G; O from K. N, P, Q, R, S, U, V are ESTIMATES (Claude, general knowledge, not site-checked); S also rests on train Yes/No marked 'verify'. GW drive 88 min, 2 min under cap. | CHECKED 27 Oct 2026 (S train/bus, U beach, Q shops &amp; doctor; web sources, suburb level, not address level): Buses to Geelong/Marshall: S raised 3-&gt;4 (Bus News). GPs: Surfcoast Medical Centre, Orbit Medical, Banksia (healthdirect). Beach and supermarket not individually checked. N, P, R, V remain estimates. | CHECKED 27 Oct 2026, second pass (N, P, R, V; suburb level). Nature: surf beaches (Jan Juc, Bells Beach on the SW outskirts), Point Danger, Zeally Bay, Spring Creek on the western boundary [Wikipedia Torquay]; N 8 rests on coast, not bush (7 arguable). Village: population doubled 1991-2011 and 'some of its former holiday charm has been lost to redevelopment' [Victorian Places]; population triples in Jan-Feb; Surf Coast Plaza [Wikipedia]; R 6 generous (5 arguable). Indian community: India-born 0.2%, Hinduism 0.1% [ABS 2021 GCP SAL22551]; P 2 generous (1 arguable). City trip: 80 km W of Melbourne, 21 km S of Geelong [Victorian Places], no rail; V 3 plausible; journey time not checked. Scores unchanged. | C3 28 Oct 2026: N 8-&gt;7 (source: nature is coastal and already scored under U (10); no bushland named [Wikipedia Torquay]). | C3 28 Oct 2026: R 6-&gt;5 (source: 'some of its former holiday charm has been lost to redevelopment' [Victorian Places Torquay]).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buses to Geelong and Marshall station, ~4 buses/hour on Surf Coast Hwy corridor (checked: Bus News)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  <c r="AK18" s="22" t="inlineStr">
        <is>
          <t>SAL22551</t>
        </is>
      </c>
      <c r="AL18" s="32" t="n">
        <v>18534</v>
      </c>
      <c r="AM18" s="22" t="n">
        <v>39</v>
      </c>
      <c r="AN18" s="33" t="n">
        <v>0.164</v>
      </c>
      <c r="AO18" s="33" t="n">
        <v>0.134</v>
      </c>
      <c r="AP18" s="33" t="n">
        <v>0.038</v>
      </c>
      <c r="AQ18" s="33" t="n">
        <v>0.002</v>
      </c>
      <c r="AR18" s="33" t="n">
        <v>0.004</v>
      </c>
      <c r="AS18" s="33" t="n">
        <v>0.001</v>
      </c>
      <c r="AT18" s="33" t="n">
        <v>0.001</v>
      </c>
      <c r="AU18" s="33" t="n">
        <v>0.047</v>
      </c>
      <c r="AV18" s="22" t="inlineStr">
        <is>
          <t>German 0.5%; Italian 0.5%; French 0.4%</t>
        </is>
      </c>
      <c r="AW1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8" s="22">
        <f>IF(AU18="","",IF(OR(AU18&gt;=0.5,AQ18&gt;=0.08),"High",IF(OR(AU18&gt;=0.3,AQ18&gt;=0.04),"Medium","Low")))</f>
        <v/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  <c r="AK19" s="22" t="inlineStr">
        <is>
          <t>SAL22005</t>
        </is>
      </c>
      <c r="AL19" s="32" t="n">
        <v>17714</v>
      </c>
      <c r="AM19" s="22" t="n">
        <v>43</v>
      </c>
      <c r="AN19" s="33" t="n">
        <v>0.222</v>
      </c>
      <c r="AO19" s="33" t="n">
        <v>0.113</v>
      </c>
      <c r="AP19" s="33" t="n">
        <v>0.046</v>
      </c>
      <c r="AQ19" s="33" t="n">
        <v>0.002</v>
      </c>
      <c r="AR19" s="33" t="n">
        <v>0.003</v>
      </c>
      <c r="AS19" s="33" t="n">
        <v>0.001</v>
      </c>
      <c r="AT19" s="33" t="n">
        <v>0.001</v>
      </c>
      <c r="AU19" s="33" t="n">
        <v>0.034</v>
      </c>
      <c r="AV19" s="22" t="inlineStr">
        <is>
          <t>Italian 0.4%; German 0.3%; Mandarin 0.3%</t>
        </is>
      </c>
      <c r="AW1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9" s="22">
        <f>IF(AU19="","",IF(OR(AU19&gt;=0.5,AQ19&gt;=0.08),"High",IF(OR(AU19&gt;=0.3,AQ19&gt;=0.04),"Medium","Low")))</f>
        <v/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>
        <f>IF(J20="","",ROUND(MAX(0,10*(1-J20/Filters!$B$4)),1))</f>
        <v/>
      </c>
      <c r="N20" s="19" t="n">
        <v>5</v>
      </c>
      <c r="O20" s="19">
        <f>IF(K20="","",ROUND(MAX(0,10*(1-K20/Filters!$B$5)),1))</f>
        <v/>
      </c>
      <c r="P20" s="19" t="n">
        <v>4</v>
      </c>
      <c r="Q20" s="19" t="n">
        <v>8</v>
      </c>
      <c r="R20" s="19" t="n">
        <v>6</v>
      </c>
      <c r="S20" s="19" t="n">
        <v>4</v>
      </c>
      <c r="T20" s="19">
        <f>IF(G20="","",ROUND(MAX(0,MIN(10,10*(Filters!$B$2-G20)/(Filters!$B$2-500000))),1))</f>
        <v/>
      </c>
      <c r="U20" s="19" t="n">
        <v>3</v>
      </c>
      <c r="V20" s="19" t="n">
        <v>5</v>
      </c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10,445; inner western Geelong, 'one of the highest points of urban Geelong', many of Geelong's oldest houses [Wikipedia Newtown, Victoria]. Nature: Queens Park beside the Barwon River, Balyang Sanctuary, Chilwell Gardens, Windmill Reserve [Wikipedia]; N 5 consistent. Village: established residential suburb incl. Chilwell; R 6 plausible. Train: no station named in the suburb [Wikipedia]; S 4 consistent. Indian community: India-born 1.3%, Indian ancestry 1.6%, Hinduism 1.1% [ABS 2021 GCP SAL21938]; P 4 generous (3 arguable). NOT checked: shops, GPs, beach distance (U 3), city trip (V 5), Victorian Places page not found. Scores unchanged.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  <c r="AK20" s="22" t="inlineStr">
        <is>
          <t>SAL21938</t>
        </is>
      </c>
      <c r="AL20" s="32" t="n">
        <v>10445</v>
      </c>
      <c r="AM20" s="22" t="n">
        <v>40</v>
      </c>
      <c r="AN20" s="33" t="n">
        <v>0.176</v>
      </c>
      <c r="AO20" s="33" t="n">
        <v>0.145</v>
      </c>
      <c r="AP20" s="33" t="n">
        <v>0.033</v>
      </c>
      <c r="AQ20" s="33" t="n">
        <v>0.013</v>
      </c>
      <c r="AR20" s="33" t="n">
        <v>0.016</v>
      </c>
      <c r="AS20" s="33" t="n">
        <v>0.011</v>
      </c>
      <c r="AT20" s="33" t="n">
        <v>0.003</v>
      </c>
      <c r="AU20" s="33" t="n">
        <v>0.08800000000000001</v>
      </c>
      <c r="AV20" s="22" t="inlineStr">
        <is>
          <t>Mandarin 1.3%; Italian 0.6%; Croatian 0.5%</t>
        </is>
      </c>
      <c r="AW20" s="22" t="inlineStr">
        <is>
          <t>ABS 2021 Census General Community Profile DataPack, Suburbs and Localities (SAL), Victoria (tables G01, G02, G08, G09, G13, G14); downloaded 27 Oct 2026 from abs.gov.au. Place of usual residence. Newtown (Greater Geelong), SAL21938.</t>
        </is>
      </c>
      <c r="AX20" s="22">
        <f>IF(AU20="","",IF(OR(AU20&gt;=0.5,AQ20&gt;=0.08),"High",IF(OR(AU20&gt;=0.3,AQ20&gt;=0.04),"Medium","Low")))</f>
        <v/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>
        <f>IF(J21="","",ROUND(MAX(0,10*(1-J21/Filters!$B$4)),1))</f>
        <v/>
      </c>
      <c r="N21" s="19" t="n">
        <v>6</v>
      </c>
      <c r="O21" s="19">
        <f>IF(K21="","",ROUND(MAX(0,10*(1-K21/Filters!$B$5)),1))</f>
        <v/>
      </c>
      <c r="P21" s="19" t="n">
        <v>4</v>
      </c>
      <c r="Q21" s="19" t="n">
        <v>8</v>
      </c>
      <c r="R21" s="19" t="n">
        <v>5</v>
      </c>
      <c r="S21" s="19" t="n">
        <v>3</v>
      </c>
      <c r="T21" s="19">
        <f>IF(G21="","",ROUND(MAX(0,MIN(10,10*(Filters!$B$2-G21)/(Filters!$B$2-500000))),1))</f>
        <v/>
      </c>
      <c r="U21" s="19" t="n">
        <v>3</v>
      </c>
      <c r="V21" s="19" t="n">
        <v>4</v>
      </c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20,736 [ABS 2021 SAL21187]. Barwon River banks and Barrabool Hills; Queens Park in a river bend; 20 parks/reserves listed; tree-lined streets [Wikipedia Highton; City of Greater Geelong]; N 6 consistent. Village: Highton Village strip on Belle Vue Ave with a supermarket, small strip on Porter Ave, Barrabool Hills Plaza (2016) with Woolworths [Wikipedia Highton]; R 5 left. Shops &amp; doctor: GPs include Highton Village Medical Clinic, The Highton Clinic, 291 Roslyn Road Medical Practice, Barrabool Hills Family Medical [healthdirect]; Q 8 consistent. Train/bus: no station; bus 42 (south) and 43 (north) from Geelong station via CBD to Deakin Waurn Ponds [Wikipedia Highton]; S 3 consistent. Indian community: India-born 505 (2.4%), Hindi 126 (0.6%), Punjabi 119 (0.6%); Indian ancestry and Hinduism/Sikhism not in top 5 [ABS SAL21187]; P 4 consistent. NOT checked: beach access (U 3 is an estimate), city-trip time (V 4 estimate), Indian grocer/temple, Univ Hospital Geelong drive. Scores unchanged.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42/43 from Geelong station (checked: Wikipedia Highton)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  <c r="AK21" s="22" t="inlineStr">
        <is>
          <t>SAL21187</t>
        </is>
      </c>
      <c r="AL21" s="32" t="n">
        <v>20736</v>
      </c>
      <c r="AM21" s="22" t="n">
        <v>39</v>
      </c>
      <c r="AN21" s="33" t="n">
        <v>0.183</v>
      </c>
      <c r="AO21" s="33" t="n">
        <v>0.194</v>
      </c>
      <c r="AP21" s="33" t="n">
        <v>0.033</v>
      </c>
      <c r="AQ21" s="33" t="n">
        <v>0.024</v>
      </c>
      <c r="AR21" s="33" t="n">
        <v>0.027</v>
      </c>
      <c r="AS21" s="33" t="n">
        <v>0.018</v>
      </c>
      <c r="AT21" s="33" t="n">
        <v>0.005</v>
      </c>
      <c r="AU21" s="33" t="n">
        <v>0.13</v>
      </c>
      <c r="AV21" s="22" t="inlineStr">
        <is>
          <t>Mandarin 1.9%; Italian 0.8%; Arabic 0.7%</t>
        </is>
      </c>
      <c r="AW2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1" s="22">
        <f>IF(AU21="","",IF(OR(AU21&gt;=0.5,AQ21&gt;=0.08),"High",IF(OR(AU21&gt;=0.3,AQ21&gt;=0.04),"Medium","Low")))</f>
        <v/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>
        <f>IF(J22="","",ROUND(MAX(0,10*(1-J22/Filters!$B$4)),1))</f>
        <v/>
      </c>
      <c r="N22" s="19" t="n">
        <v>9</v>
      </c>
      <c r="O22" s="19">
        <f>IF(K22="","",ROUND(MAX(0,10*(1-K22/Filters!$B$5)),1))</f>
        <v/>
      </c>
      <c r="P22" s="19" t="n">
        <v>3</v>
      </c>
      <c r="Q22" s="19" t="n">
        <v>6</v>
      </c>
      <c r="R22" s="19" t="n">
        <v>8</v>
      </c>
      <c r="S22" s="19" t="n">
        <v>7</v>
      </c>
      <c r="T22" s="19">
        <f>IF(G22="","",ROUND(MAX(0,MIN(10,10*(Filters!$B$2-G22)/(Filters!$B$2-500000))),1))</f>
        <v/>
      </c>
      <c r="U22" s="19" t="n">
        <v>0</v>
      </c>
      <c r="V22" s="19" t="n">
        <v>5</v>
      </c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Terminus (weekend off-peak shuttle) so S 7. Puffing Billy 100 m away. GP: Belgrave Medical Clinic (healthdirect). Supermarket not confirmed; Q partly estimate. N, P, R, V remain estimates. | CHECKED 27 Oct 2026, second pass (N, P, R, V; suburb level). Nature: Belgrave Lake Park, a biolink between Dandenong Ranges National Park, Birdsland and Lysterfield Lake Park, with platypus in Monbulk Creek and mountain grey gum slopes; Puffing Billy runs through 24 km of cool temperate rainforest and farmland [Wikipedia Belgrave]; N 9 consistent. Village: Main Street commercial district with galleries and bookshops; shops on Bayview Rd [Wikipedia]; R 8 consistent. Indian community: India-born 0.4%, Hinduism 0.2% [ABS 2021 GCP SAL20188]; P 3 generous (1 arguable). City trip: 36 km E, line terminus [Wikipedia]; V 5 estimate. Scores unchanged.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terminus; weekend shuttle to Ringwood off-peak; 6 bus routes (checked: Wikipedia Belgrave station)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  <c r="AK22" s="22" t="inlineStr">
        <is>
          <t>SAL20188</t>
        </is>
      </c>
      <c r="AL22" s="32" t="n">
        <v>3894</v>
      </c>
      <c r="AM22" s="22" t="n">
        <v>38</v>
      </c>
      <c r="AN22" s="33" t="n">
        <v>0.13</v>
      </c>
      <c r="AO22" s="33" t="n">
        <v>0.186</v>
      </c>
      <c r="AP22" s="33" t="n">
        <v>0.026</v>
      </c>
      <c r="AQ22" s="33" t="n">
        <v>0.004</v>
      </c>
      <c r="AR22" s="33" t="n">
        <v>0.009000000000000001</v>
      </c>
      <c r="AS22" s="33" t="n">
        <v>0.002</v>
      </c>
      <c r="AT22" s="33" t="n">
        <v>0</v>
      </c>
      <c r="AU22" s="33" t="n">
        <v>0.07000000000000001</v>
      </c>
      <c r="AV22" s="22" t="inlineStr">
        <is>
          <t>German 0.8%; Mandarin 0.6%; French 0.5%</t>
        </is>
      </c>
      <c r="AW2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2" s="22">
        <f>IF(AU22="","",IF(OR(AU22&gt;=0.5,AQ22&gt;=0.08),"High",IF(OR(AU22&gt;=0.3,AQ22&gt;=0.04),"Medium","Low")))</f>
        <v/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>
        <f>IF(J23="","",ROUND(MAX(0,10*(1-J23/Filters!$B$4)),1))</f>
        <v/>
      </c>
      <c r="N23" s="19" t="n">
        <v>9</v>
      </c>
      <c r="O23" s="19">
        <f>IF(K23="","",ROUND(MAX(0,10*(1-K23/Filters!$B$5)),1))</f>
        <v/>
      </c>
      <c r="P23" s="19" t="n">
        <v>3</v>
      </c>
      <c r="Q23" s="19" t="n">
        <v>5</v>
      </c>
      <c r="R23" s="19" t="n">
        <v>8</v>
      </c>
      <c r="S23" s="19" t="n">
        <v>8</v>
      </c>
      <c r="T23" s="19">
        <f>IF(G23="","",ROUND(MAX(0,MIN(10,10*(Filters!$B$2-G23)/(Filters!$B$2-500000))),1))</f>
        <v/>
      </c>
      <c r="U23" s="19" t="n">
        <v>0</v>
      </c>
      <c r="V23" s="19" t="n">
        <v>5</v>
      </c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beside Main St; medical centre on Main St; no supermarket mentioned: Q lowered 6-&gt;5. Adjoins Dandenong Ranges NP; Ferny, Monbulk creeks (Wikipedia Upwey). N, P, R, V remain estimates. | CHECKED 27 Oct 2026, second pass (N, P, R, V; suburb level). Nature: Glenfern Valley Bushlands, 40 ha of remnant and rehabilitated forest down to Ferny Creek; ridge-top Glenfern Rd with views [Wikipedia Upwey]; N 9 consistent. Village: Main Street 'instilling a traditional community village nature', cafés with kerbside dining, medical and dental centre [Wikipedia]; R 7 consistent (8 arguable); medical centre on Main St supports Q. Indian community: India-born 0.6%, Hinduism 0.3%; 80.7% Australia-born [ABS 2021 GCP SAL22620; Wikipedia]; P 3 generous (1 arguable). City trip: 33 km E on the Belgrave line [Wikipedia]; V 5 estimate. Scores unchanged. | C3 28 Oct 2026: R 7-&gt;8 (source: Main Street 'instilling a traditional community village nature', kerbside cafés [Wikipedia Upwey]).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line, beside Main Street (checked: Wikipedia Upwey)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  <c r="AK23" s="22" t="inlineStr">
        <is>
          <t>SAL22620</t>
        </is>
      </c>
      <c r="AL23" s="32" t="n">
        <v>6818</v>
      </c>
      <c r="AM23" s="22" t="n">
        <v>41</v>
      </c>
      <c r="AN23" s="33" t="n">
        <v>0.147</v>
      </c>
      <c r="AO23" s="33" t="n">
        <v>0.169</v>
      </c>
      <c r="AP23" s="33" t="n">
        <v>0.024</v>
      </c>
      <c r="AQ23" s="33" t="n">
        <v>0.006</v>
      </c>
      <c r="AR23" s="33" t="n">
        <v>0.01</v>
      </c>
      <c r="AS23" s="33" t="n">
        <v>0.003</v>
      </c>
      <c r="AT23" s="33" t="n">
        <v>0</v>
      </c>
      <c r="AU23" s="33" t="n">
        <v>0.063</v>
      </c>
      <c r="AV23" s="22" t="inlineStr">
        <is>
          <t>Mandarin 0.5%; Italian 0.4%; Russian 0.4%</t>
        </is>
      </c>
      <c r="AW2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3" s="22">
        <f>IF(AU23="","",IF(OR(AU23&gt;=0.5,AQ23&gt;=0.08),"High",IF(OR(AU23&gt;=0.3,AQ23&gt;=0.04),"Medium","Low")))</f>
        <v/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>
        <f>IF(J24="","",ROUND(MAX(0,10*(1-J24/Filters!$B$4)),1))</f>
        <v/>
      </c>
      <c r="N24" s="19" t="n">
        <v>9</v>
      </c>
      <c r="O24" s="19">
        <f>IF(K24="","",ROUND(MAX(0,10*(1-K24/Filters!$B$5)),1))</f>
        <v/>
      </c>
      <c r="P24" s="19" t="n">
        <v>3</v>
      </c>
      <c r="Q24" s="19" t="n">
        <v>4</v>
      </c>
      <c r="R24" s="19" t="n">
        <v>6</v>
      </c>
      <c r="S24" s="19" t="n">
        <v>7</v>
      </c>
      <c r="T24" s="19">
        <f>IF(G24="","",ROUND(MAX(0,MIN(10,10*(Filters!$B$2-G24)/(Filters!$B$2-500000))),1))</f>
        <v/>
      </c>
      <c r="U24" s="19" t="n">
        <v>0</v>
      </c>
      <c r="V24" s="19" t="n">
        <v>5</v>
      </c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2,064; 35 km E of CBD, 1 km W of Belgrave, adjoining Sherbrooke Forest to the north [Wikipedia Tecoma]. Nature: 'residences are built in hilly country, well planted with trees'; bushfire exposure from the National Park to the north [Victorian Places]; N 9 consistent. Village: 'a small strip shopping centre, somewhat held in check by its proximity to Belgrave'; residents campaigned against a fast-food chain as out of character [Victorian Places]; R 6 consistent. Shops: Q 4 consistent (Belgrave next door). Train: Tecoma station on the Belgrave line [Victorian Places]; S 7 consistent. Indian community: India-born 0.3%, Hinduism 0.3%, Sikhism 0.4% [ABS 2021 GCP SAL22476]; P 3 generous (1-2 arguable). City trip: 35 km by train; V 5 estimate. NOT checked: GPs, journey time. Scores unchanged.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  <c r="AK24" s="22" t="inlineStr">
        <is>
          <t>SAL22476</t>
        </is>
      </c>
      <c r="AL24" s="32" t="n">
        <v>2064</v>
      </c>
      <c r="AM24" s="22" t="n">
        <v>42</v>
      </c>
      <c r="AN24" s="33" t="n">
        <v>0.153</v>
      </c>
      <c r="AO24" s="33" t="n">
        <v>0.17</v>
      </c>
      <c r="AP24" s="33" t="n">
        <v>0.029</v>
      </c>
      <c r="AQ24" s="33" t="n">
        <v>0.003</v>
      </c>
      <c r="AR24" s="33" t="n">
        <v>0.009000000000000001</v>
      </c>
      <c r="AS24" s="33" t="n">
        <v>0.003</v>
      </c>
      <c r="AT24" s="33" t="n">
        <v>0.004</v>
      </c>
      <c r="AU24" s="33" t="n">
        <v>0.045</v>
      </c>
      <c r="AV24" s="22" t="inlineStr">
        <is>
          <t>German 0.7%; Italian 0.5%; Hindi 0.4%</t>
        </is>
      </c>
      <c r="AW24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24" s="22">
        <f>IF(AU24="","",IF(OR(AU24&gt;=0.5,AQ24&gt;=0.08),"High",IF(OR(AU24&gt;=0.3,AQ24&gt;=0.04),"Medium","Low")))</f>
        <v/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>
        <f>IF(J25="","",ROUND(MAX(0,10*(1-J25/Filters!$B$4)),1))</f>
        <v/>
      </c>
      <c r="N25" s="19" t="n">
        <v>8</v>
      </c>
      <c r="O25" s="19">
        <f>IF(K25="","",ROUND(MAX(0,10*(1-K25/Filters!$B$5)),1))</f>
        <v/>
      </c>
      <c r="P25" s="19" t="n">
        <v>4</v>
      </c>
      <c r="Q25" s="19" t="n">
        <v>4</v>
      </c>
      <c r="R25" s="19" t="n">
        <v>7</v>
      </c>
      <c r="S25" s="19" t="n">
        <v>3</v>
      </c>
      <c r="T25" s="19">
        <f>IF(G25="","",ROUND(MAX(0,MIN(10,10*(Filters!$B$2-G25)/(Filters!$B$2-500000))),1))</f>
        <v/>
      </c>
      <c r="U25" s="19" t="n">
        <v>0</v>
      </c>
      <c r="V25" s="19" t="n">
        <v>4</v>
      </c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4,497; 31 km E of CBD; part of a Melbourne green wedge, 'nestled into the forest covered foothills of Mount Dandenong' and Dandenong Ranges National Park incl. Doongalla Forest; bushy parks (Wicks Reserve) and farmland [Wikipedia The Basin]. N 8 consistent. Village: shops round 'The Basin Triangle' 'amidst a village atmosphere': licensed post office, two pubs, cafés, greengrocer, butcher, bookstore [Wikipedia]; R 7 consistent. Shops: no supermarket listed; Q 4 consistent. Transport: no station; bus 755 to Bayswater, Boronia and Ferntree Gully stations [Wikipedia]; S 3 consistent. Indian community: Vinayagar Hindu Temple is in the suburb [Wikipedia; Victorian Places 'a Hindu temple']; residents India-born 0.2%, Indian ancestry 0.9%, Hinduism 0.5% [ABS 2021 GCP SAL22496]; P 4 rests on the temple, not on residents. Hazards: 'topography causes strong wind which can fan severe fires'; 'much of the area is also flood prone' [Victorian Places]. City trip: 31 km [Wikipedia]; journey time not stated; V 4 estimate. NOT checked: GPs, bus frequency, journey time. Scores unchanged.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  <c r="AK25" s="22" t="inlineStr">
        <is>
          <t>SAL22496</t>
        </is>
      </c>
      <c r="AL25" s="32" t="n">
        <v>4497</v>
      </c>
      <c r="AM25" s="22" t="n">
        <v>40</v>
      </c>
      <c r="AN25" s="33" t="n">
        <v>0.172</v>
      </c>
      <c r="AO25" s="33" t="n">
        <v>0.17</v>
      </c>
      <c r="AP25" s="33" t="n">
        <v>0.034</v>
      </c>
      <c r="AQ25" s="33" t="n">
        <v>0.002</v>
      </c>
      <c r="AR25" s="33" t="n">
        <v>0.009000000000000001</v>
      </c>
      <c r="AS25" s="33" t="n">
        <v>0.005</v>
      </c>
      <c r="AT25" s="33" t="n">
        <v>0</v>
      </c>
      <c r="AU25" s="33" t="n">
        <v>0.08199999999999999</v>
      </c>
      <c r="AV25" s="22" t="inlineStr">
        <is>
          <t>German 1.8%; Mandarin 1.1%; Italian 0.5%</t>
        </is>
      </c>
      <c r="AW2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5" s="22">
        <f>IF(AU25="","",IF(OR(AU25&gt;=0.5,AQ25&gt;=0.08),"High",IF(OR(AU25&gt;=0.3,AQ25&gt;=0.04),"Medium","Low")))</f>
        <v/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>
        <f>IF(J26="","",ROUND(MAX(0,10*(1-J26/Filters!$B$4)),1))</f>
        <v/>
      </c>
      <c r="N26" s="19" t="n">
        <v>8</v>
      </c>
      <c r="O26" s="19">
        <f>IF(K26="","",ROUND(MAX(0,10*(1-K26/Filters!$B$5)),1))</f>
        <v/>
      </c>
      <c r="P26" s="19" t="n">
        <v>3</v>
      </c>
      <c r="Q26" s="19" t="n">
        <v>5</v>
      </c>
      <c r="R26" s="19" t="n">
        <v>6</v>
      </c>
      <c r="S26" s="19" t="n">
        <v>3</v>
      </c>
      <c r="T26" s="19">
        <f>IF(G26="","",ROUND(MAX(0,MIN(10,10*(Filters!$B$2-G26)/(Filters!$B$2-500000))),1))</f>
        <v/>
      </c>
      <c r="U26" s="19" t="n">
        <v>0</v>
      </c>
      <c r="V26" s="19" t="n">
        <v>4</v>
      </c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6,900; 33 km E of CBD at the foothills of Mount Dandenong, altitude 91-324 m [Wikipedia Montrose]. Nature: 'five bush reserves and two linear reserves'; government buy-back of steep land to protect bush; houses lost to fire in 1961 [Victorian Places]; N 8 consistent. Village: shopping area at Mount Dandenong and Swansea Rds with community centre and pioneer cottage; strong local preservation groups [Victorian Places]; R 6 consistent. Train: no station; 'not far from the Mooroolbark railway station' [Victorian Places]; S 3 consistent (bus not checked). Indian community: India-born 0.4%, Hinduism 0.2% [ABS 2021 GCP SAL21736]; P 3 generous (1-2 arguable). City trip: 33 km, no station; V 4 estimate. NOT checked: GPs, supermarket, bus. Scores unchanged.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  <c r="AK26" s="22" t="inlineStr">
        <is>
          <t>SAL21736</t>
        </is>
      </c>
      <c r="AL26" s="32" t="n">
        <v>6900</v>
      </c>
      <c r="AM26" s="22" t="n">
        <v>41</v>
      </c>
      <c r="AN26" s="33" t="n">
        <v>0.195</v>
      </c>
      <c r="AO26" s="33" t="n">
        <v>0.145</v>
      </c>
      <c r="AP26" s="33" t="n">
        <v>0.026</v>
      </c>
      <c r="AQ26" s="33" t="n">
        <v>0.004</v>
      </c>
      <c r="AR26" s="33" t="n">
        <v>0.006999999999999999</v>
      </c>
      <c r="AS26" s="33" t="n">
        <v>0.002</v>
      </c>
      <c r="AT26" s="33" t="n">
        <v>0.001</v>
      </c>
      <c r="AU26" s="33" t="n">
        <v>0.048</v>
      </c>
      <c r="AV26" s="22" t="inlineStr">
        <is>
          <t>German 0.5%; Greek 0.3%; Italian 0.3%</t>
        </is>
      </c>
      <c r="AW2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6" s="22">
        <f>IF(AU26="","",IF(OR(AU26&gt;=0.5,AQ26&gt;=0.08),"High",IF(OR(AU26&gt;=0.3,AQ26&gt;=0.04),"Medium","Low")))</f>
        <v/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>
        <f>IF(J27="","",ROUND(MAX(0,10*(1-J27/Filters!$B$4)),1))</f>
        <v/>
      </c>
      <c r="N27" s="19" t="n">
        <v>8</v>
      </c>
      <c r="O27" s="19">
        <f>IF(K27="","",ROUND(MAX(0,10*(1-K27/Filters!$B$5)),1))</f>
        <v/>
      </c>
      <c r="P27" s="19" t="n">
        <v>2</v>
      </c>
      <c r="Q27" s="19" t="n">
        <v>5</v>
      </c>
      <c r="R27" s="19" t="n">
        <v>6</v>
      </c>
      <c r="S27" s="19" t="n">
        <v>3</v>
      </c>
      <c r="T27" s="19">
        <f>IF(G27="","",ROUND(MAX(0,MIN(10,10*(Filters!$B$2-G27)/(Filters!$B$2-500000))),1))</f>
        <v/>
      </c>
      <c r="U27" s="19" t="n">
        <v>0</v>
      </c>
      <c r="V27" s="19" t="n">
        <v>4</v>
      </c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9,799; 37 km E of CBD, in a bend of Olinda Creek [Wikipedia Mount Evelyn]. Nature: Mount Evelyn Forest (part of Dandenong Ranges National Park) in the south; Warburton Rail Trail and Aqueduct Walk pass through [Wikipedia; Victorian Places]; N 8 consistent. Village: shopping centre west of the former station 'accompanied by several community meeting places and churches' [Victorian Places]; R 6 consistent. Train: railway closed 1965, now the rail trail [Wikipedia]; no station; S 3 consistent (bus not checked). Shops: supermarket not named; Q 5 estimate. Indian community: India-born 0.2%, Hinduism 0.2% [ABS 2021 GCP SAL21795]; P 2 consistent (1 arguable). City trip: 37 km, no rail; V 4 estimate. NOT checked: GPs, supermarket, bus, journey time. Scores unchanged.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  <c r="AK27" s="22" t="inlineStr">
        <is>
          <t>SAL21795</t>
        </is>
      </c>
      <c r="AL27" s="32" t="n">
        <v>9799</v>
      </c>
      <c r="AM27" s="22" t="n">
        <v>38</v>
      </c>
      <c r="AN27" s="33" t="n">
        <v>0.149</v>
      </c>
      <c r="AO27" s="33" t="n">
        <v>0.127</v>
      </c>
      <c r="AP27" s="33" t="n">
        <v>0.018</v>
      </c>
      <c r="AQ27" s="33" t="n">
        <v>0.002</v>
      </c>
      <c r="AR27" s="33" t="n">
        <v>0.005</v>
      </c>
      <c r="AS27" s="33" t="n">
        <v>0.002</v>
      </c>
      <c r="AT27" s="33" t="n">
        <v>0</v>
      </c>
      <c r="AU27" s="33" t="n">
        <v>0.042</v>
      </c>
      <c r="AV27" s="22" t="inlineStr">
        <is>
          <t>Italian 0.4%; German 0.2%; French 0.2%</t>
        </is>
      </c>
      <c r="AW2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7" s="22">
        <f>IF(AU27="","",IF(OR(AU27&gt;=0.5,AQ27&gt;=0.08),"High",IF(OR(AU27&gt;=0.3,AQ27&gt;=0.04),"Medium","Low")))</f>
        <v/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>
        <f>IF(J28="","",ROUND(MAX(0,10*(1-J28/Filters!$B$4)),1))</f>
        <v/>
      </c>
      <c r="N28" s="19" t="n">
        <v>5</v>
      </c>
      <c r="O28" s="19">
        <f>IF(K28="","",ROUND(MAX(0,10*(1-K28/Filters!$B$5)),1))</f>
        <v/>
      </c>
      <c r="P28" s="19" t="n">
        <v>5</v>
      </c>
      <c r="Q28" s="19" t="n">
        <v>9</v>
      </c>
      <c r="R28" s="19" t="n">
        <v>4</v>
      </c>
      <c r="S28" s="19" t="n">
        <v>8</v>
      </c>
      <c r="T28" s="19">
        <f>IF(G28="","",ROUND(MAX(0,MIN(10,10*(Filters!$B$2-G28)/(Filters!$B$2-500000))),1))</f>
        <v/>
      </c>
      <c r="U28" s="19" t="n">
        <v>0</v>
      </c>
      <c r="V28" s="19" t="n">
        <v>6</v>
      </c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28,608, 30 km E of CBD, elevation 124 m [Wikipedia Croydon; ABS SAL20682]. Nature: named green spaces are Croydon Park, Dorset Recreational Reserve, Silcock Reserve; Wikipedia does not describe bushland or hills, so N 5 rests on estimate only. Village: Croydon Main Street 187+ traders, Arndale Centre, Croydon Central, long-running Monday market; page also notes denser housing since late 1990s [Wikipedia]; R 4 consistent. Train: Croydon station (Lilydale line, myki zone 2) was closed 30 Jan 2024 for the Coolstore Rd level-crossing removal and REOPENED 12 Aug 2024; platforms to Flinders St via City Loop; 14-bay bus interchange (Nov 2024); 578 car spaces [Wikipedia Croydon station]; S 8 consistent. Shops &amp; doctor: 8 GP clinics incl. Croydon Medical Centre, Main Medical Centre, Wicklow Ave Medical Centre, HealthMint Croydon [healthdirect]; Q 9 consistent. Indian community: India-born 665 (2.3%), Hindi 223 (0.8%); Indian ancestry and Hinduism/Sikhism not in top 5 [ABS SAL20682]; P 5 looks generous vs Highton 4 at similar share, left unchanged. NOT checked: city-trip time (V 6 estimate), Indian grocer/temple, Maroondah ED drive. Scores unchanged.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line, reopened 12 Aug 2024 (checked: Wikipedia Croydon station)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  <c r="AK28" s="22" t="inlineStr">
        <is>
          <t>SAL20682</t>
        </is>
      </c>
      <c r="AL28" s="32" t="n">
        <v>28608</v>
      </c>
      <c r="AM28" s="22" t="n">
        <v>39</v>
      </c>
      <c r="AN28" s="33" t="n">
        <v>0.204</v>
      </c>
      <c r="AO28" s="33" t="n">
        <v>0.254</v>
      </c>
      <c r="AP28" s="33" t="n">
        <v>0.035</v>
      </c>
      <c r="AQ28" s="33" t="n">
        <v>0.023</v>
      </c>
      <c r="AR28" s="33" t="n">
        <v>0.029</v>
      </c>
      <c r="AS28" s="33" t="n">
        <v>0.022</v>
      </c>
      <c r="AT28" s="33" t="n">
        <v>0.005</v>
      </c>
      <c r="AU28" s="33" t="n">
        <v>0.189</v>
      </c>
      <c r="AV28" s="22" t="inlineStr">
        <is>
          <t>Mandarin 3.5%; Cantonese 1.2%; Hindi 0.8%</t>
        </is>
      </c>
      <c r="AW2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8" s="22">
        <f>IF(AU28="","",IF(OR(AU28&gt;=0.5,AQ28&gt;=0.08),"High",IF(OR(AU28&gt;=0.3,AQ28&gt;=0.04),"Medium","Low")))</f>
        <v/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>
        <f>IF(J29="","",ROUND(MAX(0,10*(1-J29/Filters!$B$4)),1))</f>
        <v/>
      </c>
      <c r="N29" s="19" t="n">
        <v>5</v>
      </c>
      <c r="O29" s="19">
        <f>IF(K29="","",ROUND(MAX(0,10*(1-K29/Filters!$B$5)),1))</f>
        <v/>
      </c>
      <c r="P29" s="19" t="n">
        <v>3</v>
      </c>
      <c r="Q29" s="19" t="n">
        <v>8</v>
      </c>
      <c r="R29" s="19" t="n">
        <v>6</v>
      </c>
      <c r="S29" s="19" t="n">
        <v>6</v>
      </c>
      <c r="T29" s="19">
        <f>IF(G29="","",ROUND(MAX(0,MIN(10,10*(Filters!$B$2-G29)/(Filters!$B$2-500000))),1))</f>
        <v/>
      </c>
      <c r="U29" s="19" t="n">
        <v>0</v>
      </c>
      <c r="V29" s="19" t="n">
        <v>4</v>
      </c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 | SCORES 27 Oct 2026: M (near family) and T (price) are formulas from J and G; O from K. N, P, Q, R, S, U, V are ESTIMATES (Claude, general knowledge, not site-checked); S also rests on train Yes/No marked 'verify'. | CHECKED 27 Oct 2026, full pass (suburb level). Pop 19,856; ~102 km SE of Melbourne; between the Strzelecki Ranges and Mt Baw Baw plateau [Wikipedia Warragul; ABS SAL22698]. Nature: Linear Park Arts Discovery Trail through town parks [Wikipedia]; Mount Worth State Park (temperate rainforest, Strzelecki Ranges) is the only outdoor site listed [Monash Rural Health Warragul page]; N 5 looks low for the setting, 6 arguable, but no trail detail found. Train: staffed V/Line station, Gippsland line (Traralgon/Bairnsdale), 99.67 km from Southern Cross, myki zone 6/7, 200 parking spaces [Wikipedia Warragul station]; at-least-hourly services and ~1 h 40 min from Southern Cross [Monash page; secondary source]; S 6 consistent. Shops &amp; doctor: 7 GP clinics (Warragul Family Medicine, West Gippsland Medical Clinic x2, Latrobe Community Health, Warragul Medical Centre, Central Clinic, Gladstone St Medical) [healthdirect]; public hospital = West Gippsland Healthcare Group [Wikipedia]; supermarket names NOT confirmed; Q 8 consistent. Indian community: India-born 194 (1.0%), Punjabi 86 (0.4%); Indian ancestry and Hinduism/Sikhism not in top 5 [ABS SAL22698]; P 3 consistent. Village: Wikipedia calls it the main service centre of West Gippsland, with a monthly farmers' market in Civic Park (3rd Saturday); no village-character description found; R 6 unverified. NOT checked: city-trip (V 4 estimate), beach (0, inland), weekday frequency from official timetable. Scores unchanged.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line, myki 6/7, at-least-hourly (checked: Wikipedia Warragul station; Monash Rural Health)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  <c r="AK29" s="22" t="inlineStr">
        <is>
          <t>SAL22698</t>
        </is>
      </c>
      <c r="AL29" s="32" t="n">
        <v>19856</v>
      </c>
      <c r="AM29" s="22" t="n">
        <v>40</v>
      </c>
      <c r="AN29" s="33" t="n">
        <v>0.216</v>
      </c>
      <c r="AO29" s="33" t="n">
        <v>0.14</v>
      </c>
      <c r="AP29" s="33" t="n">
        <v>0.05</v>
      </c>
      <c r="AQ29" s="33" t="n">
        <v>0.01</v>
      </c>
      <c r="AR29" s="33" t="n">
        <v>0.013</v>
      </c>
      <c r="AS29" s="33" t="n">
        <v>0.006999999999999999</v>
      </c>
      <c r="AT29" s="33" t="n">
        <v>0.004</v>
      </c>
      <c r="AU29" s="33" t="n">
        <v>0.068</v>
      </c>
      <c r="AV29" s="22" t="inlineStr">
        <is>
          <t>Mandarin 0.8%; Punjabi 0.4%; Italian 0.3%</t>
        </is>
      </c>
      <c r="AW2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29" s="22">
        <f>IF(AU29="","",IF(OR(AU29&gt;=0.5,AQ29&gt;=0.08),"High",IF(OR(AU29&gt;=0.3,AQ29&gt;=0.04),"Medium","Low")))</f>
        <v/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  <c r="AK30" s="22" t="inlineStr">
        <is>
          <t>SAL21793</t>
        </is>
      </c>
      <c r="AL30" s="32" t="n">
        <v>18734</v>
      </c>
      <c r="AM30" s="22" t="n">
        <v>45</v>
      </c>
      <c r="AN30" s="33" t="n">
        <v>0.223</v>
      </c>
      <c r="AO30" s="33" t="n">
        <v>0.223</v>
      </c>
      <c r="AP30" s="33" t="n">
        <v>0.032</v>
      </c>
      <c r="AQ30" s="33" t="n">
        <v>0.004</v>
      </c>
      <c r="AR30" s="33" t="n">
        <v>0.01</v>
      </c>
      <c r="AS30" s="33" t="n">
        <v>0.005</v>
      </c>
      <c r="AT30" s="33" t="n">
        <v>0.001</v>
      </c>
      <c r="AU30" s="33" t="n">
        <v>0.063</v>
      </c>
      <c r="AV30" s="22" t="inlineStr">
        <is>
          <t>Mandarin 0.8%; Greek 0.7%; Italian 0.5%</t>
        </is>
      </c>
      <c r="AW3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30" s="22">
        <f>IF(AU30="","",IF(OR(AU30&gt;=0.5,AQ30&gt;=0.08),"High",IF(OR(AU30&gt;=0.3,AQ30&gt;=0.04),"Medium","Low")))</f>
        <v/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>
        <f>IF(J31="","",ROUND(MAX(0,10*(1-J31/Filters!$B$4)),1))</f>
        <v/>
      </c>
      <c r="N31" s="19" t="n">
        <v>6</v>
      </c>
      <c r="O31" s="19">
        <f>IF(K31="","",ROUND(MAX(0,10*(1-K31/Filters!$B$5)),1))</f>
        <v/>
      </c>
      <c r="P31" s="19" t="n">
        <v>3</v>
      </c>
      <c r="Q31" s="19" t="n">
        <v>9</v>
      </c>
      <c r="R31" s="19" t="n">
        <v>7</v>
      </c>
      <c r="S31" s="19" t="n">
        <v>3</v>
      </c>
      <c r="T31" s="19">
        <f>IF(G31="","",ROUND(MAX(0,MIN(10,10*(Filters!$B$2-G31)/(Filters!$B$2-500000))),1))</f>
        <v/>
      </c>
      <c r="U31" s="19" t="n">
        <v>9</v>
      </c>
      <c r="V31" s="19" t="n">
        <v>3</v>
      </c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rail; bus to Frankston. Mothers Beach, Mills Beach patrolled (Visit Mornington Peninsula). GPs: Mornington Village Medical Centre, Mornington Medical Group (healthdirect). Supermarket not confirmed; Q partly estimate. N, P, R, V remain estimates. | CHECKED 27 Oct 2026, second pass (N, P, R, V; suburb level). Indian community: India-born, Indian ancestry, Hinduism/Sikhism and Hindi/Punjabi are all absent from the ABS 2021 top responses (pop 25,759; 74.0% Australia-born) [ABS QuickStats SAL21763]; web search found no Indian grocer or temple (no result is not proof). Nature: sources name parks and gardens only (Botanical Rose Gardens, Alexandra Park, Dallas Brooks Park, Narambi Reserve), no bushland, creeks or trails [Wikipedia Mornington; Visit Mornington Peninsula], so N 7 is NOT supported by what was found; left at 7, consider 6. Village: 'cosmopolitan seaside village', 1 km+ of shopping, 370+ retail outlets, Wednesday main-street market [Visit Mornington Peninsula]; R 7 consistent. City trip: 46 km SE of CBD, 13 km to Frankston, no rail (heritage line only), buses 781/784/785/788 to Frankston [Wikipedia]; V 3 consistent. NOT checked: supermarket names, drive time to CBD. Scores unchanged. | C3 28 Oct 2026: N 7-&gt;6 (source: earlier source run found parks and gardens only, no bushland named (flagged 'consider 6')).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rail; buses to Frankston station (checked: Wikipedia Frankston station bus list)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  <c r="AK31" s="22" t="inlineStr">
        <is>
          <t>SAL21763</t>
        </is>
      </c>
      <c r="AL31" s="32" t="n">
        <v>25759</v>
      </c>
      <c r="AM31" s="22" t="n">
        <v>50</v>
      </c>
      <c r="AN31" s="33" t="n">
        <v>0.312</v>
      </c>
      <c r="AO31" s="33" t="n">
        <v>0.212</v>
      </c>
      <c r="AP31" s="33" t="n">
        <v>0.048</v>
      </c>
      <c r="AQ31" s="33" t="n">
        <v>0.004</v>
      </c>
      <c r="AR31" s="33" t="n">
        <v>0.005</v>
      </c>
      <c r="AS31" s="33" t="n">
        <v>0.003</v>
      </c>
      <c r="AT31" s="33" t="n">
        <v>0.001</v>
      </c>
      <c r="AU31" s="33" t="n">
        <v>0.05599999999999999</v>
      </c>
      <c r="AV31" s="22" t="inlineStr">
        <is>
          <t>Italian 0.7%; Greek 0.6%; Spanish 0.4%</t>
        </is>
      </c>
      <c r="AW3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31" s="22">
        <f>IF(AU31="","",IF(OR(AU31&gt;=0.5,AQ31&gt;=0.08),"High",IF(OR(AU31&gt;=0.3,AQ31&gt;=0.04),"Medium","Low")))</f>
        <v/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  <c r="AK32" s="22" t="inlineStr">
        <is>
          <t>SAL20575</t>
        </is>
      </c>
      <c r="AL32" s="32" t="n">
        <v>7646</v>
      </c>
      <c r="AM32" s="22" t="n">
        <v>48</v>
      </c>
      <c r="AN32" s="33" t="n">
        <v>0.267</v>
      </c>
      <c r="AO32" s="33" t="n">
        <v>0.16</v>
      </c>
      <c r="AP32" s="33" t="n">
        <v>0.032</v>
      </c>
      <c r="AQ32" s="33" t="n">
        <v>0.002</v>
      </c>
      <c r="AR32" s="33" t="n">
        <v>0.003</v>
      </c>
      <c r="AS32" s="33" t="n">
        <v>0.001</v>
      </c>
      <c r="AT32" s="33" t="n">
        <v>0</v>
      </c>
      <c r="AU32" s="33" t="n">
        <v>0.046</v>
      </c>
      <c r="AV32" s="22" t="inlineStr">
        <is>
          <t>Italian 0.6%; Greek 0.4%; German 0.4%</t>
        </is>
      </c>
      <c r="AW3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32" s="22">
        <f>IF(AU32="","",IF(OR(AU32&gt;=0.5,AQ32&gt;=0.08),"High",IF(OR(AU32&gt;=0.3,AQ32&gt;=0.04),"Medium","Low")))</f>
        <v/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>
        <f>IF(J33="","",ROUND(MAX(0,10*(1-J33/Filters!$B$4)),1))</f>
        <v/>
      </c>
      <c r="N33" s="19" t="n">
        <v>10</v>
      </c>
      <c r="O33" s="19">
        <f>IF(K33="","",ROUND(MAX(0,10*(1-K33/Filters!$B$5)),1))</f>
        <v/>
      </c>
      <c r="P33" s="19" t="n">
        <v>1</v>
      </c>
      <c r="Q33" s="19" t="n">
        <v>4</v>
      </c>
      <c r="R33" s="19" t="n">
        <v>8</v>
      </c>
      <c r="S33" s="19" t="n">
        <v>1</v>
      </c>
      <c r="T33" s="19">
        <f>IF(G33="","",ROUND(MAX(0,MIN(10,10*(Filters!$B$2-G33)/(Filters!$B$2-500000))),1))</f>
        <v/>
      </c>
      <c r="U33" s="19" t="n">
        <v>0</v>
      </c>
      <c r="V33" s="19" t="n">
        <v>1</v>
      </c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2,020; on the Yarra River, 76 km E of CBD [Wikipedia Warburton] (60 km per Victorian Places), foothills of the Great Dividing Range, adjoining Yarra State Forest via East Warburton [Victorian Places]. Nature: extensive walking trails, Warburton Bridges and River Walk, rail trail to Lilydale [Victorian Places]; N 10 consistent. Village: main street mostly retail, constrained by floodplain to the north; B&amp;Bs, health resorts, golf course, festivals [Victorian Places]; R 8 consistent. Train: line closed (now rail trail) [Victorian Places]; S 1 consistent. Indian community: India-born 0.3%, Hinduism 0.4% [ABS 2021 GCP SAL22689]; P 1 consistent. Older: median age 50; 13.7% birthplace not stated [ABS]. City trip: 60-76 km, no rail; V 1 consistent. NOT checked: GPs, supermarket, bus, flood overlay. Scores unchanged.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  <c r="AK33" s="22" t="inlineStr">
        <is>
          <t>SAL22689</t>
        </is>
      </c>
      <c r="AL33" s="32" t="n">
        <v>2020</v>
      </c>
      <c r="AM33" s="22" t="n">
        <v>50</v>
      </c>
      <c r="AN33" s="33" t="n">
        <v>0.243</v>
      </c>
      <c r="AO33" s="33" t="n">
        <v>0.186</v>
      </c>
      <c r="AP33" s="33" t="n">
        <v>0.137</v>
      </c>
      <c r="AQ33" s="33" t="n">
        <v>0.003</v>
      </c>
      <c r="AR33" s="33" t="n">
        <v>0.002</v>
      </c>
      <c r="AS33" s="33" t="n">
        <v>0.004</v>
      </c>
      <c r="AT33" s="33" t="n">
        <v>0</v>
      </c>
      <c r="AU33" s="33" t="n">
        <v>0.053</v>
      </c>
      <c r="AV33" s="22" t="inlineStr">
        <is>
          <t>German 0.8%; Japanese 0.5%; Polish 0.3%</t>
        </is>
      </c>
      <c r="AW33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33" s="22">
        <f>IF(AU33="","",IF(OR(AU33&gt;=0.5,AQ33&gt;=0.08),"High",IF(OR(AU33&gt;=0.3,AQ33&gt;=0.04),"Medium","Low")))</f>
        <v/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  <c r="AK34" s="22" t="inlineStr">
        <is>
          <t>SAL22577</t>
        </is>
      </c>
      <c r="AL34" s="32" t="n">
        <v>1382</v>
      </c>
      <c r="AM34" s="22" t="n">
        <v>56</v>
      </c>
      <c r="AN34" s="33" t="n">
        <v>0.336</v>
      </c>
      <c r="AO34" s="33" t="n">
        <v>0.179</v>
      </c>
      <c r="AP34" s="33" t="n">
        <v>0.083</v>
      </c>
      <c r="AQ34" s="33" t="n">
        <v>0.002</v>
      </c>
      <c r="AR34" s="33" t="n">
        <v>0.006</v>
      </c>
      <c r="AS34" s="33" t="n">
        <v>0</v>
      </c>
      <c r="AT34" s="33" t="n">
        <v>0</v>
      </c>
      <c r="AU34" s="33" t="n">
        <v>0.03</v>
      </c>
      <c r="AV34" s="22" t="inlineStr">
        <is>
          <t>French 0.8%; Croatian 0.4%; Turkish 0.3%</t>
        </is>
      </c>
      <c r="AW34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34" s="22">
        <f>IF(AU34="","",IF(OR(AU34&gt;=0.5,AQ34&gt;=0.08),"High",IF(OR(AU34&gt;=0.3,AQ34&gt;=0.04),"Medium","Low")))</f>
        <v/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>
        <f>IF(J35="","",ROUND(MAX(0,10*(1-J35/Filters!$B$4)),1))</f>
        <v/>
      </c>
      <c r="N35" s="19" t="n">
        <v>10</v>
      </c>
      <c r="O35" s="19">
        <f>IF(K35="","",ROUND(MAX(0,10*(1-K35/Filters!$B$5)),1))</f>
        <v/>
      </c>
      <c r="P35" s="19" t="n">
        <v>2</v>
      </c>
      <c r="Q35" s="19" t="n">
        <v>3</v>
      </c>
      <c r="R35" s="19" t="n">
        <v>9</v>
      </c>
      <c r="S35" s="19" t="n">
        <v>2</v>
      </c>
      <c r="T35" s="19">
        <f>IF(G35="","",ROUND(MAX(0,MIN(10,10*(Filters!$B$2-G35)/(Filters!$B$2-500000))),1))</f>
        <v/>
      </c>
      <c r="U35" s="19" t="n">
        <v>0</v>
      </c>
      <c r="V35" s="19" t="n">
        <v>3</v>
      </c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1,773; Dandenong Ranges township at the southern foot of Mount Dandenong, 37 km E of Melbourne [Wikipedia Olinda; Victorian Places]. Nature: Dandenong Ranges Botanic Garden (National Rhododendron Garden), R.J. Hamer Arboretum, Olinda Falls and Cascade walk, many walking trails [Wikipedia; Victorian Places]; N 10 consistent. Village: 'the highest number of hospitality, gallery and garden attractions of any location in the Dandenongs'; cafés, galleries, craft shops; shopping centre with hotel and post office [Victorian Places]; R 9 consistent. Shops: small centre, no supermarket named; Q 3 consistent. Train: none named; S 2 consistent. Indian community: India-born 0.2%, Hinduism 0.6% [ABS 2021 GCP SAL22009]; P 2 consistent (1 arguable). City trip: 37 km, no rail; V 3 estimate. NOT checked: GPs, bus, bushfire overlay. Scores unchanged.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  <c r="AK35" s="22" t="inlineStr">
        <is>
          <t>SAL22009</t>
        </is>
      </c>
      <c r="AL35" s="32" t="n">
        <v>1773</v>
      </c>
      <c r="AM35" s="22" t="n">
        <v>45</v>
      </c>
      <c r="AN35" s="33" t="n">
        <v>0.191</v>
      </c>
      <c r="AO35" s="33" t="n">
        <v>0.186</v>
      </c>
      <c r="AP35" s="33" t="n">
        <v>0.047</v>
      </c>
      <c r="AQ35" s="33" t="n">
        <v>0.002</v>
      </c>
      <c r="AR35" s="33" t="n">
        <v>0.008</v>
      </c>
      <c r="AS35" s="33" t="n">
        <v>0.006</v>
      </c>
      <c r="AT35" s="33" t="n">
        <v>0</v>
      </c>
      <c r="AU35" s="33" t="n">
        <v>0.07099999999999999</v>
      </c>
      <c r="AV35" s="22" t="inlineStr">
        <is>
          <t>French 1.5%; Mandarin 0.8%; Japanese 0.5%</t>
        </is>
      </c>
      <c r="AW35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35" s="22">
        <f>IF(AU35="","",IF(OR(AU35&gt;=0.5,AQ35&gt;=0.08),"High",IF(OR(AU35&gt;=0.3,AQ35&gt;=0.04),"Medium","Low")))</f>
        <v/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>
        <f>IF(J36="","",ROUND(MAX(0,10*(1-J36/Filters!$B$4)),1))</f>
        <v/>
      </c>
      <c r="N36" s="19" t="n">
        <v>10</v>
      </c>
      <c r="O36" s="19">
        <f>IF(K36="","",ROUND(MAX(0,10*(1-K36/Filters!$B$5)),1))</f>
        <v/>
      </c>
      <c r="P36" s="19" t="n">
        <v>2</v>
      </c>
      <c r="Q36" s="19" t="n">
        <v>3</v>
      </c>
      <c r="R36" s="19" t="n">
        <v>9</v>
      </c>
      <c r="S36" s="19" t="n">
        <v>2</v>
      </c>
      <c r="T36" s="19">
        <f>IF(G36="","",ROUND(MAX(0,MIN(10,10*(Filters!$B$2-G36)/(Filters!$B$2-500000))),1))</f>
        <v/>
      </c>
      <c r="U36" s="19" t="n">
        <v>0</v>
      </c>
      <c r="V36" s="19" t="n">
        <v>3</v>
      </c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970; village ~500 m up in a saddle on the Dandenong Ranges ridgeline; much of the locality's west is Dandenong Ranges National Park; Sassafras Creek's banks almost entirely protected public land; Dandenong Ranges Tourist Track runs 15 km beside the creek [Wikipedia Sassafras]. N 10 consistent. Village: tourist village of boutique shops, cafés, Devonshire tea, toy and antique shops, nurseries [Wikipedia]; 'has a shopping centre, a hall, a school' [Victorian Places]; R 9 consistent. Shops: small centre only, no supermarket named; Q 3 consistent (estimate). Train: no station named in either source; S 2 consistent. Indian community: India-born 0, Hinduism 0.0% [ABS 2021 GCP SAL22239]; P 2 generous (1 arguable). City trip: 43 km E of CBD [Wikipedia]; journey time not stated; V 3 estimate. Hazard: area has burnt repeatedly since the 1850s, most recently 1962 [Wikipedia]. Small population: ABS perturbs small counts. NOT checked: GPs, supermarket, bus, journey time. Scores unchanged.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  <c r="AK36" s="22" t="inlineStr">
        <is>
          <t>SAL22239</t>
        </is>
      </c>
      <c r="AL36" s="32" t="n">
        <v>970</v>
      </c>
      <c r="AM36" s="22" t="n">
        <v>47</v>
      </c>
      <c r="AN36" s="33" t="n">
        <v>0.193</v>
      </c>
      <c r="AO36" s="33" t="n">
        <v>0.196</v>
      </c>
      <c r="AP36" s="33" t="n">
        <v>0.036</v>
      </c>
      <c r="AQ36" s="33" t="n">
        <v>0</v>
      </c>
      <c r="AR36" s="33" t="n">
        <v>0.006</v>
      </c>
      <c r="AS36" s="33" t="n">
        <v>0</v>
      </c>
      <c r="AT36" s="33" t="n">
        <v>0</v>
      </c>
      <c r="AU36" s="33" t="n">
        <v>0.07200000000000001</v>
      </c>
      <c r="AV36" s="22" t="inlineStr">
        <is>
          <t>German 1.0%; Japanese 0.9%; Russian 0.7%</t>
        </is>
      </c>
      <c r="AW36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36" s="22">
        <f>IF(AU36="","",IF(OR(AU36&gt;=0.5,AQ36&gt;=0.08),"High",IF(OR(AU36&gt;=0.3,AQ36&gt;=0.04),"Medium","Low")))</f>
        <v/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>
        <f>IF(J37="","",ROUND(MAX(0,10*(1-J37/Filters!$B$4)),1))</f>
        <v/>
      </c>
      <c r="N37" s="19" t="n">
        <v>10</v>
      </c>
      <c r="O37" s="19">
        <f>IF(K37="","",ROUND(MAX(0,10*(1-K37/Filters!$B$5)),1))</f>
        <v/>
      </c>
      <c r="P37" s="19" t="n">
        <v>2</v>
      </c>
      <c r="Q37" s="19" t="n">
        <v>2</v>
      </c>
      <c r="R37" s="19" t="n">
        <v>7</v>
      </c>
      <c r="S37" s="19" t="n">
        <v>1</v>
      </c>
      <c r="T37" s="19">
        <f>IF(G37="","",ROUND(MAX(0,MIN(10,10*(Filters!$B$2-G37)/(Filters!$B$2-500000))),1))</f>
        <v/>
      </c>
      <c r="U37" s="19" t="n">
        <v>0</v>
      </c>
      <c r="V37" s="19" t="n">
        <v>3</v>
      </c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1,271; 44 km E of CBD [Wikipedia Mount Dandenong] (35 km per Victorian Places); the 633 m peak is the highest in the Ranges. Nature: Doongalla Forest (Dandenong Ranges National Park) is in the suburb; William Ricketts Sanctuary; Burke's Lookout; fine gardens; light snow a few times most years [Victorian Places; Wikipedia]; N 10 consistent. Village: 'a small shopping centre and several restaurants' [Victorian Places]; R 7 consistent. Shops: Q 2 consistent. Train: none named; S 1 consistent. Indian community: India-born 0.6%, Hinduism 0.2% [ABS 2021 GCP SAL21787]; P 2 consistent. City trip: 35-44 km, no rail; V 3 estimate. Winter cold and snow are a consideration for older residents. NOT checked: GPs, bus. Scores unchanged.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  <c r="AK37" s="22" t="inlineStr">
        <is>
          <t>SAL21787</t>
        </is>
      </c>
      <c r="AL37" s="32" t="n">
        <v>1271</v>
      </c>
      <c r="AM37" s="22" t="n">
        <v>45</v>
      </c>
      <c r="AN37" s="33" t="n">
        <v>0.218</v>
      </c>
      <c r="AO37" s="33" t="n">
        <v>0.19</v>
      </c>
      <c r="AP37" s="33" t="n">
        <v>0.03</v>
      </c>
      <c r="AQ37" s="33" t="n">
        <v>0.006</v>
      </c>
      <c r="AR37" s="33" t="n">
        <v>0.008</v>
      </c>
      <c r="AS37" s="33" t="n">
        <v>0.002</v>
      </c>
      <c r="AT37" s="33" t="n">
        <v>0</v>
      </c>
      <c r="AU37" s="33" t="n">
        <v>0.05599999999999999</v>
      </c>
      <c r="AV37" s="22" t="inlineStr">
        <is>
          <t>German 0.9%; Afrikaans 0.9%; Spanish 0.6%</t>
        </is>
      </c>
      <c r="AW37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37" s="22">
        <f>IF(AU37="","",IF(OR(AU37&gt;=0.5,AQ37&gt;=0.08),"High",IF(OR(AU37&gt;=0.3,AQ37&gt;=0.04),"Medium","Low")))</f>
        <v/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>
        <f>IF(J38="","",ROUND(MAX(0,10*(1-J38/Filters!$B$4)),1))</f>
        <v/>
      </c>
      <c r="N38" s="19" t="n">
        <v>9</v>
      </c>
      <c r="O38" s="19">
        <f>IF(K38="","",ROUND(MAX(0,10*(1-K38/Filters!$B$5)),1))</f>
        <v/>
      </c>
      <c r="P38" s="19" t="n">
        <v>2</v>
      </c>
      <c r="Q38" s="19" t="n">
        <v>6</v>
      </c>
      <c r="R38" s="19" t="n">
        <v>8</v>
      </c>
      <c r="S38" s="19" t="n">
        <v>2</v>
      </c>
      <c r="T38" s="19">
        <f>IF(G38="","",ROUND(MAX(0,MIN(10,10*(Filters!$B$2-G38)/(Filters!$B$2-500000))),1))</f>
        <v/>
      </c>
      <c r="U38" s="19" t="n">
        <v>0</v>
      </c>
      <c r="V38" s="19" t="n">
        <v>3</v>
      </c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5,890; 44 km SE of CBD, Shires of Cardinia and Yarra Ranges [Wikipedia Emerald]. Nature: Emerald Lake park with walking tracks; Cardinia Reservoir Park (kangaroos, wombats); smaller reserves [Wikipedia; Victorian Places]; N 9 consistent. Village: 'an active shopping area', cooperative-owned hardware store, museum, golf club [Victorian Places]; R 8 consistent. Shops: Woolworths supermarket since 2011 [Victorian Places]; Q 6 consistent. Train: Puffing Billy heritage steam railway only (3 stations in Emerald) [Wikipedia]; S 2 consistent. Indian community: India-born 0.1%, Hinduism 0.0% [ABS 2021 GCP SAL20868]; P 2 generous (1 arguable). City trip: 44 km, no commuter rail; V 3 estimate. NOT checked: GPs, bus. Scores unchanged.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  <c r="AK38" s="22" t="inlineStr">
        <is>
          <t>SAL20868</t>
        </is>
      </c>
      <c r="AL38" s="32" t="n">
        <v>5890</v>
      </c>
      <c r="AM38" s="22" t="n">
        <v>43</v>
      </c>
      <c r="AN38" s="33" t="n">
        <v>0.186</v>
      </c>
      <c r="AO38" s="33" t="n">
        <v>0.165</v>
      </c>
      <c r="AP38" s="33" t="n">
        <v>0.035</v>
      </c>
      <c r="AQ38" s="33" t="n">
        <v>0.001</v>
      </c>
      <c r="AR38" s="33" t="n">
        <v>0.003</v>
      </c>
      <c r="AS38" s="33" t="n">
        <v>0</v>
      </c>
      <c r="AT38" s="33" t="n">
        <v>0</v>
      </c>
      <c r="AU38" s="33" t="n">
        <v>0.052</v>
      </c>
      <c r="AV38" s="22" t="inlineStr">
        <is>
          <t>Spanish 0.7%; German 0.5%; Japanese 0.5%</t>
        </is>
      </c>
      <c r="AW3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38" s="22">
        <f>IF(AU38="","",IF(OR(AU38&gt;=0.5,AQ38&gt;=0.08),"High",IF(OR(AU38&gt;=0.3,AQ38&gt;=0.04),"Medium","Low")))</f>
        <v/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>
        <f>IF(J39="","",ROUND(MAX(0,10*(1-J39/Filters!$B$4)),1))</f>
        <v/>
      </c>
      <c r="N39" s="19" t="n">
        <v>6</v>
      </c>
      <c r="O39" s="19">
        <f>IF(K39="","",ROUND(MAX(0,10*(1-K39/Filters!$B$5)),1))</f>
        <v/>
      </c>
      <c r="P39" s="19" t="n">
        <v>5</v>
      </c>
      <c r="Q39" s="19" t="n">
        <v>8</v>
      </c>
      <c r="R39" s="19" t="n">
        <v>4</v>
      </c>
      <c r="S39" s="19" t="n">
        <v>8</v>
      </c>
      <c r="T39" s="19">
        <f>IF(G39="","",ROUND(MAX(0,MIN(10,10*(Filters!$B$2-G39)/(Filters!$B$2-500000))),1))</f>
        <v/>
      </c>
      <c r="U39" s="19" t="n">
        <v>0</v>
      </c>
      <c r="V39" s="19" t="n">
        <v>6</v>
      </c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 | SCORES 27 Oct 2026: M (near family) and T (price) are formulas from J and G; O from K. N, P, Q, R, S, U, V are ESTIMATES (Claude, general knowledge, not site-checked); S also rests on train Yes/No marked 'verify'. Price = postcode-level AVM shared with Upper FTG. | CHECKED 27 Oct 2026, source run C1 (suburb level; Wikipedia, Victorian Places, ABS 2021 GCP DataPack). Pop 27,398; foothills of the Dandenong Ranges, 30 km E of CBD [Wikipedia Ferntree Gully]. Nature: large part of Dandenong Ranges National Park forms the backdrop; eastern boundary is the National Park; One Tree Hill; 'high fire risk area' near the park [Wikipedia]; N 6 consistent (village end greener). Shops: Mountain Gate Shopping Centre; Ferntree Gully Village with supermarkets, greengrocers, butchers, cafés; two supermarkets on Burwood Hwy [Wikipedia; Victorian Places]; Q 8 consistent. Village: historic village at the station, rest is 'mostly a large suburban area' [Victorian Places]; R 4 consistent. Train: 'one of the busiest railway stations in the City of Knox' (Belgrave line) [Wikipedia]; S 8 consistent. Indian community: India-born 2.3%, Indian ancestry 3.1%, Hinduism 2.4% [ABS 2021 GCP SAL20917]; P 5 plausible (4 arguable). City trip: 30 km by train; V 6 estimate. NOT checked: GPs by name, journey time. Scores unchanged.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  <c r="AK39" s="22" t="inlineStr">
        <is>
          <t>SAL20917</t>
        </is>
      </c>
      <c r="AL39" s="32" t="n">
        <v>27398</v>
      </c>
      <c r="AM39" s="22" t="n">
        <v>40</v>
      </c>
      <c r="AN39" s="33" t="n">
        <v>0.174</v>
      </c>
      <c r="AO39" s="33" t="n">
        <v>0.253</v>
      </c>
      <c r="AP39" s="33" t="n">
        <v>0.032</v>
      </c>
      <c r="AQ39" s="33" t="n">
        <v>0.023</v>
      </c>
      <c r="AR39" s="33" t="n">
        <v>0.031</v>
      </c>
      <c r="AS39" s="33" t="n">
        <v>0.024</v>
      </c>
      <c r="AT39" s="33" t="n">
        <v>0.004</v>
      </c>
      <c r="AU39" s="33" t="n">
        <v>0.187</v>
      </c>
      <c r="AV39" s="22" t="inlineStr">
        <is>
          <t>Mandarin 3.7%; Cantonese 1.5%; Sinhalese 1.2%</t>
        </is>
      </c>
      <c r="AW3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39" s="22">
        <f>IF(AU39="","",IF(OR(AU39&gt;=0.5,AQ39&gt;=0.08),"High",IF(OR(AU39&gt;=0.3,AQ39&gt;=0.04),"Medium","Low")))</f>
        <v/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>
        <f>IF(J40="","",ROUND(MAX(0,10*(1-J40/Filters!$B$4)),1))</f>
        <v/>
      </c>
      <c r="N40" s="19" t="n">
        <v>5</v>
      </c>
      <c r="O40" s="19">
        <f>IF(K40="","",ROUND(MAX(0,10*(1-K40/Filters!$B$5)),1))</f>
        <v/>
      </c>
      <c r="P40" s="19" t="n">
        <v>7</v>
      </c>
      <c r="Q40" s="19" t="n">
        <v>9</v>
      </c>
      <c r="R40" s="19" t="n">
        <v>6</v>
      </c>
      <c r="S40" s="19" t="n">
        <v>8</v>
      </c>
      <c r="T40" s="19">
        <f>IF(G40="","",ROUND(MAX(0,MIN(10,10*(Filters!$B$2-G40)/(Filters!$B$2-500000))),1))</f>
        <v/>
      </c>
      <c r="U40" s="19" t="n">
        <v>1</v>
      </c>
      <c r="V40" s="19" t="n">
        <v>6</v>
      </c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High St village + Berwick Market Place; Casey Hospital (Victorian Places). GPs: Doctors at Casey, Parkhill, O'Shea, Langmore (healthdirect). Wilson Botanic Park. N, P, R, V remain estimates. | CHECKED 27 Oct 2026, second pass (N, P, R, V; suburb level). Indian community: India-born 3,052 (6.1%), Indian ancestry 3,738 (7.4%), Hinduism 2,744 (5.5%), Hindi 778 (1.5%), Punjabi 718 (1.4%), pop 50,298 [ABS SAL20224]; strongly supports P 7 (8 arguable); no temple or grocer identified. Nature: Wilson Botanic Park ~39 ha with two former quarry lakes, woodland plantings, lookout tower [Wikipedia Wilson Botanic Park]; Edwin Flack Reserve is sporting grounds [Wikipedia Berwick]; no bushland described; N 5 consistent. Village: High Street is the core of Berwick Village (small shops, WWI Avenue of Honour poplars); three shopping precincts (Berwick Village, Eden Rise, Parkhill Plaza) [Wikipedia Berwick]; R 6 consistent. City trip: ~40 km SE of CBD, Pakenham line [Wikipedia]; journey time NOT stated; V 6 estimate. Scores unchanged.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(checked: Victorian Places; Wikipedia Berwick station)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  <c r="AK40" s="22" t="inlineStr">
        <is>
          <t>SAL20224</t>
        </is>
      </c>
      <c r="AL40" s="32" t="n">
        <v>50298</v>
      </c>
      <c r="AM40" s="22" t="n">
        <v>38</v>
      </c>
      <c r="AN40" s="33" t="n">
        <v>0.142</v>
      </c>
      <c r="AO40" s="33" t="n">
        <v>0.342</v>
      </c>
      <c r="AP40" s="33" t="n">
        <v>0.035</v>
      </c>
      <c r="AQ40" s="33" t="n">
        <v>0.061</v>
      </c>
      <c r="AR40" s="33" t="n">
        <v>0.07400000000000001</v>
      </c>
      <c r="AS40" s="33" t="n">
        <v>0.055</v>
      </c>
      <c r="AT40" s="33" t="n">
        <v>0.013</v>
      </c>
      <c r="AU40" s="33" t="n">
        <v>0.287</v>
      </c>
      <c r="AV40" s="22" t="inlineStr">
        <is>
          <t>Mandarin 4.0%; Sinhalese 3.8%; Hindi 1.5%</t>
        </is>
      </c>
      <c r="AW4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0" s="22">
        <f>IF(AU40="","",IF(OR(AU40&gt;=0.5,AQ40&gt;=0.08),"High",IF(OR(AU40&gt;=0.3,AQ40&gt;=0.04),"Medium","Low")))</f>
        <v/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>
        <f>IF(J41="","",ROUND(MAX(0,10*(1-J41/Filters!$B$4)),1))</f>
        <v/>
      </c>
      <c r="N41" s="19" t="n">
        <v>7</v>
      </c>
      <c r="O41" s="19">
        <f>IF(K41="","",ROUND(MAX(0,10*(1-K41/Filters!$B$5)),1))</f>
        <v/>
      </c>
      <c r="P41" s="19" t="n">
        <v>3</v>
      </c>
      <c r="Q41" s="19" t="n">
        <v>5</v>
      </c>
      <c r="R41" s="19" t="n">
        <v>5</v>
      </c>
      <c r="S41" s="19" t="n">
        <v>4</v>
      </c>
      <c r="T41" s="19">
        <f>IF(G41="","",ROUND(MAX(0,MIN(10,10*(Filters!$B$2-G41)/(Filters!$B$2-500000))),1))</f>
        <v/>
      </c>
      <c r="U41" s="19" t="n">
        <v>6</v>
      </c>
      <c r="V41" s="19" t="n">
        <v>5</v>
      </c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station; buses to Frankston. Olivers Hill bay views; Daveys Bay is in Mt Eliza, so beach access not in suburb: U lowered 7-&gt;6. No major shops, small strips only: Q lowered 6-&gt;5 (Wikipedia). GP: Baxter Park Medical Centre (healthdirect). Sweetwater Creek reserve. N, P, R, V remain estimates. | CHECKED 27 Oct 2026, second pass (N, P, R, V; suburb level). Nature: elevated land where Sweetwater Creek descends from Mount Eliza; Frankston Reservoir; much stayed open country until postwar [Victorian Places Frankston South]; N 7 plausible. Village: 'no major shopping areas'; small strips on Norman Ave, Foot St and Overport Rd; south served by Mount Eliza village [Wikipedia Frankston South]; R 6 generous (5 arguable). Indian community: India-born 0.9%, Hinduism 0.4%; Malayalam 0.8% at home [ABS 2021 GCP SAL20949]; P 3 consistent (2 arguable). Older: median age 44, 22.0% aged 65+ [ABS]. City trip: 41-43 km SE, no station [Wikipedia; Victorian Places]; V 5 estimate. Scores unchanged. | C3 28 Oct 2026: R 6-&gt;5 (source: 'no major shopping areas', only small strips [Wikipedia Frankston South]).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station; buses to Frankston CBD (checked: Wikipedia Frankston South)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  <c r="AK41" s="22" t="inlineStr">
        <is>
          <t>SAL20949</t>
        </is>
      </c>
      <c r="AL41" s="32" t="n">
        <v>18801</v>
      </c>
      <c r="AM41" s="22" t="n">
        <v>44</v>
      </c>
      <c r="AN41" s="33" t="n">
        <v>0.22</v>
      </c>
      <c r="AO41" s="33" t="n">
        <v>0.216</v>
      </c>
      <c r="AP41" s="33" t="n">
        <v>0.03</v>
      </c>
      <c r="AQ41" s="33" t="n">
        <v>0.009000000000000001</v>
      </c>
      <c r="AR41" s="33" t="n">
        <v>0.013</v>
      </c>
      <c r="AS41" s="33" t="n">
        <v>0.004</v>
      </c>
      <c r="AT41" s="33" t="n">
        <v>0</v>
      </c>
      <c r="AU41" s="33" t="n">
        <v>0.09</v>
      </c>
      <c r="AV41" s="22" t="inlineStr">
        <is>
          <t>Mandarin 1.2%; Greek 1.0%; Malayalam 0.8%</t>
        </is>
      </c>
      <c r="AW4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1" s="22">
        <f>IF(AU41="","",IF(OR(AU41&gt;=0.5,AQ41&gt;=0.08),"High",IF(OR(AU41&gt;=0.3,AQ41&gt;=0.04),"Medium","Low")))</f>
        <v/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>
        <f>IF(J42="","",ROUND(MAX(0,10*(1-J42/Filters!$B$4)),1))</f>
        <v/>
      </c>
      <c r="N42" s="19" t="n">
        <v>8</v>
      </c>
      <c r="O42" s="19">
        <f>IF(K42="","",ROUND(MAX(0,10*(1-K42/Filters!$B$5)),1))</f>
        <v/>
      </c>
      <c r="P42" s="19" t="n">
        <v>1</v>
      </c>
      <c r="Q42" s="19" t="n">
        <v>5</v>
      </c>
      <c r="R42" s="19" t="n">
        <v>8</v>
      </c>
      <c r="S42" s="19" t="n">
        <v>6</v>
      </c>
      <c r="T42" s="19">
        <f>IF(G42="","",ROUND(MAX(0,MIN(10,10*(Filters!$B$2-G42)/(Filters!$B$2-500000))),1))</f>
        <v/>
      </c>
      <c r="U42" s="19" t="n">
        <v>0</v>
      </c>
      <c r="V42" s="19" t="n">
        <v>5</v>
      </c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3,554; 28 km NE of CBD, Shire of Nillumbik [Wikipedia Hurstbridge]. Train: terminus of the line from Melbourne via Eltham (1912; electrified 1926) [Victorian Places]; station opposite the post office [Wikipedia]; S 6 consistent (frequency not checked). Nature: 'two extensive parklands along the Diamond Creek and two native flora reserves', Ferguson's Paddock with monthly farmers' market [Victorian Places]; N 8 consistent. Village: 'The Main Road shops retain many original building elements'; Anzac Avenue avenue of honour [Victorian Places]; R 8 consistent. Shops: 'an active shopping centre' [Victorian Places]; supermarket not named; Q 5 estimate. Indian community: India-born 0.3%, Hinduism 0.3% [ABS 2021 GCP SAL21223]; 86.1% Australia-born [Wikipedia citing ABS]; P 1 consistent. City trip: 28 km by train; journey time not stated; V 5 estimate. NOT checked: GPs, supermarket, train frequency. Scores unchanged.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  <c r="AK42" s="22" t="inlineStr">
        <is>
          <t>SAL21223</t>
        </is>
      </c>
      <c r="AL42" s="32" t="n">
        <v>3554</v>
      </c>
      <c r="AM42" s="22" t="n">
        <v>41</v>
      </c>
      <c r="AN42" s="33" t="n">
        <v>0.156</v>
      </c>
      <c r="AO42" s="33" t="n">
        <v>0.12</v>
      </c>
      <c r="AP42" s="33" t="n">
        <v>0.019</v>
      </c>
      <c r="AQ42" s="33" t="n">
        <v>0.003</v>
      </c>
      <c r="AR42" s="33" t="n">
        <v>0.004</v>
      </c>
      <c r="AS42" s="33" t="n">
        <v>0.003</v>
      </c>
      <c r="AT42" s="33" t="n">
        <v>0.001</v>
      </c>
      <c r="AU42" s="33" t="n">
        <v>0.04</v>
      </c>
      <c r="AV42" s="22" t="inlineStr">
        <is>
          <t>Spanish 0.4%; Japanese 0.3%; Italian 0.3%</t>
        </is>
      </c>
      <c r="AW4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2" s="22">
        <f>IF(AU42="","",IF(OR(AU42&gt;=0.5,AQ42&gt;=0.08),"High",IF(OR(AU42&gt;=0.3,AQ42&gt;=0.04),"Medium","Low")))</f>
        <v/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  <c r="AK43" s="22" t="inlineStr">
        <is>
          <t>SAL20111</t>
        </is>
      </c>
      <c r="AL43" s="32" t="n">
        <v>5378</v>
      </c>
      <c r="AM43" s="22" t="n">
        <v>41</v>
      </c>
      <c r="AN43" s="33" t="n">
        <v>0.187</v>
      </c>
      <c r="AO43" s="33" t="n">
        <v>0.13</v>
      </c>
      <c r="AP43" s="33" t="n">
        <v>0.05400000000000001</v>
      </c>
      <c r="AQ43" s="33" t="n">
        <v>0.018</v>
      </c>
      <c r="AR43" s="33" t="n">
        <v>0.019</v>
      </c>
      <c r="AS43" s="33" t="n">
        <v>0.011</v>
      </c>
      <c r="AT43" s="33" t="n">
        <v>0.006999999999999999</v>
      </c>
      <c r="AU43" s="33" t="n">
        <v>0.079</v>
      </c>
      <c r="AV43" s="22" t="inlineStr">
        <is>
          <t>Mandarin 0.8%; Punjabi 0.8%; Japanese 0.5%</t>
        </is>
      </c>
      <c r="AW43" s="22" t="inlineStr">
        <is>
          <t>ABS 2021 Census General Community Profile DataPack, Suburbs and Localities (SAL), Victoria (tables G01, G02, G08, G09, G13, G14); downloaded 27 Oct 2026 from abs.gov.au. Place of usual residence. CAVEAT: Ballarat Central locality only (CBD, pop 5,378), not the whole city.</t>
        </is>
      </c>
      <c r="AX43" s="22">
        <f>IF(AU43="","",IF(OR(AU43&gt;=0.5,AQ43&gt;=0.08),"High",IF(OR(AU43&gt;=0.3,AQ43&gt;=0.04),"Medium","Low")))</f>
        <v/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  <c r="AK44" s="22" t="inlineStr">
        <is>
          <t>SAL20208</t>
        </is>
      </c>
      <c r="AL44" s="32" t="n">
        <v>5652</v>
      </c>
      <c r="AM44" s="22" t="n">
        <v>43</v>
      </c>
      <c r="AN44" s="33" t="n">
        <v>0.206</v>
      </c>
      <c r="AO44" s="33" t="n">
        <v>0.126</v>
      </c>
      <c r="AP44" s="33" t="n">
        <v>0.049</v>
      </c>
      <c r="AQ44" s="33" t="n">
        <v>0.023</v>
      </c>
      <c r="AR44" s="33" t="n">
        <v>0.019</v>
      </c>
      <c r="AS44" s="33" t="n">
        <v>0.015</v>
      </c>
      <c r="AT44" s="33" t="n">
        <v>0.005</v>
      </c>
      <c r="AU44" s="33" t="n">
        <v>0.08400000000000001</v>
      </c>
      <c r="AV44" s="22" t="inlineStr">
        <is>
          <t>Mandarin 0.7%; Punjabi 0.6%; Malayalam 0.4%</t>
        </is>
      </c>
      <c r="AW44" s="22" t="inlineStr">
        <is>
          <t>ABS 2021 Census General Community Profile DataPack, Suburbs and Localities (SAL), Victoria (tables G01, G02, G08, G09, G13, G14); downloaded 27 Oct 2026 from abs.gov.au. Place of usual residence. CAVEAT: Bendigo locality (central, pop 5,652), not the whole city.</t>
        </is>
      </c>
      <c r="AX44" s="22">
        <f>IF(AU44="","",IF(OR(AU44&gt;=0.5,AQ44&gt;=0.08),"High",IF(OR(AU44&gt;=0.3,AQ44&gt;=0.04),"Medium","Low")))</f>
        <v/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>
        <f>IF(J45="","",ROUND(MAX(0,10*(1-J45/Filters!$B$4)),1))</f>
        <v/>
      </c>
      <c r="N45" s="19" t="n">
        <v>7</v>
      </c>
      <c r="O45" s="19">
        <f>IF(K45="","",ROUND(MAX(0,10*(1-K45/Filters!$B$5)),1))</f>
        <v/>
      </c>
      <c r="P45" s="19" t="n">
        <v>2</v>
      </c>
      <c r="Q45" s="19" t="n">
        <v>6</v>
      </c>
      <c r="R45" s="19" t="n">
        <v>6</v>
      </c>
      <c r="S45" s="19" t="n">
        <v>2</v>
      </c>
      <c r="T45" s="19">
        <f>IF(G45="","",ROUND(MAX(0,MIN(10,10*(Filters!$B$2-G45)/(Filters!$B$2-500000))),1))</f>
        <v/>
      </c>
      <c r="U45" s="19" t="n">
        <v>9</v>
      </c>
      <c r="V45" s="19" t="n">
        <v>2</v>
      </c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6,626; seaside suburb ~58 km S of Melbourne between Safety Beach, Rosebud and Red Hill; Arthurs Seat, the Peninsula's highest point, overlooks it [Wikipedia Dromana; Victorian Places]. Beach and pier [Victorian Places]; U 9 consistent. Nature: bay plus the Arthurs Seat backdrop; N 7 consistent. Village: historic local centre (pier 1862, Dromana Hotel 1857, heritage-listed Heronswood garden) [Victorian Places]; R 6 consistent. Train: no station named; S 2 consistent. Indian community: India-born 0.3%, Hinduism 0.2% [ABS 2021 GCP SAL20788]; P 2 generous (1 arguable). Older area: median age 50, 29.1% aged 65+ [ABS]. City trip: ~58 km, no rail; V 2 consistent. NOT checked: GPs, supermarket, bus. Scores unchanged.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  <c r="AK45" s="22" t="inlineStr">
        <is>
          <t>SAL20788</t>
        </is>
      </c>
      <c r="AL45" s="32" t="n">
        <v>6626</v>
      </c>
      <c r="AM45" s="22" t="n">
        <v>50</v>
      </c>
      <c r="AN45" s="33" t="n">
        <v>0.291</v>
      </c>
      <c r="AO45" s="33" t="n">
        <v>0.172</v>
      </c>
      <c r="AP45" s="33" t="n">
        <v>0.08900000000000001</v>
      </c>
      <c r="AQ45" s="33" t="n">
        <v>0.003</v>
      </c>
      <c r="AR45" s="33" t="n">
        <v>0.004</v>
      </c>
      <c r="AS45" s="33" t="n">
        <v>0.002</v>
      </c>
      <c r="AT45" s="33" t="n">
        <v>0.001</v>
      </c>
      <c r="AU45" s="33" t="n">
        <v>0.092</v>
      </c>
      <c r="AV45" s="22" t="inlineStr">
        <is>
          <t>Greek 3.3%; Italian 1.8%; Spanish 0.4%</t>
        </is>
      </c>
      <c r="AW4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5" s="22">
        <f>IF(AU45="","",IF(OR(AU45&gt;=0.5,AQ45&gt;=0.08),"High",IF(OR(AU45&gt;=0.3,AQ45&gt;=0.04),"Medium","Low")))</f>
        <v/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  <c r="AK46" s="22" t="inlineStr">
        <is>
          <t>SAL20516</t>
        </is>
      </c>
      <c r="AL46" s="32" t="n">
        <v>7506</v>
      </c>
      <c r="AM46" s="22" t="n">
        <v>52</v>
      </c>
      <c r="AN46" s="33" t="n">
        <v>0.322</v>
      </c>
      <c r="AO46" s="33" t="n">
        <v>0.144</v>
      </c>
      <c r="AP46" s="33" t="n">
        <v>0.07200000000000001</v>
      </c>
      <c r="AQ46" s="33" t="n">
        <v>0.005</v>
      </c>
      <c r="AR46" s="33" t="n">
        <v>0.005</v>
      </c>
      <c r="AS46" s="33" t="n">
        <v>0.003</v>
      </c>
      <c r="AT46" s="33" t="n">
        <v>0.001</v>
      </c>
      <c r="AU46" s="33" t="n">
        <v>0.04</v>
      </c>
      <c r="AV46" s="22" t="inlineStr">
        <is>
          <t>German 0.5%; Spanish 0.4%; French 0.3%</t>
        </is>
      </c>
      <c r="AW4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6" s="22">
        <f>IF(AU46="","",IF(OR(AU46&gt;=0.5,AQ46&gt;=0.08),"High",IF(OR(AU46&gt;=0.3,AQ46&gt;=0.04),"Medium","Low")))</f>
        <v/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>
        <f>IF(J47="","",ROUND(MAX(0,10*(1-J47/Filters!$B$4)),1))</f>
        <v/>
      </c>
      <c r="N47" s="19" t="n">
        <v>6</v>
      </c>
      <c r="O47" s="19">
        <f>IF(K47="","",ROUND(MAX(0,10*(1-K47/Filters!$B$5)),1))</f>
        <v/>
      </c>
      <c r="P47" s="19" t="n">
        <v>1</v>
      </c>
      <c r="Q47" s="19" t="n">
        <v>7</v>
      </c>
      <c r="R47" s="19" t="n">
        <v>5</v>
      </c>
      <c r="S47" s="19" t="n">
        <v>1</v>
      </c>
      <c r="T47" s="19">
        <f>IF(G47="","",ROUND(MAX(0,MIN(10,10*(Filters!$B$2-G47)/(Filters!$B$2-500000))),1))</f>
        <v/>
      </c>
      <c r="U47" s="19" t="n">
        <v>6</v>
      </c>
      <c r="V47" s="19" t="n">
        <v>1</v>
      </c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GW drive 88 min, 2 min under cap. | CHECKED 27 Oct 2026, source run C1 (suburb level; Wikipedia, Victorian Places, ABS 2021 GCP DataPack). Pop 5,215; 132 km SE of Melbourne by road (110 km straight line) between Western Port and Wilsons Promontory; largest town in South Gippsland [Wikipedia Wonthaggi; Victorian Places]. Shops: 'many large chain stores ... four major supermarkets, cafes, restaurants, pubs ... a hospital' [Wikipedia]; Q 7 consistent (8 arguable). Village: former coal-mining town, Union Community Arts Centre [Wikipedia]; R 5 consistent. Nature: coastal setting, Bunurong Marine and Coastal Park to the SE [Wikipedia]; N 6 consistent. Beach: town is inland; nearest coast Cape Paterson (not measured); U 6 plausible. Train: none (old Hicksborough station gone) [Victorian Places]; S 1 consistent. Indian community: India-born 0.8%, Hinduism 0.7% [ABS 2021 GCP SAL22829]; P 1 consistent. Oldest population on the list: median age 55, 35.2% aged 65+ [ABS]. City trip: 132 km road, no rail; V 1 consistent. NOT checked: GPs, beach distance. Scores unchanged.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  <c r="AK47" s="22" t="inlineStr">
        <is>
          <t>SAL22829</t>
        </is>
      </c>
      <c r="AL47" s="32" t="n">
        <v>5215</v>
      </c>
      <c r="AM47" s="22" t="n">
        <v>55</v>
      </c>
      <c r="AN47" s="33" t="n">
        <v>0.352</v>
      </c>
      <c r="AO47" s="33" t="n">
        <v>0.145</v>
      </c>
      <c r="AP47" s="33" t="n">
        <v>0.081</v>
      </c>
      <c r="AQ47" s="33" t="n">
        <v>0.008</v>
      </c>
      <c r="AR47" s="33" t="n">
        <v>0.011</v>
      </c>
      <c r="AS47" s="33" t="n">
        <v>0.006999999999999999</v>
      </c>
      <c r="AT47" s="33" t="n">
        <v>0.001</v>
      </c>
      <c r="AU47" s="33" t="n">
        <v>0.049</v>
      </c>
      <c r="AV47" s="22" t="inlineStr">
        <is>
          <t>Italian 0.9%; Malayalam 0.6%; German 0.3%</t>
        </is>
      </c>
      <c r="AW4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7" s="22">
        <f>IF(AU47="","",IF(OR(AU47&gt;=0.5,AQ47&gt;=0.08),"High",IF(OR(AU47&gt;=0.3,AQ47&gt;=0.04),"Medium","Low")))</f>
        <v/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  <c r="AK48" s="22" t="inlineStr">
        <is>
          <t>SAL21235</t>
        </is>
      </c>
      <c r="AL48" s="32" t="n">
        <v>6526</v>
      </c>
      <c r="AM48" s="22" t="n">
        <v>54</v>
      </c>
      <c r="AN48" s="33" t="n">
        <v>0.346</v>
      </c>
      <c r="AO48" s="33" t="n">
        <v>0.133</v>
      </c>
      <c r="AP48" s="33" t="n">
        <v>0.052</v>
      </c>
      <c r="AQ48" s="33" t="n">
        <v>0.003</v>
      </c>
      <c r="AR48" s="33" t="n">
        <v>0.002</v>
      </c>
      <c r="AS48" s="33" t="n">
        <v>0.002</v>
      </c>
      <c r="AT48" s="33" t="n">
        <v>0.001</v>
      </c>
      <c r="AU48" s="33" t="n">
        <v>0.04</v>
      </c>
      <c r="AV48" s="22" t="inlineStr">
        <is>
          <t>Italian 0.7%; German 0.3%; Mandarin 0.3%</t>
        </is>
      </c>
      <c r="AW4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48" s="22">
        <f>IF(AU48="","",IF(OR(AU48&gt;=0.5,AQ48&gt;=0.08),"High",IF(OR(AU48&gt;=0.3,AQ48&gt;=0.04),"Medium","Low")))</f>
        <v/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  <c r="AW49" s="22" t="inlineStr">
        <is>
          <t>Excluded test row: no demography.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  <c r="AW50" s="22" t="inlineStr">
        <is>
          <t>Excluded test row: no demography.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M51" s="22">
        <f>IF(J51="","",ROUND(MAX(0,10*(1-J51/Filters!$B$4)),1))</f>
        <v/>
      </c>
      <c r="N51" s="22" t="n">
        <v>6</v>
      </c>
      <c r="O51" s="16">
        <f>IF(K51="","",ROUND(MAX(0,10*(1-K51/Filters!$B$5)),1))</f>
        <v/>
      </c>
      <c r="P51" s="22" t="n">
        <v>2</v>
      </c>
      <c r="Q51" s="22" t="n">
        <v>9</v>
      </c>
      <c r="R51" s="22" t="n">
        <v>4</v>
      </c>
      <c r="S51" s="22" t="n">
        <v>2</v>
      </c>
      <c r="T51" s="22">
        <f>IF(G51="","",ROUND(MAX(0,MIN(10,10*(Filters!$B$2-G51)/(Filters!$B$2-500000))),1))</f>
        <v/>
      </c>
      <c r="U51" s="22" t="n">
        <v>9</v>
      </c>
      <c r="V51" s="22" t="n">
        <v>2</v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Sand bars give safe swimming; pier; Rosebud Village and Port Phillip Plaza each with a supermarket: Q raised 8-&gt;9 (Victorian Places). GPs: Rosebud Medical Clinic and others (healthdirect). N, P, R, V remain estimates. | CHECKED 27 Oct 2026, second pass (N, P, R, V; suburb level). Nature: between the lower slopes of Arthurs Seat, Port Phillip and the Boneo plains; sandy beaches, shallow water; one of the Peninsula's largest foreshore camping areas (summer population can double) [Wikipedia Rosebud]; N 6 consistent. Village: 'the largest and most commercially developed of the towns south of Mornington'; weekend markets; rebuilt pier [Victorian Places; Wikipedia]; R 4 consistent. Health: Rosebud Hospital on Point Nepean Rd; MICA ambulance unit in town [Wikipedia]. Indian community: India-born 0.4%, Hinduism 0.3% [ABS 2021 GCP SAL22198]; P 2 consistent. Older: median age 49, 29.5% aged 65+ [ABS]. City trip: ~60 km S, no rail [Wikipedia; Victorian Places]; V 2 consistent. Scores unchanged.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rail; buses to Frankston (not individually checked)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  <c r="AK51" s="22" t="inlineStr">
        <is>
          <t>SAL22198</t>
        </is>
      </c>
      <c r="AL51" s="32" t="n">
        <v>14381</v>
      </c>
      <c r="AM51" s="22" t="n">
        <v>49</v>
      </c>
      <c r="AN51" s="33" t="n">
        <v>0.295</v>
      </c>
      <c r="AO51" s="33" t="n">
        <v>0.161</v>
      </c>
      <c r="AP51" s="33" t="n">
        <v>0.079</v>
      </c>
      <c r="AQ51" s="33" t="n">
        <v>0.004</v>
      </c>
      <c r="AR51" s="33" t="n">
        <v>0.005</v>
      </c>
      <c r="AS51" s="33" t="n">
        <v>0.003</v>
      </c>
      <c r="AT51" s="33" t="n">
        <v>0.001</v>
      </c>
      <c r="AU51" s="33" t="n">
        <v>0.061</v>
      </c>
      <c r="AV51" s="22" t="inlineStr">
        <is>
          <t>Italian 1.3%; Greek 1.0%; Mandarin 0.3%</t>
        </is>
      </c>
      <c r="AW5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1" s="22">
        <f>IF(AU51="","",IF(OR(AU51&gt;=0.5,AQ51&gt;=0.08),"High",IF(OR(AU51&gt;=0.3,AQ51&gt;=0.04),"Medium","Low")))</f>
        <v/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M52" s="22">
        <f>IF(J52="","",ROUND(MAX(0,10*(1-J52/Filters!$B$4)),1))</f>
        <v/>
      </c>
      <c r="N52" s="22" t="n">
        <v>7</v>
      </c>
      <c r="O52" s="16">
        <f>IF(K52="","",ROUND(MAX(0,10*(1-K52/Filters!$B$5)),1))</f>
        <v/>
      </c>
      <c r="P52" s="22" t="n">
        <v>1</v>
      </c>
      <c r="Q52" s="22" t="n">
        <v>6</v>
      </c>
      <c r="R52" s="22" t="n">
        <v>7</v>
      </c>
      <c r="S52" s="22" t="n">
        <v>2</v>
      </c>
      <c r="T52" s="22">
        <f>IF(G52="","",ROUND(MAX(0,MIN(10,10*(Filters!$B$2-G52)/(Filters!$B$2-500000))),1))</f>
        <v/>
      </c>
      <c r="U52" s="22" t="n">
        <v>10</v>
      </c>
      <c r="V52" s="22" t="n">
        <v>1</v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Bay beach popular for swimming + unpatrolled ocean beach; pier (Wikipedia Rye). GP listing in Rye (healthdirect). Supermarket not confirmed; Q partly estimate. Bus not checked. N, P, R, V remain estimates. | CHECKED 27 Oct 2026, second pass (N, P, R, V; suburb level). Nature: bay beach plus the unpatrolled ocean 'back beach' on Bass Strait; locality spans the peninsula [Wikipedia Rye; Victorian Places]; Moonah Links and The Dunes golf links; N 7 consistent. Village: commercial centre overlooking the bay; summer carnival; busy in holidays [Victorian Places; Wikipedia]; R 7 plausible (6 arguable given holiday swings). Indian community: India-born 0.2%, Hinduism 0.2% [ABS 2021 GCP SAL22220]; P 1 consistent. Older: median age 51, 29.2% aged 65+ [ABS]. City trip: 65 km S by straight line [Victorian Places] (Wikipedia gives 94.5 km, likely by road); no rail; V 1 consistent. Scores unchanged.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rail (checked: Wikipedia Rye, no station)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  <c r="AK52" s="22" t="inlineStr">
        <is>
          <t>SAL22220</t>
        </is>
      </c>
      <c r="AL52" s="32" t="n">
        <v>9438</v>
      </c>
      <c r="AM52" s="22" t="n">
        <v>51</v>
      </c>
      <c r="AN52" s="33" t="n">
        <v>0.292</v>
      </c>
      <c r="AO52" s="33" t="n">
        <v>0.152</v>
      </c>
      <c r="AP52" s="33" t="n">
        <v>0.094</v>
      </c>
      <c r="AQ52" s="33" t="n">
        <v>0.002</v>
      </c>
      <c r="AR52" s="33" t="n">
        <v>0.003</v>
      </c>
      <c r="AS52" s="33" t="n">
        <v>0.002</v>
      </c>
      <c r="AT52" s="33" t="n">
        <v>0</v>
      </c>
      <c r="AU52" s="33" t="n">
        <v>0.076</v>
      </c>
      <c r="AV52" s="22" t="inlineStr">
        <is>
          <t>Greek 2.0%; Italian 1.9%; Croatian 0.4%</t>
        </is>
      </c>
      <c r="AW5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2" s="22">
        <f>IF(AU52="","",IF(OR(AU52&gt;=0.5,AQ52&gt;=0.08),"High",IF(OR(AU52&gt;=0.3,AQ52&gt;=0.04),"Medium","Low")))</f>
        <v/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M53" s="22">
        <f>IF(J53="","",ROUND(MAX(0,10*(1-J53/Filters!$B$4)),1))</f>
        <v/>
      </c>
      <c r="N53" s="22" t="n">
        <v>7</v>
      </c>
      <c r="O53" s="16">
        <f>IF(K53="","",ROUND(MAX(0,10*(1-K53/Filters!$B$5)),1))</f>
        <v/>
      </c>
      <c r="P53" s="22" t="n">
        <v>2</v>
      </c>
      <c r="Q53" s="22" t="n">
        <v>7</v>
      </c>
      <c r="R53" s="22" t="n">
        <v>7</v>
      </c>
      <c r="S53" s="22" t="n">
        <v>4</v>
      </c>
      <c r="T53" s="22">
        <f>IF(G53="","",ROUND(MAX(0,MIN(10,10*(Filters!$B$2-G53)/(Filters!$B$2-500000))),1))</f>
        <v/>
      </c>
      <c r="U53" s="22" t="n">
        <v>0</v>
      </c>
      <c r="V53" s="22" t="n">
        <v>6</v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Gisborne district pop 14,432 (June 2021) [Wikipedia Gisborne]; SAL pop 10,142 [ABS 2021 GCP SAL21001]; ~54 km NW of Melbourne. Train: station on the Bendigo line, built outside the township (the suburb New Gisborne); V/Line runs to Southern Cross; 'a 50-minute train ride'; 20 min to Sunbury for Metro; Gisborne Transit loop and on-demand bus to the station [Wikipedia]; resolves foundation-report item 14 (station exists, ~3 km out); S 4 low (5 arguable). Shops: town centre with cafés, theatre, galleries, monthly farmers' market and four supermarkets [Wikipedia]; Q 7 consistent (8 arguable). Village: 'country homesteads, tree-lined streets'; planning controls protect the town's character; fast growth [Wikipedia]; R 7 consistent. Nature: 'large leafy blocks' [Wikipedia]; N 7 consistent. Indian community: India-born 0.6%, Hinduism 0.3%, Sikhism 0.4% [ABS]; P 2 consistent. City trip: 45 min drive or 50 min train [Wikipedia]; V 5 consistent (6 arguable). NOT checked: GPs, train frequency. Scores unchanged. | C3 28 Oct 2026: V 5-&gt;6 (source: 'a 45-minute drive along the Calder Freeway or a 50-minute train ride' to the city [Wikipedia Gisborne]).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  <c r="AK53" s="22" t="inlineStr">
        <is>
          <t>SAL21001</t>
        </is>
      </c>
      <c r="AL53" s="32" t="n">
        <v>10142</v>
      </c>
      <c r="AM53" s="22" t="n">
        <v>39</v>
      </c>
      <c r="AN53" s="33" t="n">
        <v>0.156</v>
      </c>
      <c r="AO53" s="33" t="n">
        <v>0.134</v>
      </c>
      <c r="AP53" s="33" t="n">
        <v>0.027</v>
      </c>
      <c r="AQ53" s="33" t="n">
        <v>0.006</v>
      </c>
      <c r="AR53" s="33" t="n">
        <v>0.006999999999999999</v>
      </c>
      <c r="AS53" s="33" t="n">
        <v>0.003</v>
      </c>
      <c r="AT53" s="33" t="n">
        <v>0.004</v>
      </c>
      <c r="AU53" s="33" t="n">
        <v>0.053</v>
      </c>
      <c r="AV53" s="22" t="inlineStr">
        <is>
          <t>Italian 0.6%; Punjabi 0.4%; Spanish 0.4%</t>
        </is>
      </c>
      <c r="AW5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3" s="22">
        <f>IF(AU53="","",IF(OR(AU53&gt;=0.5,AQ53&gt;=0.08),"High",IF(OR(AU53&gt;=0.3,AQ53&gt;=0.04),"Medium","Low")))</f>
        <v/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M54" s="22">
        <f>IF(J54="","",ROUND(MAX(0,10*(1-J54/Filters!$B$4)),1))</f>
        <v/>
      </c>
      <c r="N54" s="22" t="n">
        <v>7</v>
      </c>
      <c r="O54" s="16">
        <f>IF(K54="","",ROUND(MAX(0,10*(1-K54/Filters!$B$5)),1))</f>
        <v/>
      </c>
      <c r="P54" s="22" t="n">
        <v>2</v>
      </c>
      <c r="Q54" s="22" t="n">
        <v>4</v>
      </c>
      <c r="R54" s="22" t="n">
        <v>7</v>
      </c>
      <c r="S54" s="22" t="n">
        <v>5</v>
      </c>
      <c r="T54" s="22">
        <f>IF(G54="","",ROUND(MAX(0,MIN(10,10*(Filters!$B$2-G54)/(Filters!$B$2-500000))),1))</f>
        <v/>
      </c>
      <c r="U54" s="22" t="n">
        <v>0</v>
      </c>
      <c r="V54" s="22" t="n">
        <v>5</v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4,390; southern foothills of the Macedon Ranges, 15 km N of Sunbury, ~45 km from Melbourne [Wikipedia Riddells Creek; Victorian Places]. Nature: 'surrounded by natural bushland'; creek through Wybejong Park; Mount Charlie State Forest to the east [Wikipedia]; N 7 consistent. Village: shopping centre, mechanics' institute (1875), heritage railway bridge and goods shed; Dromkeen children's-literature homestead; shire plan to retain neighbourhood character [Victorian Places; Wikipedia]; R 7 consistent. Train: station on the Bendigo line; express services do not stop [Wikipedia]; S 5 consistent. Shops: supermarket and 12 shops were planned in 2013 [Victorian Places]; built status NOT confirmed; Q 4 estimate. Indian community: India-born 0.3%, Hinduism 0.0% [ABS 2021 GCP SAL22172]; P 2 generous (1 arguable). City trip: ~45 km by V/Line, stopping trains only; V 5 estimate. NOT checked: GPs, supermarket, journey time. Scores unchanged.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  <c r="AK54" s="22" t="inlineStr">
        <is>
          <t>SAL22172</t>
        </is>
      </c>
      <c r="AL54" s="32" t="n">
        <v>4390</v>
      </c>
      <c r="AM54" s="22" t="n">
        <v>42</v>
      </c>
      <c r="AN54" s="33" t="n">
        <v>0.167</v>
      </c>
      <c r="AO54" s="33" t="n">
        <v>0.113</v>
      </c>
      <c r="AP54" s="33" t="n">
        <v>0.036</v>
      </c>
      <c r="AQ54" s="33" t="n">
        <v>0.003</v>
      </c>
      <c r="AR54" s="33" t="n">
        <v>0.003</v>
      </c>
      <c r="AS54" s="33" t="n">
        <v>0</v>
      </c>
      <c r="AT54" s="33" t="n">
        <v>0</v>
      </c>
      <c r="AU54" s="33" t="n">
        <v>0.035</v>
      </c>
      <c r="AV54" s="22" t="inlineStr">
        <is>
          <t>Italian 0.4%; Mandarin 0.3%; Greek 0.3%</t>
        </is>
      </c>
      <c r="AW5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4" s="22">
        <f>IF(AU54="","",IF(OR(AU54&gt;=0.5,AQ54&gt;=0.08),"High",IF(OR(AU54&gt;=0.3,AQ54&gt;=0.04),"Medium","Low")))</f>
        <v/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M55" s="22">
        <f>IF(J55="","",ROUND(MAX(0,10*(1-J55/Filters!$B$4)),1))</f>
        <v/>
      </c>
      <c r="N55" s="22" t="n">
        <v>7</v>
      </c>
      <c r="O55" s="16">
        <f>IF(K55="","",ROUND(MAX(0,10*(1-K55/Filters!$B$5)),1))</f>
        <v/>
      </c>
      <c r="P55" s="22" t="n">
        <v>1</v>
      </c>
      <c r="Q55" s="22" t="n">
        <v>5</v>
      </c>
      <c r="R55" s="22" t="n">
        <v>7</v>
      </c>
      <c r="S55" s="22" t="n">
        <v>1</v>
      </c>
      <c r="T55" s="22">
        <f>IF(G55="","",ROUND(MAX(0,MIN(10,10*(Filters!$B$2-G55)/(Filters!$B$2-500000))),1))</f>
        <v/>
      </c>
      <c r="U55" s="22" t="n">
        <v>0</v>
      </c>
      <c r="V55" s="22" t="n">
        <v>2</v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3,012; 55 km NE of CBD [Wikipedia Yarra Glen] (40 km per Victorian Places), just north of the Yarra River flood plain. Nature: open valley farmland and vineyards; heritage Gulf Station farm; Black Saturday 2009 fire killed at least 13 in the Yarra Glen-Steeles Creek area [Victorian Places]; N 8 plausible (open valley more than forest; 7 arguable). Village: 'substantial shopping centre', historic main street with the Grand Hotel (1888), racecourse, showground [Victorian Places]; R 7 consistent; Q 5 plausible (supermarket not named). Train: line closed 1980; tourist railway later disused [Victorian Places]; S 1 consistent. Indian community: India-born 0.1%, Hinduism 0.0% [ABS 2021 GCP SAL22910]; P 1 consistent. City trip: 40-55 km, no rail; V 2 consistent. NOT checked: GPs, bus, flood overlay. Scores unchanged. | C3 28 Oct 2026: N 8-&gt;7 (source: open Yarra flood-plain farmland rather than forest [Victorian Places Yarra Glen]).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  <c r="AK55" s="22" t="inlineStr">
        <is>
          <t>SAL22910</t>
        </is>
      </c>
      <c r="AL55" s="32" t="n">
        <v>3012</v>
      </c>
      <c r="AM55" s="22" t="n">
        <v>42</v>
      </c>
      <c r="AN55" s="33" t="n">
        <v>0.208</v>
      </c>
      <c r="AO55" s="33" t="n">
        <v>0.122</v>
      </c>
      <c r="AP55" s="33" t="n">
        <v>0.043</v>
      </c>
      <c r="AQ55" s="33" t="n">
        <v>0.001</v>
      </c>
      <c r="AR55" s="33" t="n">
        <v>0.002</v>
      </c>
      <c r="AS55" s="33" t="n">
        <v>0</v>
      </c>
      <c r="AT55" s="33" t="n">
        <v>0</v>
      </c>
      <c r="AU55" s="33" t="n">
        <v>0.022</v>
      </c>
      <c r="AV55" s="22" t="inlineStr">
        <is>
          <t>Greek 0.3%; Italian 0.2%; German 0.2%</t>
        </is>
      </c>
      <c r="AW5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5" s="22">
        <f>IF(AU55="","",IF(OR(AU55&gt;=0.5,AQ55&gt;=0.08),"High",IF(OR(AU55&gt;=0.3,AQ55&gt;=0.04),"Medium","Low")))</f>
        <v/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M56" s="22">
        <f>IF(J56="","",ROUND(MAX(0,10*(1-J56/Filters!$B$4)),1))</f>
        <v/>
      </c>
      <c r="N56" s="22" t="n">
        <v>5</v>
      </c>
      <c r="O56" s="16">
        <f>IF(K56="","",ROUND(MAX(0,10*(1-K56/Filters!$B$5)),1))</f>
        <v/>
      </c>
      <c r="P56" s="22" t="n">
        <v>2</v>
      </c>
      <c r="Q56" s="22" t="n">
        <v>7</v>
      </c>
      <c r="R56" s="22" t="n">
        <v>6</v>
      </c>
      <c r="S56" s="22" t="n">
        <v>5</v>
      </c>
      <c r="T56" s="22">
        <f>IF(G56="","",ROUND(MAX(0,MIN(10,10*(Filters!$B$2-G56)/(Filters!$B$2-500000))),1))</f>
        <v/>
      </c>
      <c r="U56" s="22" t="n">
        <v>0</v>
      </c>
      <c r="V56" s="22" t="n">
        <v>4</v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15,287; West Gippsland, ~90 km E/SE of Melbourne on the Gippsland rail and road routes [Wikipedia Drouin, Victoria; Victorian Places]. Shops: Woolworths and Coles supermarkets [Wikipedia]; compact civic centre between the station and landscaped Civic Park [Victorian Places]; Q 7 consistent. Train: station beside the shopping precinct on Princes Way [Wikipedia]; Gippsland line [Victorian Places]; S 5 consistent (frequency not checked). Nature: Civic Park, other reserves and a botanic garden; Ficifolia avenue of honour [Victorian Places]; N 5 consistent. Village: growing town with new housing estates and a planned multi-storey retail complex [Wikipedia]; R 6 plausible. Indian community: India-born 0.5%, Hinduism 0.4% [ABS 2021 GCP SAL20790]; P 2 consistent. City trip: ~90 km by V/Line; V 4 estimate. NOT checked: GPs, train journey time. Scores unchanged.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  <c r="AK56" s="22" t="inlineStr">
        <is>
          <t>SAL20790</t>
        </is>
      </c>
      <c r="AL56" s="32" t="n">
        <v>15287</v>
      </c>
      <c r="AM56" s="22" t="n">
        <v>39</v>
      </c>
      <c r="AN56" s="33" t="n">
        <v>0.215</v>
      </c>
      <c r="AO56" s="33" t="n">
        <v>0.131</v>
      </c>
      <c r="AP56" s="33" t="n">
        <v>0.048</v>
      </c>
      <c r="AQ56" s="33" t="n">
        <v>0.005</v>
      </c>
      <c r="AR56" s="33" t="n">
        <v>0.008</v>
      </c>
      <c r="AS56" s="33" t="n">
        <v>0.004</v>
      </c>
      <c r="AT56" s="33" t="n">
        <v>0.002</v>
      </c>
      <c r="AU56" s="33" t="n">
        <v>0.049</v>
      </c>
      <c r="AV56" s="22" t="inlineStr">
        <is>
          <t>Mandarin 0.3%; German 0.3%; Afrikaans 0.2%</t>
        </is>
      </c>
      <c r="AW5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6" s="22">
        <f>IF(AU56="","",IF(OR(AU56&gt;=0.5,AQ56&gt;=0.08),"High",IF(OR(AU56&gt;=0.3,AQ56&gt;=0.04),"Medium","Low")))</f>
        <v/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M57" s="22">
        <f>IF(J57="","",ROUND(MAX(0,10*(1-J57/Filters!$B$4)),1))</f>
        <v/>
      </c>
      <c r="N57" s="22" t="n">
        <v>2</v>
      </c>
      <c r="O57" s="22">
        <f>IF(K57="","",ROUND(MAX(0,10*(1-K57/Filters!$B$5)),1))</f>
        <v/>
      </c>
      <c r="P57" s="22" t="n">
        <v>8</v>
      </c>
      <c r="Q57" s="22" t="n">
        <v>8</v>
      </c>
      <c r="R57" s="22" t="n">
        <v>5</v>
      </c>
      <c r="S57" s="22" t="n">
        <v>8</v>
      </c>
      <c r="T57" s="22">
        <f>IF(G57="","",ROUND(MAX(0,MIN(10,10*(Filters!$B$2-G57)/(Filters!$B$2-500000))),1))</f>
        <v/>
      </c>
      <c r="U57" s="22" t="n">
        <v>2</v>
      </c>
      <c r="V57" s="22" t="n">
        <v>9</v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11,729; inner suburb 7 km W of CBD [Wikipedia West Footscray]. Indian community: Barkly Village strip has Indian-owned shops incl. 'a particularly large Indian grocery store, Bharat Traders' [Wikipedia]; India-born 3.7% (434), Indian ancestry 3.6%, Hinduism 3.5%; Telugu 1.4% at home (QuickStats, via Wikipedia) [ABS 2021 GCP SAL22756]; P 8 high next to Berwick 7 at 6.1% India-born, but the grocer is real (6-7 arguable). Nature: basalt plains, no bushland named [Wikipedia]; N 2 consistent. Village: Barkly Village strip with grocers, independent supermarket (Sims), new community centre and library [Wikipedia]; R 5 consistent; Q 8 consistent. Train: suburb split by the railway (Sunbury line) [Wikipedia]; S 8 consistent. Younger area: median age 35, 10.0% aged 65+ [ABS]. City trip: 7 km; V 9 consistent. NOT checked: GPs, station frequency. Scores unchanged.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  <c r="AK57" s="22" t="inlineStr">
        <is>
          <t>SAL22756</t>
        </is>
      </c>
      <c r="AL57" s="32" t="n">
        <v>11729</v>
      </c>
      <c r="AM57" s="22" t="n">
        <v>35</v>
      </c>
      <c r="AN57" s="33" t="n">
        <v>0.1</v>
      </c>
      <c r="AO57" s="33" t="n">
        <v>0.335</v>
      </c>
      <c r="AP57" s="33" t="n">
        <v>0.053</v>
      </c>
      <c r="AQ57" s="33" t="n">
        <v>0.03700000000000001</v>
      </c>
      <c r="AR57" s="33" t="n">
        <v>0.036</v>
      </c>
      <c r="AS57" s="33" t="n">
        <v>0.035</v>
      </c>
      <c r="AT57" s="33" t="n">
        <v>0.004</v>
      </c>
      <c r="AU57" s="33" t="n">
        <v>0.32</v>
      </c>
      <c r="AV57" s="22" t="inlineStr">
        <is>
          <t>Vietnamese 8.2%; Italian 1.8%; Cantonese 1.6%</t>
        </is>
      </c>
      <c r="AW5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7" s="22">
        <f>IF(AU57="","",IF(OR(AU57&gt;=0.5,AQ57&gt;=0.08),"High",IF(OR(AU57&gt;=0.3,AQ57&gt;=0.04),"Medium","Low")))</f>
        <v/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M58" s="22">
        <f>IF(J58="","",ROUND(MAX(0,10*(1-J58/Filters!$B$4)),1))</f>
        <v/>
      </c>
      <c r="N58" s="22" t="n">
        <v>7</v>
      </c>
      <c r="O58" s="22">
        <f>IF(K58="","",ROUND(MAX(0,10*(1-K58/Filters!$B$5)),1))</f>
        <v/>
      </c>
      <c r="P58" s="22" t="n">
        <v>4</v>
      </c>
      <c r="Q58" s="22" t="n">
        <v>7</v>
      </c>
      <c r="R58" s="22" t="n">
        <v>6</v>
      </c>
      <c r="S58" s="22" t="n">
        <v>8</v>
      </c>
      <c r="T58" s="22">
        <f>IF(G58="","",ROUND(MAX(0,MIN(10,10*(Filters!$B$2-G58)/(Filters!$B$2-500000))),1))</f>
        <v/>
      </c>
      <c r="U58" s="22" t="n">
        <v>0</v>
      </c>
      <c r="V58" s="22" t="n">
        <v>8</v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8,616; 12 km NE of CBD, ~2 km beyond Heidelberg, on the fringe of the Yarra Valley green belt [Wikipedia Rosanna; Victorian Places]. Nature: 'generous tree cover across hilly streets' (The Age 2019, via Wikipedia); Salt Creek open space on the former golf links, Banyule Creek linear park, Warringal parklands and Banyule Flats by the Yarra [Victorian Places]; N 6 consistent (7 arguable). Village: 'active shopping centre near the railway station'; Woolworths beside the library redevelopment [Victorian Places; Wikipedia]; R 6, Q 7 consistent. Train: recently updated station, Hurstbridge line [Wikipedia; Victorian Places]; S 8 consistent. Indian community: India-born 2.8%, Indian ancestry 3.8%, Hinduism 2.4% [ABS 2021 GCP SAL22194]; P 4 consistent. City trip: 12 km by train; V 8 consistent. NOT checked: GPs, journey time. Scores unchanged. | C3 28 Oct 2026: N 6-&gt;7 (source: 'generous tree cover across hilly streets' (The Age 2019, via Wikipedia Rosanna); Banyule Flats Reserve and Warringal parklands [Victorian Places]).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  <c r="AK58" s="22" t="inlineStr">
        <is>
          <t>SAL22194</t>
        </is>
      </c>
      <c r="AL58" s="32" t="n">
        <v>8616</v>
      </c>
      <c r="AM58" s="22" t="n">
        <v>41</v>
      </c>
      <c r="AN58" s="33" t="n">
        <v>0.202</v>
      </c>
      <c r="AO58" s="33" t="n">
        <v>0.266</v>
      </c>
      <c r="AP58" s="33" t="n">
        <v>0.019</v>
      </c>
      <c r="AQ58" s="33" t="n">
        <v>0.028</v>
      </c>
      <c r="AR58" s="33" t="n">
        <v>0.038</v>
      </c>
      <c r="AS58" s="33" t="n">
        <v>0.024</v>
      </c>
      <c r="AT58" s="33" t="n">
        <v>0.003</v>
      </c>
      <c r="AU58" s="33" t="n">
        <v>0.235</v>
      </c>
      <c r="AV58" s="22" t="inlineStr">
        <is>
          <t>Mandarin 4.1%; Italian 4.1%; Cantonese 1.4%</t>
        </is>
      </c>
      <c r="AW5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8" s="22">
        <f>IF(AU58="","",IF(OR(AU58&gt;=0.5,AQ58&gt;=0.08),"High",IF(OR(AU58&gt;=0.3,AQ58&gt;=0.04),"Medium","Low")))</f>
        <v/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M59" s="22">
        <f>IF(J59="","",ROUND(MAX(0,10*(1-J59/Filters!$B$4)),1))</f>
        <v/>
      </c>
      <c r="N59" s="22" t="n">
        <v>6</v>
      </c>
      <c r="O59" s="22">
        <f>IF(K59="","",ROUND(MAX(0,10*(1-K59/Filters!$B$5)),1))</f>
        <v/>
      </c>
      <c r="P59" s="22" t="n">
        <v>4</v>
      </c>
      <c r="Q59" s="22" t="n">
        <v>7</v>
      </c>
      <c r="R59" s="22" t="n">
        <v>4</v>
      </c>
      <c r="S59" s="22" t="n">
        <v>8</v>
      </c>
      <c r="T59" s="22">
        <f>IF(G59="","",ROUND(MAX(0,MIN(10,10*(Filters!$B$2-G59)/(Filters!$B$2-500000))),1))</f>
        <v/>
      </c>
      <c r="U59" s="22" t="n">
        <v>9</v>
      </c>
      <c r="V59" s="22" t="n">
        <v>6</v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stations; beachside with foreshore reserve and 305 ha wetlands (Wikipedia Seaford). GPs: Seaford Central Medical Clinic, Seaford Beach Family Clinic (healthdirect). Supermarket in suburb NOT confirmed; Q partly estimate. N, P, R, V remain estimates. | CHECKED 27 Oct 2026, second pass (N, P, R, V; suburb level). Nature: Seaford Foreshore Reserve is 'one of the few remaining substantial, continuous strands of natural coastal vegetation near Melbourne' along the whole suburb; Kananook walking trail [Wikipedia Seaford]; Edithvale-Seaford Wetland with walking trail and viewing platform; Kananook Creek linear reserve [Victorian Places]; N 5 looks low (6 arguable). Village: small shopping centre and pier near the station, a supermarket; largely cheap postwar housing [Victorian Places]; R 4 consistent. Indian community: India-born 0.6%, Hinduism 0.7% [ABS 2021 GCP SAL22249]; P 4 generous (2 arguable). City trip: 36 km SE on the Frankston line [Wikipedia]; journey time not stated; V 6 estimate. Scores unchanged. | C3 28 Oct 2026: N 5-&gt;6 (source: Seaford Foreshore Reserve, 'one of the few remaining substantial, continuous strands of natural coastal vegetation near Melbourne' [Wikipedia Seaford]; Edithvale-Seaford Wetland [Victorian Places]).</t>
        </is>
      </c>
      <c r="AB59" s="22" t="inlineStr">
        <is>
          <t>Yes</t>
        </is>
      </c>
      <c r="AC59" s="22" t="inlineStr">
        <is>
          <t>Seaford and Kananook stations, Frankston line, zone 2 (checked: Wikipedia Seaford)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  <c r="AK59" s="22" t="inlineStr">
        <is>
          <t>SAL22249</t>
        </is>
      </c>
      <c r="AL59" s="32" t="n">
        <v>17215</v>
      </c>
      <c r="AM59" s="22" t="n">
        <v>40</v>
      </c>
      <c r="AN59" s="33" t="n">
        <v>0.179</v>
      </c>
      <c r="AO59" s="33" t="n">
        <v>0.199</v>
      </c>
      <c r="AP59" s="33" t="n">
        <v>0.059</v>
      </c>
      <c r="AQ59" s="33" t="n">
        <v>0.006</v>
      </c>
      <c r="AR59" s="33" t="n">
        <v>0.01</v>
      </c>
      <c r="AS59" s="33" t="n">
        <v>0.006999999999999999</v>
      </c>
      <c r="AT59" s="33" t="n">
        <v>0.001</v>
      </c>
      <c r="AU59" s="33" t="n">
        <v>0.096</v>
      </c>
      <c r="AV59" s="22" t="inlineStr">
        <is>
          <t>Greek 0.9%; Russian 0.7%; Mandarin 0.7%</t>
        </is>
      </c>
      <c r="AW5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9" s="22">
        <f>IF(AU59="","",IF(OR(AU59&gt;=0.5,AQ59&gt;=0.08),"High",IF(OR(AU59&gt;=0.3,AQ59&gt;=0.04),"Medium","Low")))</f>
        <v/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M60" s="22">
        <f>IF(J60="","",ROUND(MAX(0,10*(1-J60/Filters!$B$4)),1))</f>
        <v/>
      </c>
      <c r="N60" s="22" t="n">
        <v>4</v>
      </c>
      <c r="O60" s="22">
        <f>IF(K60="","",ROUND(MAX(0,10*(1-K60/Filters!$B$5)),1))</f>
        <v/>
      </c>
      <c r="P60" s="22" t="n">
        <v>4</v>
      </c>
      <c r="Q60" s="22" t="n">
        <v>8</v>
      </c>
      <c r="R60" s="22" t="n">
        <v>5</v>
      </c>
      <c r="S60" s="22" t="n">
        <v>8</v>
      </c>
      <c r="T60" s="22">
        <f>IF(G60="","",ROUND(MAX(0,MIN(10,10*(Filters!$B$2-G60)/(Filters!$B$2-500000))),1))</f>
        <v/>
      </c>
      <c r="U60" s="22" t="n">
        <v>9</v>
      </c>
      <c r="V60" s="22" t="n">
        <v>7</v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bay beach (Wikipedia Chelsea). GP: Chelsea Beach Medical Centre (healthdirect). Woolworths Chelsea (grocerize). N, P, R, V remain estimates. | CHECKED 27 Oct 2026, second pass (N, P, R, V; suburb level). Nature: bay beach; Bicentennial Park on a former tip site [Wikipedia Chelsea]; no bushland named; N 4 consistent. Village: 'the most important bayside suburban centre between Mordialloc and Frankston'; much older housing replaced by single-storey units in the 1960s-70s; 'more elderly people than most other Melbourne suburbs' [Wikipedia]; R 5 consistent. Indian community: India-born 1.4%, Indian ancestry 1.8%, Hinduism 0.9% [ABS 2021 GCP SAL20537]; P 4 generous (2-3 arguable). City trip: 30 km SE on the Frankston line [Victorian Places]; V 7 plausible. Scores unchanged.</t>
        </is>
      </c>
      <c r="AB60" s="22" t="inlineStr">
        <is>
          <t>Yes</t>
        </is>
      </c>
      <c r="AC60" s="22" t="inlineStr">
        <is>
          <t>Chelsea station, Frankston line (checked: Wikipedia Chelsea)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  <c r="AK60" s="22" t="inlineStr">
        <is>
          <t>SAL20537</t>
        </is>
      </c>
      <c r="AL60" s="32" t="n">
        <v>8347</v>
      </c>
      <c r="AM60" s="22" t="n">
        <v>41</v>
      </c>
      <c r="AN60" s="33" t="n">
        <v>0.2</v>
      </c>
      <c r="AO60" s="33" t="n">
        <v>0.244</v>
      </c>
      <c r="AP60" s="33" t="n">
        <v>0.04</v>
      </c>
      <c r="AQ60" s="33" t="n">
        <v>0.014</v>
      </c>
      <c r="AR60" s="33" t="n">
        <v>0.018</v>
      </c>
      <c r="AS60" s="33" t="n">
        <v>0.009000000000000001</v>
      </c>
      <c r="AT60" s="33" t="n">
        <v>0.001</v>
      </c>
      <c r="AU60" s="33" t="n">
        <v>0.147</v>
      </c>
      <c r="AV60" s="22" t="inlineStr">
        <is>
          <t>Greek 1.8%; Russian 1.1%; Mandarin 1.1%</t>
        </is>
      </c>
      <c r="AW6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0" s="22">
        <f>IF(AU60="","",IF(OR(AU60&gt;=0.5,AQ60&gt;=0.08),"High",IF(OR(AU60&gt;=0.3,AQ60&gt;=0.04),"Medium","Low")))</f>
        <v/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  <c r="AK61" s="22" t="inlineStr">
        <is>
          <t>SAL20697</t>
        </is>
      </c>
      <c r="AL61" s="32" t="n">
        <v>4175</v>
      </c>
      <c r="AM61" s="22" t="n">
        <v>34</v>
      </c>
      <c r="AN61" s="33" t="n">
        <v>0.132</v>
      </c>
      <c r="AO61" s="33" t="n">
        <v>0.144</v>
      </c>
      <c r="AP61" s="33" t="n">
        <v>0.028</v>
      </c>
      <c r="AQ61" s="33" t="n">
        <v>0.008</v>
      </c>
      <c r="AR61" s="33" t="n">
        <v>0.01</v>
      </c>
      <c r="AS61" s="33" t="n">
        <v>0.006999999999999999</v>
      </c>
      <c r="AT61" s="33" t="n">
        <v>0.001</v>
      </c>
      <c r="AU61" s="33" t="n">
        <v>0.067</v>
      </c>
      <c r="AV61" s="22" t="inlineStr">
        <is>
          <t>Mandarin 0.6%; Tagalog 0.5%; Filipino 0.4%</t>
        </is>
      </c>
      <c r="AW6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1" s="22">
        <f>IF(AU61="","",IF(OR(AU61&gt;=0.5,AQ61&gt;=0.08),"High",IF(OR(AU61&gt;=0.3,AQ61&gt;=0.04),"Medium","Low")))</f>
        <v/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M62" s="22">
        <f>IF(J62="","",ROUND(MAX(0,10*(1-J62/Filters!$B$4)),1))</f>
        <v/>
      </c>
      <c r="N62" s="22" t="n">
        <v>8</v>
      </c>
      <c r="O62" s="22">
        <f>IF(K62="","",ROUND(MAX(0,10*(1-K62/Filters!$B$5)),1))</f>
        <v/>
      </c>
      <c r="P62" s="22" t="n">
        <v>1</v>
      </c>
      <c r="Q62" s="22" t="n">
        <v>4</v>
      </c>
      <c r="R62" s="22" t="n">
        <v>6</v>
      </c>
      <c r="S62" s="22" t="n">
        <v>2</v>
      </c>
      <c r="T62" s="22">
        <f>IF(G62="","",ROUND(MAX(0,MIN(10,10*(Filters!$B$2-G62)/(Filters!$B$2-500000))),1))</f>
        <v/>
      </c>
      <c r="U62" s="22" t="n">
        <v>9</v>
      </c>
      <c r="V62" s="22" t="n">
        <v>2</v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3,311; bayside suburb between Dromana and Rosebud, 59 km S of CBD [Wikipedia McCrae; Victorian Places]. Beach: foreshore reserve with camping and picnic areas, yacht club, Rosebud-McCrae Life Saving Club [Victorian Places]; U 9 consistent. Nature: housing climbs the slopes of Arthurs Seat [Victorian Places]; N 8 consistent. Village: shops near the lighthouse and a drive-in shopping plaza; heritage McCrae homestead (1844) and Eastern Lighthouse [Victorian Places]; R 6, Q 4 consistent. Holiday-house area: 43.3% of dwellings unoccupied on 2011 census night [Victorian Places]. Train: none; S 2 consistent. Indian community: India-born 0.0%, Hinduism 0.0% [ABS 2021 GCP SAL21625]; P 1 consistent. Older: median age 55, 34.6% aged 65+ [ABS]. City trip: 59 km, no rail; V 2 consistent. NOT checked: GPs, supermarket, bus. Scores unchanged.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  <c r="AK62" s="22" t="inlineStr">
        <is>
          <t>SAL21625</t>
        </is>
      </c>
      <c r="AL62" s="32" t="n">
        <v>3311</v>
      </c>
      <c r="AM62" s="22" t="n">
        <v>55</v>
      </c>
      <c r="AN62" s="33" t="n">
        <v>0.346</v>
      </c>
      <c r="AO62" s="33" t="n">
        <v>0.122</v>
      </c>
      <c r="AP62" s="33" t="n">
        <v>0.059</v>
      </c>
      <c r="AQ62" s="33" t="n">
        <v>0</v>
      </c>
      <c r="AR62" s="33" t="n">
        <v>0.002</v>
      </c>
      <c r="AS62" s="33" t="n">
        <v>0</v>
      </c>
      <c r="AT62" s="33" t="n">
        <v>0</v>
      </c>
      <c r="AU62" s="33" t="n">
        <v>0.048</v>
      </c>
      <c r="AV62" s="22" t="inlineStr">
        <is>
          <t>Greek 1.1%; Italian 0.8%; Croatian 0.5%</t>
        </is>
      </c>
      <c r="AW6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2" s="22">
        <f>IF(AU62="","",IF(OR(AU62&gt;=0.5,AQ62&gt;=0.08),"High",IF(OR(AU62&gt;=0.3,AQ62&gt;=0.04),"Medium","Low")))</f>
        <v/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M63" s="22">
        <f>IF(J63="","",ROUND(MAX(0,10*(1-J63/Filters!$B$4)),1))</f>
        <v/>
      </c>
      <c r="N63" s="22" t="n">
        <v>8</v>
      </c>
      <c r="O63" s="22">
        <f>IF(K63="","",ROUND(MAX(0,10*(1-K63/Filters!$B$5)),1))</f>
        <v/>
      </c>
      <c r="P63" s="22" t="n">
        <v>2</v>
      </c>
      <c r="Q63" s="22" t="n">
        <v>5</v>
      </c>
      <c r="R63" s="22" t="n">
        <v>7</v>
      </c>
      <c r="S63" s="22" t="n">
        <v>2</v>
      </c>
      <c r="T63" s="22">
        <f>IF(G63="","",ROUND(MAX(0,MIN(10,10*(Filters!$B$2-G63)/(Filters!$B$2-500000))),1))</f>
        <v/>
      </c>
      <c r="U63" s="22" t="n">
        <v>9</v>
      </c>
      <c r="V63" s="22" t="n">
        <v>2</v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19,846; 6 km S of Mornington, 52 km S of Melbourne [Victorian Places Mount Martha]. Beach: bathing beach on Port Phillip [Wikipedia Mount Martha]; U 9 consistent. Nature: boardwalk along Balcombe Creek from the North Beach mouth to The Briars Historic Park [Wikipedia]; summit park (161 m) reserved 1929, with an ornamental conifer plantation [Victorian Places]; N 8 consistent (coast and creek, plantings partly exotic). Village: Mount Martha shopping centre; heritage holiday houses on the Esplanade [Victorian Places]; R 7 plausible. Train: no station named; S 2 consistent. Indian community: India-born 0.1%, Hinduism 0.1% [ABS 2021 GCP SAL21803]; P 2 generous (1 arguable). City trip: 52 km, no rail; V 2 consistent. NOT checked: GPs, supermarket, bus. Scores unchanged.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  <c r="AK63" s="22" t="inlineStr">
        <is>
          <t>SAL21803</t>
        </is>
      </c>
      <c r="AL63" s="32" t="n">
        <v>19846</v>
      </c>
      <c r="AM63" s="22" t="n">
        <v>46</v>
      </c>
      <c r="AN63" s="33" t="n">
        <v>0.238</v>
      </c>
      <c r="AO63" s="33" t="n">
        <v>0.202</v>
      </c>
      <c r="AP63" s="33" t="n">
        <v>0.034</v>
      </c>
      <c r="AQ63" s="33" t="n">
        <v>0.001</v>
      </c>
      <c r="AR63" s="33" t="n">
        <v>0.004</v>
      </c>
      <c r="AS63" s="33" t="n">
        <v>0.001</v>
      </c>
      <c r="AT63" s="33" t="n">
        <v>0</v>
      </c>
      <c r="AU63" s="33" t="n">
        <v>0.049</v>
      </c>
      <c r="AV63" s="22" t="inlineStr">
        <is>
          <t>Italian 0.8%; German 0.6%; Greek 0.6%</t>
        </is>
      </c>
      <c r="AW6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3" s="22">
        <f>IF(AU63="","",IF(OR(AU63&gt;=0.5,AQ63&gt;=0.08),"High",IF(OR(AU63&gt;=0.3,AQ63&gt;=0.04),"Medium","Low")))</f>
        <v/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M64" s="22">
        <f>IF(J64="","",ROUND(MAX(0,10*(1-J64/Filters!$B$4)),1))</f>
        <v/>
      </c>
      <c r="N64" s="22" t="n">
        <v>5</v>
      </c>
      <c r="O64" s="22">
        <f>IF(K64="","",ROUND(MAX(0,10*(1-K64/Filters!$B$5)),1))</f>
        <v/>
      </c>
      <c r="P64" s="22" t="n">
        <v>5</v>
      </c>
      <c r="Q64" s="22" t="n">
        <v>8</v>
      </c>
      <c r="R64" s="22" t="n">
        <v>7</v>
      </c>
      <c r="S64" s="22" t="n">
        <v>8</v>
      </c>
      <c r="T64" s="22">
        <f>IF(G64="","",ROUND(MAX(0,MIN(10,10*(Filters!$B$2-G64)/(Filters!$B$2-500000))),1))</f>
        <v/>
      </c>
      <c r="U64" s="22" t="n">
        <v>9</v>
      </c>
      <c r="V64" s="22" t="n">
        <v>7</v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on Frankston line; beach and pier (Wikipedia Mordialloc). GP: McDonald Street Medical Centre (healthdirect). Woolworths Mordialloc (grocerize). N, P, R, V remain estimates. | CHECKED 27 Oct 2026, second pass (N, P, R, V; suburb level). Nature: tidal Mordialloc Creek mouth, beach with lifesaving and picnic facilities, numerous walking and cycling trails [Wikipedia Mordialloc; Victorian Places]; N 5 consistent. Village: shops within walking distance of the beach and station; pier and sailing club at the creek mouth [Victorian Places]; R 7 consistent. Indian community: India-born 1.4%, Indian ancestry 2.2%, Hinduism 1.4% [ABS 2021 GCP SAL21760]; P 5 generous (3 arguable). City trip: 24-25 km SE on the Frankston line [Wikipedia; Victorian Places]; V 7 plausible. Scores unchanged.</t>
        </is>
      </c>
      <c r="AB64" s="22" t="inlineStr">
        <is>
          <t>Yes</t>
        </is>
      </c>
      <c r="AC64" s="22" t="inlineStr">
        <is>
          <t>Mordialloc station, Frankston line (checked: Wikipedia Mordialloc)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  <c r="AK64" s="22" t="inlineStr">
        <is>
          <t>SAL21760</t>
        </is>
      </c>
      <c r="AL64" s="32" t="n">
        <v>8886</v>
      </c>
      <c r="AM64" s="22" t="n">
        <v>40</v>
      </c>
      <c r="AN64" s="33" t="n">
        <v>0.155</v>
      </c>
      <c r="AO64" s="33" t="n">
        <v>0.283</v>
      </c>
      <c r="AP64" s="33" t="n">
        <v>0.031</v>
      </c>
      <c r="AQ64" s="33" t="n">
        <v>0.014</v>
      </c>
      <c r="AR64" s="33" t="n">
        <v>0.022</v>
      </c>
      <c r="AS64" s="33" t="n">
        <v>0.014</v>
      </c>
      <c r="AT64" s="33" t="n">
        <v>0.001</v>
      </c>
      <c r="AU64" s="33" t="n">
        <v>0.187</v>
      </c>
      <c r="AV64" s="22" t="inlineStr">
        <is>
          <t>Greek 2.9%; Mandarin 2.3%; Italian 1.5%</t>
        </is>
      </c>
      <c r="AW6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4" s="22">
        <f>IF(AU64="","",IF(OR(AU64&gt;=0.5,AQ64&gt;=0.08),"High",IF(OR(AU64&gt;=0.3,AQ64&gt;=0.04),"Medium","Low")))</f>
        <v/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M65" s="22">
        <f>IF(J65="","",ROUND(MAX(0,10*(1-J65/Filters!$B$4)),1))</f>
        <v/>
      </c>
      <c r="N65" s="22" t="n">
        <v>5</v>
      </c>
      <c r="O65" s="22">
        <f>IF(K65="","",ROUND(MAX(0,10*(1-K65/Filters!$B$5)),1))</f>
        <v/>
      </c>
      <c r="P65" s="22" t="n">
        <v>6</v>
      </c>
      <c r="Q65" s="22" t="n">
        <v>7</v>
      </c>
      <c r="R65" s="22" t="n">
        <v>6</v>
      </c>
      <c r="S65" s="22" t="n">
        <v>9</v>
      </c>
      <c r="T65" s="22">
        <f>IF(G65="","",ROUND(MAX(0,MIN(10,10*(Filters!$B$2-G65)/(Filters!$B$2-500000))),1))</f>
        <v/>
      </c>
      <c r="U65" s="22" t="n">
        <v>4</v>
      </c>
      <c r="V65" s="22" t="n">
        <v>9</v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lines. No beach in suburb: The Strand foreshore and Altona Beach nearby; Newport Lakes 33 ha bushland (Wikipedia Newport). GP: Complete Family Care (healthdirect). Supermarket NOT confirmed; Q lowered 8-&gt;7. N, P, R, V remain estimates. | CHECKED 27 Oct 2026, second pass (N, P, R, V; suburb level). Nature: Newport Lakes Park, 33 ha 'bushland oasis' on a former quarry, 200+ plant and 85 bird species; Sandy Point Conservation Area; Greenwich Bay and The Strand [Wikipedia Newport]; N 4 low (5-6 arguable). Village: diverse mix; Substation arts centre beside the station; monthly artists' market; folk festival [Wikipedia]; residential and industrial suburb [Victorian Places]; R 6 consistent. Indian community: India-born 1.1%, Indian ancestry 1.8%, Hinduism 0.9% [ABS 2021 GCP SAL21934]; P 6 not supported (2-3 arguable). City trip: 7.5 km SW; 'a 20-minute train journey from Flinders Street' [Wikipedia]; V 9 consistent. Scores unchanged. | C3 28 Oct 2026: N 4-&gt;5 (source: Newport Lakes Park, 33 ha 'bushland oasis', 200+ plant species; Sandy Point Conservation Area [Wikipedia Newport]).</t>
        </is>
      </c>
      <c r="AB65" s="22" t="inlineStr">
        <is>
          <t>Yes</t>
        </is>
      </c>
      <c r="AC65" s="22" t="inlineStr">
        <is>
          <t>Newport station, Werribee and Williamstown lines (checked: Wikipedia Newport)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  <c r="AK65" s="22" t="inlineStr">
        <is>
          <t>SAL21934</t>
        </is>
      </c>
      <c r="AL65" s="32" t="n">
        <v>13658</v>
      </c>
      <c r="AM65" s="22" t="n">
        <v>38</v>
      </c>
      <c r="AN65" s="33" t="n">
        <v>0.115</v>
      </c>
      <c r="AO65" s="33" t="n">
        <v>0.232</v>
      </c>
      <c r="AP65" s="33" t="n">
        <v>0.028</v>
      </c>
      <c r="AQ65" s="33" t="n">
        <v>0.011</v>
      </c>
      <c r="AR65" s="33" t="n">
        <v>0.018</v>
      </c>
      <c r="AS65" s="33" t="n">
        <v>0.009000000000000001</v>
      </c>
      <c r="AT65" s="33" t="n">
        <v>0.001</v>
      </c>
      <c r="AU65" s="33" t="n">
        <v>0.176</v>
      </c>
      <c r="AV65" s="22" t="inlineStr">
        <is>
          <t>Arabic 2.4%; Greek 2.4%; Italian 1.5%</t>
        </is>
      </c>
      <c r="AW6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5" s="22">
        <f>IF(AU65="","",IF(OR(AU65&gt;=0.5,AQ65&gt;=0.08),"High",IF(OR(AU65&gt;=0.3,AQ65&gt;=0.04),"Medium","Low")))</f>
        <v/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M66" s="22">
        <f>IF(J66="","",ROUND(MAX(0,10*(1-J66/Filters!$B$4)),1))</f>
        <v/>
      </c>
      <c r="N66" s="22" t="n">
        <v>9</v>
      </c>
      <c r="O66" s="22">
        <f>IF(K66="","",ROUND(MAX(0,10*(1-K66/Filters!$B$5)),1))</f>
        <v/>
      </c>
      <c r="P66" s="22" t="n">
        <v>1</v>
      </c>
      <c r="Q66" s="22" t="n">
        <v>2</v>
      </c>
      <c r="R66" s="22" t="n">
        <v>4</v>
      </c>
      <c r="S66" s="22" t="n">
        <v>1</v>
      </c>
      <c r="T66" s="22">
        <f>IF(G66="","",ROUND(MAX(0,MIN(10,10*(Filters!$B$2-G66)/(Filters!$B$2-500000))),1))</f>
        <v/>
      </c>
      <c r="U66" s="22" t="n">
        <v>6</v>
      </c>
      <c r="V66" s="22" t="n">
        <v>2</v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Price from 5 sales only (weak). | CHECKED 27 Oct 2026, source run C1 (suburb level; Wikipedia, Victorian Places, ABS 2021 GCP DataPack). Pop 414; small hill locality, 60 km S of CBD [Victorian Places] (Wikipedia's 85 km looks wrong); summit 304-314 m. Nature: Arthurs Seat State Park covers the western half with many walking tracks (Two Bays track, Kings Falls circuit); dry open eucalypt forest, burnt in 1973 and 1997; weeds on the NW face [Wikipedia; Victorian Places]; N 9 consistent. Village: no centre; residential area east of the summit 'shading into open country towards Main Ridge'; tourist attractions (Seawinds gardens, maze, restaurants) [Victorian Places; Wikipedia]; R 6 generous for a locality with no shops (4 arguable). Shops: none named; Q 2 consistent. Beach: Dromana and McCrae beaches below; U 6 plausible. Train: none; S 1 consistent. Indian community: 0 India-born, 0 Indian ancestry [ABS 2021 GCP SAL20072]; P 1 consistent. Very small population: ABS perturbs small counts. City trip: no rail; V 2 consistent. NOT checked: road access for older drivers, bushfire overlay. Scores unchanged. | C3 28 Oct 2026: R 6-&gt;4 (source: no village centre or shops; residential area 'shading into open country towards Main Ridge' [Victorian Places Arthurs Seat]).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  <c r="AK66" s="22" t="inlineStr">
        <is>
          <t>SAL20072</t>
        </is>
      </c>
      <c r="AL66" s="32" t="n">
        <v>414</v>
      </c>
      <c r="AM66" s="22" t="n">
        <v>48</v>
      </c>
      <c r="AN66" s="33" t="n">
        <v>0.239</v>
      </c>
      <c r="AO66" s="33" t="n">
        <v>0.15</v>
      </c>
      <c r="AP66" s="33" t="n">
        <v>0.036</v>
      </c>
      <c r="AQ66" s="33" t="n">
        <v>0</v>
      </c>
      <c r="AR66" s="33" t="n">
        <v>0</v>
      </c>
      <c r="AS66" s="33" t="n">
        <v>0</v>
      </c>
      <c r="AT66" s="33" t="n">
        <v>0</v>
      </c>
      <c r="AU66" s="33" t="n">
        <v>0.039</v>
      </c>
      <c r="AV66" s="22" t="inlineStr">
        <is>
          <t>Greek 2.2%; Italian 0.7%</t>
        </is>
      </c>
      <c r="AW66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  <c r="AX66" s="22">
        <f>IF(AU66="","",IF(OR(AU66&gt;=0.5,AQ66&gt;=0.08),"High",IF(OR(AU66&gt;=0.3,AQ66&gt;=0.04),"Medium","Low")))</f>
        <v/>
      </c>
    </row>
    <row r="67" ht="15.75" customHeight="1" s="15">
      <c r="A67" s="16" t="inlineStr">
        <is>
          <t>Springvale</t>
        </is>
      </c>
      <c r="B67" s="16" t="inlineStr">
        <is>
          <t>South-East Melbourne</t>
        </is>
      </c>
      <c r="C67" s="16" t="inlineStr">
        <is>
          <t>Community comparator</t>
        </is>
      </c>
      <c r="D67" s="16" t="inlineStr">
        <is>
          <t>Not assessed</t>
        </is>
      </c>
      <c r="E67" s="16" t="inlineStr">
        <is>
          <t>Not assessed</t>
        </is>
      </c>
      <c r="F67" s="16" t="inlineStr">
        <is>
          <t>Community comparator — Diverse / lower-green</t>
        </is>
      </c>
      <c r="G67" s="16" t="n">
        <v>942500</v>
      </c>
      <c r="H67" s="16" t="inlineStr">
        <is>
          <t>SOI median price, house, 1 Jul 2025–30 Jun 2026 (pricefinder), on SOI 24 Phillip Ave</t>
        </is>
      </c>
      <c r="I67" s="16">
        <f>G67*(1+Settings!$B$6)</f>
        <v/>
      </c>
      <c r="J67" s="22" t="n">
        <v>26</v>
      </c>
      <c r="K67" s="22" t="n">
        <v>18</v>
      </c>
      <c r="L67" s="16" t="inlineStr">
        <is>
          <t>Comparator: filters met (not ranked)</t>
        </is>
      </c>
      <c r="M67" s="22">
        <f>IF(J67="","",ROUND(MAX(0,10*(1-J67/Filters!$B$4)),1))</f>
        <v/>
      </c>
      <c r="N67" s="22" t="n"/>
      <c r="O67" s="22">
        <f>IF(K67="","",ROUND(MAX(0,10*(1-K67/Filters!$B$5)),1))</f>
        <v/>
      </c>
      <c r="P67" s="22" t="n"/>
      <c r="Q67" s="22" t="n"/>
      <c r="R67" s="22" t="n"/>
      <c r="S67" s="22" t="n"/>
      <c r="T67" s="22">
        <f>IF(G67="","",ROUND(MAX(0,MIN(10,10*(Filters!$B$2-G67)/(Filters!$B$2-500000))),1))</f>
        <v/>
      </c>
      <c r="U67" s="22" t="n"/>
      <c r="V67" s="22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inlineStr">
        <is>
          <t>COMMUNITY COMPARATOR added 28 Oct 2026 (display-only; not ranked; no judgement scores). Corner: Diverse / lower-green. CHECKED (checked 28 Oct 2026 AEDT): GW drive peak (08:00), not used in J: typical 10–35 min (top 35, passes 90-min cap), 8.3 km via Springvale Rd [https://www.google.com/maps/dir/Springvale%20VIC%203171/Glen%20Waverley%20VIC%203150/data=!4m6!4m5!2m3!6e0!7e2!8j1793174400!3e0]; GW drive 10:00 weekday (Wed 28 Oct 2026) typical 10–26 min, top 26 = J from 28 Oct 2026 (off-peak basis, closest checked figure to the Filters tab's "leave now") [https://www.google.com/maps/dir/Springvale%20VIC%203171/Glen%20Waverley%20VIC%203150/data=!4m6!4m5!2m3!6e0!7e2!8j1793181600!3e0]. ED Monash Medical Centre Clayton 10–18 min. Price: SOI median $942,500 house (pricefinder, 1 Jul 2025–30 Jun 2026) [https://s3-ap-southeast-2.amazonaws.com/zenu/soi/b0b62daa-8691-4f3f-b21b-fc0a629845ff.pdf]; under-cap listings $700k–$790k. Indian grocery: India Town, 11b/310 Springvale Rd, 4 min (Google Business Profile). Hindu temple: Sankat Mochan Hanuman Mandir, 4 Margaret St, Oakleigh South, 10–20 min (Google, 602 reviews). Church: St Joseph's Catholic, cnr Buckingham Ave &amp; 7 St James Ave, 4 min (Google). ABS 2021: AQ 7.4%, AU 75.6%. Nature: none of real size (Wikipedia Springvale). ESTIMATE: train service (recall). NEEDS VERIFICATION: suitable property under cap; a 6-month SOI gives an outlier median $600k. Full sources: 'Community comparators — research (28 Oct 2026).md'.</t>
        </is>
      </c>
      <c r="AB67" s="22" t="inlineStr">
        <is>
          <t>Yes</t>
        </is>
      </c>
      <c r="AC67" s="22" t="inlineStr">
        <is>
          <t>Springvale station, Cranbourne/Pakenham lines (recall; verify)</t>
        </is>
      </c>
      <c r="AD67" s="22" t="inlineStr">
        <is>
          <t>Monash Medical Centre Clayton ED, 10–18 min; public hospital with 24-hour ED (Vic Dept of Health public-hospitals list; healthdirect "Open 24 hours"/"Mixed billing"); drive = top of Google Maps typical range, Depart at Wed 28 Oct 2026 10:00, suburb name not postcode</t>
        </is>
      </c>
      <c r="AE67" s="22" t="n">
        <v>1500000</v>
      </c>
      <c r="AF67" s="22" t="inlineStr">
        <is>
          <t>Maximum purchase price, excluding transaction and moving costs</t>
        </is>
      </c>
      <c r="AG67" s="22" t="inlineStr">
        <is>
          <t>SOI suburb median + under-cap listing</t>
        </is>
      </c>
      <c r="AH67" s="22" t="inlineStr">
        <is>
          <t>28 Oct 2026</t>
        </is>
      </c>
      <c r="AI67" s="22" t="inlineStr">
        <is>
          <t>Pass</t>
        </is>
      </c>
      <c r="AJ67" s="22" t="inlineStr">
        <is>
          <t>Median $942,500 under $1.5M cap. Houses also list/sell under cap: 24 Phillip Ave SOI range $700k–$770k; 15 Acacia Mews SOI range $720k–$790k with comparables 34 View Rd $730k (3 May 2026), 13 Acacia Mews $790k (27 Mar 2026). Suitable-property check (stairs, size) still needs data.</t>
        </is>
      </c>
      <c r="AK67" s="22" t="inlineStr">
        <is>
          <t>SAL22328</t>
        </is>
      </c>
      <c r="AL67" s="32" t="n">
        <v>22174</v>
      </c>
      <c r="AM67" s="22" t="n">
        <v>36</v>
      </c>
      <c r="AN67" s="33" t="n">
        <v>0.164</v>
      </c>
      <c r="AO67" s="33" t="n">
        <v>0.6629999999999999</v>
      </c>
      <c r="AP67" s="33" t="n">
        <v>0.048</v>
      </c>
      <c r="AQ67" s="33" t="n">
        <v>0.07400000000000001</v>
      </c>
      <c r="AR67" s="33" t="n">
        <v>0.057</v>
      </c>
      <c r="AS67" s="33" t="n">
        <v>0.042</v>
      </c>
      <c r="AT67" s="33" t="n">
        <v>0.032</v>
      </c>
      <c r="AU67" s="33" t="n">
        <v>0.7559999999999999</v>
      </c>
      <c r="AV67" s="22" t="inlineStr">
        <is>
          <t>Vietnamese 25.2%; Mandarin 6.7%; Cantonese 6.3%</t>
        </is>
      </c>
      <c r="AW6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7" s="22">
        <f>IF(AU67="","",IF(OR(AU67&gt;=0.5,AQ67&gt;=0.08),"High",IF(OR(AU67&gt;=0.3,AQ67&gt;=0.04),"Medium","Low")))</f>
        <v/>
      </c>
    </row>
    <row r="68" ht="15.75" customHeight="1" s="15">
      <c r="A68" s="16" t="inlineStr">
        <is>
          <t>Clayton South</t>
        </is>
      </c>
      <c r="B68" s="16" t="inlineStr">
        <is>
          <t>South-East Melbourne</t>
        </is>
      </c>
      <c r="C68" s="16" t="inlineStr">
        <is>
          <t>Community comparator</t>
        </is>
      </c>
      <c r="D68" s="16" t="inlineStr">
        <is>
          <t>Not assessed</t>
        </is>
      </c>
      <c r="E68" s="16" t="inlineStr">
        <is>
          <t>Not assessed</t>
        </is>
      </c>
      <c r="F68" s="16" t="inlineStr">
        <is>
          <t>Community comparator — Diverse / lower-green</t>
        </is>
      </c>
      <c r="G68" s="16" t="n">
        <v>985000</v>
      </c>
      <c r="H68" s="16" t="inlineStr">
        <is>
          <t>SOI median price, house, 1 Apr 2025–31 Mar 2026 (pricefinder), on SOI 85 Osborne Ave</t>
        </is>
      </c>
      <c r="I68" s="16">
        <f>G68*(1+Settings!$B$6)</f>
        <v/>
      </c>
      <c r="J68" s="22" t="n">
        <v>35</v>
      </c>
      <c r="K68" s="22" t="n">
        <v>12</v>
      </c>
      <c r="L68" s="16" t="inlineStr">
        <is>
          <t>Comparator: filters met (not ranked)</t>
        </is>
      </c>
      <c r="M68" s="22">
        <f>IF(J68="","",ROUND(MAX(0,10*(1-J68/Filters!$B$4)),1))</f>
        <v/>
      </c>
      <c r="N68" s="22" t="n"/>
      <c r="O68" s="22">
        <f>IF(K68="","",ROUND(MAX(0,10*(1-K68/Filters!$B$5)),1))</f>
        <v/>
      </c>
      <c r="P68" s="22" t="n"/>
      <c r="Q68" s="22" t="n"/>
      <c r="R68" s="22" t="n"/>
      <c r="S68" s="22" t="n"/>
      <c r="T68" s="22">
        <f>IF(G68="","",ROUND(MAX(0,MIN(10,10*(Filters!$B$2-G68)/(Filters!$B$2-500000))),1))</f>
        <v/>
      </c>
      <c r="U68" s="22" t="n"/>
      <c r="V68" s="22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inlineStr">
        <is>
          <t>COMMUNITY COMPARATOR added 28 Oct 2026 (display-only; not ranked; no judgement scores). Corner: Diverse / lower-green. CHECKED (checked 28 Oct 2026 AEDT): GW drive peak (08:00), not used in J: typical 16–40 min (top 40, passes), 11.4 km [https://www.google.com/maps/dir/Clayton%20South%20VIC%203169/Glen%20Waverley%20VIC%203150/data=!4m6!4m5!2m3!6e0!7e2!8j1793174400!3e0]; GW drive 10:00 weekday (Wed 28 Oct 2026) typical 14–35 min, top 35 = J from 28 Oct 2026 (off-peak basis, closest checked figure to the Filters tab's "leave now") [https://www.google.com/maps/dir/Clayton%20South%20VIC%203169/Glen%20Waverley%20VIC%203150/data=!4m6!4m5!2m3!6e0!7e2!8j1793181600!3e0]. ED Monash Medical Centre Clayton 8–12 min. Price: SOI median $985,000 house (pricefinder, Apr 2025–Mar 2026) [https://s3-ap-southeast-2.amazonaws.com/zenu/soi/daf40c18-47a7-4907-9f9a-1801cc782a35.pdf]; listing $1.00–1.08M and three comparables ~$1.0M. Indian grocery: Sarawan Spices, 335 Clayton Rd, Clayton, 5–8 min (Google Business Profile, confirmed operating); Little India Mart, 2/1310 Centre Rd, 4–6 min (Google). Hindu temple: Sankat Mochan Hanuman Mandir, Oakleigh South, 7–12 min (Google). Church: St Andrews Catholic, 76 Springs Rd, 5 min (Google). ABS 2021: AQ 14.9%, AU 67.1%. Nature: golf course and landfill; no named reserve (Victorian Places). ESTIMATE: Little India Mart's suburb (listing does not print it); train access (recall). NEEDS VERIFICATION: suitable property under cap.</t>
        </is>
      </c>
      <c r="AB68" s="22" t="inlineStr">
        <is>
          <t>No</t>
        </is>
      </c>
      <c r="AC68" s="22" t="inlineStr">
        <is>
          <t>No station in suburb; Westall and Clayton stations nearby (recall; verify)</t>
        </is>
      </c>
      <c r="AD68" s="22" t="inlineStr">
        <is>
          <t>Monash Medical Centre Clayton ED, 8–12 min; public hospital with 24-hour ED (Vic Dept of Health public-hospitals list; healthdirect "Open 24 hours"/"Mixed billing"); drive = top of Google Maps typical range, Depart at Wed 28 Oct 2026 10:00, suburb name not postcode</t>
        </is>
      </c>
      <c r="AE68" s="22" t="n">
        <v>1500000</v>
      </c>
      <c r="AF68" s="22" t="inlineStr">
        <is>
          <t>Maximum purchase price, excluding transaction and moving costs</t>
        </is>
      </c>
      <c r="AG68" s="22" t="inlineStr">
        <is>
          <t>SOI suburb median + under-cap listing</t>
        </is>
      </c>
      <c r="AH68" s="22" t="inlineStr">
        <is>
          <t>28 Oct 2026</t>
        </is>
      </c>
      <c r="AI68" s="22" t="inlineStr">
        <is>
          <t>Pass</t>
        </is>
      </c>
      <c r="AJ68" s="22" t="inlineStr">
        <is>
          <t>Median $985,000 under cap. 85 Osborne Ave SOI range $1.00M–$1.08M; comparables 37 Glenmorgan Cl $1.0M, 15 Clarevale St $1.033M, 3 Hadkinson St $1.045M (May 2026). Suitable-property check still needs data.</t>
        </is>
      </c>
      <c r="AK68" s="22" t="inlineStr">
        <is>
          <t>SAL20570</t>
        </is>
      </c>
      <c r="AL68" s="32" t="n">
        <v>13381</v>
      </c>
      <c r="AM68" s="22" t="n">
        <v>34</v>
      </c>
      <c r="AN68" s="33" t="n">
        <v>0.155</v>
      </c>
      <c r="AO68" s="33" t="n">
        <v>0.628</v>
      </c>
      <c r="AP68" s="33" t="n">
        <v>0.04099999999999999</v>
      </c>
      <c r="AQ68" s="33" t="n">
        <v>0.149</v>
      </c>
      <c r="AR68" s="33" t="n">
        <v>0.123</v>
      </c>
      <c r="AS68" s="33" t="n">
        <v>0.123</v>
      </c>
      <c r="AT68" s="33" t="n">
        <v>0.03</v>
      </c>
      <c r="AU68" s="33" t="n">
        <v>0.6709999999999999</v>
      </c>
      <c r="AV68" s="22" t="inlineStr">
        <is>
          <t>Mandarin 10.7%; Greek 9.3%; Vietnamese 4.5%</t>
        </is>
      </c>
      <c r="AW6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8" s="22">
        <f>IF(AU68="","",IF(OR(AU68&gt;=0.5,AQ68&gt;=0.08),"High",IF(OR(AU68&gt;=0.3,AQ68&gt;=0.04),"Medium","Low")))</f>
        <v/>
      </c>
    </row>
    <row r="69" ht="15.75" customHeight="1" s="15">
      <c r="A69" s="16" t="inlineStr">
        <is>
          <t>Keysborough</t>
        </is>
      </c>
      <c r="B69" s="16" t="inlineStr">
        <is>
          <t>South-East Melbourne</t>
        </is>
      </c>
      <c r="C69" s="16" t="inlineStr">
        <is>
          <t>Community comparator</t>
        </is>
      </c>
      <c r="D69" s="16" t="inlineStr">
        <is>
          <t>Not assessed</t>
        </is>
      </c>
      <c r="E69" s="16" t="inlineStr">
        <is>
          <t>Not assessed</t>
        </is>
      </c>
      <c r="F69" s="16" t="inlineStr">
        <is>
          <t>Community comparator — Diverse / lower-green</t>
        </is>
      </c>
      <c r="G69" s="16" t="n">
        <v>975000</v>
      </c>
      <c r="H69" s="16" t="inlineStr">
        <is>
          <t>SOI median price, house, 1 Jul 2025–30 Jun 2026 (pricefinder), on SOI 7-9 Cascade Pl</t>
        </is>
      </c>
      <c r="I69" s="16">
        <f>G69*(1+Settings!$B$6)</f>
        <v/>
      </c>
      <c r="J69" s="22" t="n">
        <v>24</v>
      </c>
      <c r="K69" s="22" t="n">
        <v>18</v>
      </c>
      <c r="L69" s="16" t="inlineStr">
        <is>
          <t>Comparator: filters met (not ranked)</t>
        </is>
      </c>
      <c r="M69" s="22">
        <f>IF(J69="","",ROUND(MAX(0,10*(1-J69/Filters!$B$4)),1))</f>
        <v/>
      </c>
      <c r="N69" s="22" t="n"/>
      <c r="O69" s="22">
        <f>IF(K69="","",ROUND(MAX(0,10*(1-K69/Filters!$B$5)),1))</f>
        <v/>
      </c>
      <c r="P69" s="22" t="n"/>
      <c r="Q69" s="22" t="n"/>
      <c r="R69" s="22" t="n"/>
      <c r="S69" s="22" t="n"/>
      <c r="T69" s="22">
        <f>IF(G69="","",ROUND(MAX(0,MIN(10,10*(Filters!$B$2-G69)/(Filters!$B$2-500000))),1))</f>
        <v/>
      </c>
      <c r="U69" s="22" t="n"/>
      <c r="V69" s="22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inlineStr">
        <is>
          <t>COMMUNITY COMPARATOR added 28 Oct 2026 (display-only; not ranked; no judgement scores). Corner: Diverse / lower-green. CHECKED (checked 28 Oct 2026 AEDT): GW drive peak (08:00), not used in J: typical 18–30 min (top 30, passes), 21.0 km via M3 [https://www.google.com/maps/dir/Keysborough%20VIC%203173/Glen%20Waverley%20VIC%203150/data=!4m6!4m5!2m3!6e0!7e2!8j1793174400!3e0]; GW drive 10:00 weekday (Wed 28 Oct 2026) typical 18–24 min, top 24 = J from 28 Oct 2026 (off-peak basis, closest checked figure to the Filters tab's "leave now") [https://www.google.com/maps/dir/Keysborough%20VIC%203173/Glen%20Waverley%20VIC%203150/data=!4m6!4m5!2m3!6e0!7e2!8j1793181600!3e0]. ED Dandenong Hospital 12–18 min. Price: SOI median $975,000 house [https://s3-ap-southeast-2.amazonaws.com/zenu/soi/ca8cd377-fe5e-42cd-a3d6-525992dc0a9d.pdf]; under-cap listing 45 Weston St $1.05–1.155M [https://s3-ap-southeast-2.amazonaws.com/zenu/soi/7b6728e4-a512-4e2d-b761-4e7595257093.pdf]. Indian grocery: India at Home, Parkmore Shopping Centre, 4–6 min (Google). Hindu temple: Shri Shiva Vishnu Temple, 52 Boundary Rd, Carrum Downs, 14–20 min (Google, 6,483 reviews); gurdwara at 198-206 Perry Rd in suburb. Church: Resurrection Parish, 402 Corrigan Rd, 5–6 min (Google). ABS 2021: AQ 6.6%, AU 61.1%. Nature: market gardens to the south; no named reserve (Wikipedia). ESTIMATE: no train (recall). NEEDS VERIFICATION: suitable property under cap.</t>
        </is>
      </c>
      <c r="AB69" s="22" t="inlineStr">
        <is>
          <t>No</t>
        </is>
      </c>
      <c r="AC69" s="22" t="inlineStr">
        <is>
          <t>No passenger rail in suburb (recall; verify)</t>
        </is>
      </c>
      <c r="AD69" s="22" t="inlineStr">
        <is>
          <t>Dandenong Hospital ED, 12–18 min; public hospital with 24-hour ED (Vic Dept of Health public-hospitals list; healthdirect "Open 24 hours"/"Mixed billing"); drive = top of Google Maps typical range, Depart at Wed 28 Oct 2026 10:00, suburb name not postcode</t>
        </is>
      </c>
      <c r="AE69" s="22" t="n">
        <v>1500000</v>
      </c>
      <c r="AF69" s="22" t="inlineStr">
        <is>
          <t>Maximum purchase price, excluding transaction and moving costs</t>
        </is>
      </c>
      <c r="AG69" s="22" t="inlineStr">
        <is>
          <t>SOI suburb median + under-cap listing</t>
        </is>
      </c>
      <c r="AH69" s="22" t="inlineStr">
        <is>
          <t>28 Oct 2026</t>
        </is>
      </c>
      <c r="AI69" s="22" t="inlineStr">
        <is>
          <t>Pass</t>
        </is>
      </c>
      <c r="AJ69" s="22" t="inlineStr">
        <is>
          <t>Median $975,000 under cap. 45 Weston St SOI range $1.05M–$1.155M; comparables 15 Petunia Dr $1.11M, 9 Annabelle Blvd $1.06M, 13 Sunflower Ct $1.128M (Feb–Jun 2026). Note the median SOI listing itself (7-9 Cascade Pl) is $1.75–1.85M, over cap. Suitable-property check still needs data.</t>
        </is>
      </c>
      <c r="AK69" s="22" t="inlineStr">
        <is>
          <t>SAL21339</t>
        </is>
      </c>
      <c r="AL69" s="32" t="n">
        <v>30018</v>
      </c>
      <c r="AM69" s="22" t="n">
        <v>36</v>
      </c>
      <c r="AN69" s="33" t="n">
        <v>0.141</v>
      </c>
      <c r="AO69" s="33" t="n">
        <v>0.541</v>
      </c>
      <c r="AP69" s="33" t="n">
        <v>0.028</v>
      </c>
      <c r="AQ69" s="33" t="n">
        <v>0.066</v>
      </c>
      <c r="AR69" s="33" t="n">
        <v>0.073</v>
      </c>
      <c r="AS69" s="33" t="n">
        <v>0.049</v>
      </c>
      <c r="AT69" s="33" t="n">
        <v>0.018</v>
      </c>
      <c r="AU69" s="33" t="n">
        <v>0.611</v>
      </c>
      <c r="AV69" s="22" t="inlineStr">
        <is>
          <t>Vietnamese 11.5%; Khmer 9.7%; Mandarin 6.8%</t>
        </is>
      </c>
      <c r="AW6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9" s="22">
        <f>IF(AU69="","",IF(OR(AU69&gt;=0.5,AQ69&gt;=0.08),"High",IF(OR(AU69&gt;=0.3,AQ69&gt;=0.04),"Medium","Low")))</f>
        <v/>
      </c>
    </row>
    <row r="70" ht="15.75" customHeight="1" s="15">
      <c r="A70" s="16" t="inlineStr">
        <is>
          <t>Clyde North</t>
        </is>
      </c>
      <c r="B70" s="16" t="inlineStr">
        <is>
          <t>South-East Melbourne</t>
        </is>
      </c>
      <c r="C70" s="16" t="inlineStr">
        <is>
          <t>Community comparator</t>
        </is>
      </c>
      <c r="D70" s="16" t="inlineStr">
        <is>
          <t>Not assessed</t>
        </is>
      </c>
      <c r="E70" s="16" t="inlineStr">
        <is>
          <t>Not assessed</t>
        </is>
      </c>
      <c r="F70" s="16" t="inlineStr">
        <is>
          <t>Community comparator — Diverse / lower-green</t>
        </is>
      </c>
      <c r="G70" s="16" t="n">
        <v>752932</v>
      </c>
      <c r="H70" s="16" t="inlineStr">
        <is>
          <t>SOI median price, house, 1 Jun 2025–31 May 2026 (PropTrack), on SOI 24 Hollywell Rd</t>
        </is>
      </c>
      <c r="I70" s="16">
        <f>G70*(1+Settings!$B$6)</f>
        <v/>
      </c>
      <c r="J70" s="22" t="n">
        <v>50</v>
      </c>
      <c r="K70" s="22" t="n">
        <v>24</v>
      </c>
      <c r="L70" s="16" t="inlineStr">
        <is>
          <t>Comparator: filters met (not ranked)</t>
        </is>
      </c>
      <c r="M70" s="22">
        <f>IF(J70="","",ROUND(MAX(0,10*(1-J70/Filters!$B$4)),1))</f>
        <v/>
      </c>
      <c r="N70" s="22" t="n"/>
      <c r="O70" s="22">
        <f>IF(K70="","",ROUND(MAX(0,10*(1-K70/Filters!$B$5)),1))</f>
        <v/>
      </c>
      <c r="P70" s="22" t="n"/>
      <c r="Q70" s="22" t="n"/>
      <c r="R70" s="22" t="n"/>
      <c r="S70" s="22" t="n"/>
      <c r="T70" s="22">
        <f>IF(G70="","",ROUND(MAX(0,MIN(10,10*(Filters!$B$2-G70)/(Filters!$B$2-500000))),1))</f>
        <v/>
      </c>
      <c r="U70" s="22" t="n"/>
      <c r="V70" s="22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inlineStr">
        <is>
          <t>COMMUNITY COMPARATOR added 28 Oct 2026 (display-only; not ranked; no judgement scores). Corner: Diverse / lower-green. CHECKED (checked 28 Oct 2026 AEDT): GW drive peak (08:00), not used in J: typical 35 min–1 hr 10 (top 70): passes the 90-min cap, but EXCEEDS A 60-MIN PREFERENCE if the family adopts one; 42.0 km via Thompsons Rd and M3 [https://www.google.com/maps/dir/Clyde%20North%20VIC%203978/Glen%20Waverley%20VIC%203150/data=!4m6!4m5!2m3!6e0!7e2!8j1793174400!3e0]; GW drive 10:00 weekday (Wed 28 Oct 2026) typical 28–50 min, top 50 = J from 28 Oct 2026 (off-peak basis, closest checked figure to the Filters tab's "leave now") [https://www.google.com/maps/dir/Clyde%20North%20VIC%203978/Glen%20Waverley%20VIC%203150/data=!4m6!4m5!2m3!6e0!7e2!8j1793181600!3e0]. ED Casey Hospital 12–24 min. Price: SOI median $752,932 house (PropTrack) [https://s3-ap-southeast-2.amazonaws.com/zenu/soi/a24be22a-1f37-4f59-820a-aeb288704b8c.pdf]; listing $790–860k and comparables ~$810k. Indian grocery: Wirsa Indian Groceries, 13/16 Selandra Blvd, 2 min (Google). Hindu temple: Shrinathji Haveli, 3-5 Princes Domain Dr, Hallam, 16–30 min (Google, confirmed operating). Church: St Thomas The Apostle Catholic, 5 Fiorelli Blvd, 4 min (Google; replaces the approximate GCatholic location). ABS 2021: AQ 18.2%, AU 53.6%. Nature: green-wedge farmland; regional park only proposed (Wikipedia). ESTIMATE: BAPS Mandir, 175-177 Smiths Ln, 8–12 min (listing does not print suburb); no train (recall). NEEDS VERIFICATION: suitable property under cap.</t>
        </is>
      </c>
      <c r="AB70" s="22" t="inlineStr">
        <is>
          <t>No</t>
        </is>
      </c>
      <c r="AC70" s="22" t="inlineStr">
        <is>
          <t>No station in suburb; Cranbourne line nearby (recall; verify)</t>
        </is>
      </c>
      <c r="AD70" s="22" t="inlineStr">
        <is>
          <t>Casey Hospital ED, Berwick, 12–24 min; public hospital with 24-hour ED (Vic Dept of Health public-hospitals list; healthdirect "Open 24 hours"/"Mixed billing"); drive = top of Google Maps typical range, Depart at Wed 28 Oct 2026 10:00, suburb name not postcode</t>
        </is>
      </c>
      <c r="AE70" s="22" t="n">
        <v>1500000</v>
      </c>
      <c r="AF70" s="22" t="inlineStr">
        <is>
          <t>Maximum purchase price, excluding transaction and moving costs</t>
        </is>
      </c>
      <c r="AG70" s="22" t="inlineStr">
        <is>
          <t>SOI suburb median + under-cap listing</t>
        </is>
      </c>
      <c r="AH70" s="22" t="inlineStr">
        <is>
          <t>28 Oct 2026</t>
        </is>
      </c>
      <c r="AI70" s="22" t="inlineStr">
        <is>
          <t>Pass</t>
        </is>
      </c>
      <c r="AJ70" s="22" t="inlineStr">
        <is>
          <t>Median $752,932 under cap. 24 Hollywell Rd SOI range $790k–$860k; comparables 20 &amp; 100 Deoro Pde, 55 Bazadaise Dr $810k–$827.5k (Feb–May 2026). Suitable-property check still needs data.</t>
        </is>
      </c>
      <c r="AK70" s="22" t="inlineStr">
        <is>
          <t>SAL20582</t>
        </is>
      </c>
      <c r="AL70" s="32" t="n">
        <v>31681</v>
      </c>
      <c r="AM70" s="22" t="n">
        <v>30</v>
      </c>
      <c r="AN70" s="33" t="n">
        <v>0.053</v>
      </c>
      <c r="AO70" s="33" t="n">
        <v>0.507</v>
      </c>
      <c r="AP70" s="33" t="n">
        <v>0.033</v>
      </c>
      <c r="AQ70" s="33" t="n">
        <v>0.182</v>
      </c>
      <c r="AR70" s="33" t="n">
        <v>0.184</v>
      </c>
      <c r="AS70" s="33" t="n">
        <v>0.122</v>
      </c>
      <c r="AT70" s="33" t="n">
        <v>0.102</v>
      </c>
      <c r="AU70" s="33" t="n">
        <v>0.536</v>
      </c>
      <c r="AV70" s="22" t="inlineStr">
        <is>
          <t>Punjabi 11.5%; Sinhalese 7.9%; Malayalam 3.7%</t>
        </is>
      </c>
      <c r="AW7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0" s="22">
        <f>IF(AU70="","",IF(OR(AU70&gt;=0.5,AQ70&gt;=0.08),"High",IF(OR(AU70&gt;=0.3,AQ70&gt;=0.04),"Medium","Low")))</f>
        <v/>
      </c>
    </row>
    <row r="71" ht="15.75" customHeight="1" s="15">
      <c r="A71" s="16" t="inlineStr">
        <is>
          <t>Endeavour Hills</t>
        </is>
      </c>
      <c r="B71" s="16" t="inlineStr">
        <is>
          <t>Dandenong Foothills</t>
        </is>
      </c>
      <c r="C71" s="16" t="inlineStr">
        <is>
          <t>Community comparator</t>
        </is>
      </c>
      <c r="D71" s="16" t="inlineStr">
        <is>
          <t>Not assessed</t>
        </is>
      </c>
      <c r="E71" s="16" t="inlineStr">
        <is>
          <t>Not assessed</t>
        </is>
      </c>
      <c r="F71" s="16" t="inlineStr">
        <is>
          <t>Community comparator — Potential both</t>
        </is>
      </c>
      <c r="G71" s="16" t="n">
        <v>857000</v>
      </c>
      <c r="H71" s="16" t="inlineStr">
        <is>
          <t>SOI median price, house, 1 Aug 2025–1 Aug 2026 (Price Finder), on SOI 6 Isaac Smith Cres</t>
        </is>
      </c>
      <c r="I71" s="16">
        <f>G71*(1+Settings!$B$6)</f>
        <v/>
      </c>
      <c r="J71" s="22" t="n">
        <v>26</v>
      </c>
      <c r="K71" s="22" t="n">
        <v>12</v>
      </c>
      <c r="L71" s="16" t="inlineStr">
        <is>
          <t>Comparator: filters met (not ranked)</t>
        </is>
      </c>
      <c r="M71" s="22">
        <f>IF(J71="","",ROUND(MAX(0,10*(1-J71/Filters!$B$4)),1))</f>
        <v/>
      </c>
      <c r="N71" s="22" t="n"/>
      <c r="O71" s="22">
        <f>IF(K71="","",ROUND(MAX(0,10*(1-K71/Filters!$B$5)),1))</f>
        <v/>
      </c>
      <c r="P71" s="22" t="n"/>
      <c r="Q71" s="22" t="n"/>
      <c r="R71" s="22" t="n"/>
      <c r="S71" s="22" t="n"/>
      <c r="T71" s="22">
        <f>IF(G71="","",ROUND(MAX(0,MIN(10,10*(Filters!$B$2-G71)/(Filters!$B$2-500000))),1))</f>
        <v/>
      </c>
      <c r="U71" s="22" t="n"/>
      <c r="V71" s="22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inlineStr">
        <is>
          <t>COMMUNITY COMPARATOR added 28 Oct 2026 (display-only; not ranked; no judgement scores). Corner: POTENTIAL BOTH (nature and community both realistic weekly). CHECKED (checked 28 Oct 2026 AEDT): GW drive peak (08:00), not used in J: typical 18–35 min (top 35, passes), 18.6 km via M3 [https://www.google.com/maps/dir/Endeavour%20Hills%20VIC%203802/Glen%20Waverley%20VIC%203150/data=!4m6!4m5!2m3!6e0!7e2!8j1793174400!3e0]; GW drive 10:00 weekday (Wed 28 Oct 2026) typical 16–26 min, top 26 = J from 28 Oct 2026 (off-peak basis, closest checked figure to the Filters tab's "leave now") [https://www.google.com/maps/dir/Endeavour%20Hills%20VIC%203802/Glen%20Waverley%20VIC%203150/data=!4m6!4m5!2m3!6e0!7e2!8j1793181600!3e0]. ED Dandenong Hospital 7–12 min. Price: SOI median $857,000 house [https://s3-ap-southeast-2.amazonaws.com/zenu/soi/8fc3f19f-6ab3-47ea-b801-9bbd2d72885f.pdf]; listing $760–820k. Indian grocery: India At Home – Dandenong, Dandenong Plaza, 49 McCrae St, 8–12 min (Google). Hindu temple: Shrinathji Haveli, Hallam, 8–14 min (Google, confirmed operating). Church: St Paul Apostle Catholic, 5 William Hovell Dr, 2 min (Google). Nature: Casuarina Forest / James Alexander Reserve 1.1 km, 3 min; Churchill National Park 8–10 min; Lysterfield Park 12 min. ABS 2021: AQ 4.6%, AU 51.3%. ESTIMATE: reserve walkable from central/northern streets (distance from suburb centre only); no train (recall). NEEDS VERIFICATION: Endeavour Spices (not found on Google Maps; not counted); Shri Sanatan Dharam Society, 126/128 Hallam N Rd (listing has no hours; 4–6 min if open); suitable property under cap. | UPDATE 28 Oct 2026: Endeavour Spices still NEEDS VERIFICATION (no Google Maps listing; web search found no listing, website or directory entry beyond the earlier onlymelbourne record); not counted as community access. Shri Sanatan Dharam Society: opening hours NEEDS VERIFICATION (Google listing shows none; web search found none). ACNC-linked register lists the society at Narre Warren North VIC 3804, so the 126/128 Hallam N Rd site may be in Narre Warren North, not Endeavour Hills; the 4–6 min drive (geocoded with "Endeavour Hills") is therefore an ESTIMATE. Source: https://civicgraph.app/charities/44400281254</t>
        </is>
      </c>
      <c r="AB71" s="22" t="inlineStr">
        <is>
          <t>No</t>
        </is>
      </c>
      <c r="AC71" s="22" t="inlineStr">
        <is>
          <t>No passenger rail in suburb (recall; verify)</t>
        </is>
      </c>
      <c r="AD71" s="22" t="inlineStr">
        <is>
          <t>Dandenong Hospital ED, 7–12 min; public hospital with 24-hour ED (Vic Dept of Health public-hospitals list; healthdirect "Open 24 hours"/"Mixed billing"); drive = top of Google Maps typical range, Depart at Wed 28 Oct 2026 10:00, suburb name not postcode</t>
        </is>
      </c>
      <c r="AE71" s="22" t="n">
        <v>1500000</v>
      </c>
      <c r="AF71" s="22" t="inlineStr">
        <is>
          <t>Maximum purchase price, excluding transaction and moving costs</t>
        </is>
      </c>
      <c r="AG71" s="22" t="inlineStr">
        <is>
          <t>SOI suburb median + under-cap listing</t>
        </is>
      </c>
      <c r="AH71" s="22" t="inlineStr">
        <is>
          <t>28 Oct 2026</t>
        </is>
      </c>
      <c r="AI71" s="22" t="inlineStr">
        <is>
          <t>Pass</t>
        </is>
      </c>
      <c r="AJ71" s="22" t="inlineStr">
        <is>
          <t>Median $857,000 under cap. 6 Isaac Smith Cres SOI range $760k–$820k. Suitable-property check still needs data.</t>
        </is>
      </c>
      <c r="AK71" s="22" t="inlineStr">
        <is>
          <t>SAL20871</t>
        </is>
      </c>
      <c r="AL71" s="32" t="n">
        <v>24455</v>
      </c>
      <c r="AM71" s="22" t="n">
        <v>39</v>
      </c>
      <c r="AN71" s="33" t="n">
        <v>0.17</v>
      </c>
      <c r="AO71" s="33" t="n">
        <v>0.492</v>
      </c>
      <c r="AP71" s="33" t="n">
        <v>0.044</v>
      </c>
      <c r="AQ71" s="33" t="n">
        <v>0.046</v>
      </c>
      <c r="AR71" s="33" t="n">
        <v>0.059</v>
      </c>
      <c r="AS71" s="33" t="n">
        <v>0.038</v>
      </c>
      <c r="AT71" s="33" t="n">
        <v>0.008</v>
      </c>
      <c r="AU71" s="33" t="n">
        <v>0.513</v>
      </c>
      <c r="AV71" s="22" t="inlineStr">
        <is>
          <t>Mandarin 4.3%; Sinhalese 3.6%; Arabic 3.1%</t>
        </is>
      </c>
      <c r="AW7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1" s="22">
        <f>IF(AU71="","",IF(OR(AU71&gt;=0.5,AQ71&gt;=0.08),"High",IF(OR(AU71&gt;=0.3,AQ71&gt;=0.04),"Medium","Low")))</f>
        <v/>
      </c>
    </row>
    <row r="72" ht="15.75" customHeight="1" s="15">
      <c r="A72" s="16" t="inlineStr">
        <is>
          <t>Wheelers Hill</t>
        </is>
      </c>
      <c r="B72" s="16" t="inlineStr">
        <is>
          <t>Dandenong Foothills</t>
        </is>
      </c>
      <c r="C72" s="16" t="inlineStr">
        <is>
          <t>Community comparator</t>
        </is>
      </c>
      <c r="D72" s="16" t="inlineStr">
        <is>
          <t>Not assessed</t>
        </is>
      </c>
      <c r="E72" s="16" t="inlineStr">
        <is>
          <t>Not assessed</t>
        </is>
      </c>
      <c r="F72" s="16" t="inlineStr">
        <is>
          <t>Community comparator — Potential both (community lighter)</t>
        </is>
      </c>
      <c r="G72" s="16" t="n">
        <v>1475000</v>
      </c>
      <c r="H72" s="16" t="inlineStr">
        <is>
          <t>SOI median price, house, 22 Jun 2025–21 Jun 2026 (Property Data), on SOI 9 Sunnybrook Dr</t>
        </is>
      </c>
      <c r="I72" s="16">
        <f>G72*(1+Settings!$B$6)</f>
        <v/>
      </c>
      <c r="J72" s="22" t="n">
        <v>12</v>
      </c>
      <c r="K72" s="22" t="n">
        <v>18</v>
      </c>
      <c r="L72" s="16" t="inlineStr">
        <is>
          <t>Comparator: filters met; suitable-property verification outstanding (not ranked)</t>
        </is>
      </c>
      <c r="M72" s="22">
        <f>IF(J72="","",ROUND(MAX(0,10*(1-J72/Filters!$B$4)),1))</f>
        <v/>
      </c>
      <c r="N72" s="22" t="n"/>
      <c r="O72" s="22">
        <f>IF(K72="","",ROUND(MAX(0,10*(1-K72/Filters!$B$5)),1))</f>
        <v/>
      </c>
      <c r="P72" s="22" t="n"/>
      <c r="Q72" s="22" t="n"/>
      <c r="R72" s="22" t="n"/>
      <c r="S72" s="22" t="n"/>
      <c r="T72" s="22">
        <f>IF(G72="","",ROUND(MAX(0,MIN(10,10*(Filters!$B$2-G72)/(Filters!$B$2-500000))),1))</f>
        <v/>
      </c>
      <c r="U72" s="22" t="n"/>
      <c r="V72" s="22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inlineStr">
        <is>
          <t>COMMUNITY COMPARATOR added 28 Oct 2026 (display-only; not ranked; no judgement scores). Corner: POTENTIAL BOTH, with caveat: community access is lighter (Medium band; nearest Hindu temple 10–20 min). CHECKED (checked 28 Oct 2026 AEDT): GW drive peak (08:00), not used in J: typical 4–12 min (top 12, passes), 2.6 km [https://www.google.com/maps/dir/Wheelers%20Hill%20VIC%203150/Glen%20Waverley%20VIC%203150/data=!4m6!4m5!2m3!6e0!7e2!8j1793174400!3e0]; GW drive 10:00 weekday (Wed 28 Oct 2026) typical 7–12 min, top 12 = J from 28 Oct 2026 (off-peak basis, closest checked figure to the Filters tab's "leave now") [https://www.google.com/maps/dir/Wheelers%20Hill%20VIC%203150/Glen%20Waverley%20VIC%203150/data=!4m6!4m5!2m3!6e0!7e2!8j1793181600!3e0]. ED Dandenong Hospital 12–18 min. Price: SOI median $1,475,000 house (Property Data) [https://s3-ap-southeast-2.amazonaws.com/attach-property-clientvault-com/3868/11973436/S-13799066/1782296638-118760-9-Sunnybrook-WheelersHillSOI220626.pdf]. Indian grocery: The Heritage Spices, G15/580 Ferntree Gully Rd, 6–9 min (Google). Hindu temple: Shree Swaminarayan Temple, 69 Wadhurst Dr, Boronia, 10–20 min (Google, 253 reviews); Sankat Mochan 14–28; Vakrathunda 16–35. Church: St Justin's Catholic, 48 Whalley Dr, 4 min (Google). Nature: Jells Park (~127 ha) 2.6 km, 6 min. ABS 2021: AQ 4.1%, AU 46.0%. HARD FILTER: Pass on median only; suitable-property verification outstanding. ESTIMATE: budget (under-cap listings $1.28–1.38M and $1.32M from search text only); Jells Park walkable only from eastern streets; no train (recall). NEEDS VERIFICATION: open an under-cap SOI; suitable property under cap. | UPDATE 28 Oct 2026: budget evidence changed ESTIMATE -&gt; CHECKED. Jellis Craig Wheelers Hill Suburb Report Sep 2026 (data to 6 Sep 2026) lists houses sold under $1.5M, e.g. 8 Bottlebrush Ct 4-bed house $1,215,000 (27 Aug 2026), 4 Locum Ct 4-bed $1,224,500 (8 Aug 2026), 81 Cootamundra Dr 3-bed $1,130,000 (18 Jul 2026); report median $1.46M [https://helpers.jelliscraig.com.au/suburbreportsdownloads/Wheelers_Hill_Suburb_Reports_Sep_2026.pdf]. Agency sold-results report, not an SOI. Suitable-property verification still outstanding. | 28 Oct 2026: family accepted this report as Checked budget evidence. It shows recent sold houses under the cap; it does NOT verify that a specific suitable downsizing/family home is available. L updated to "filters met; suitable-property verification outstanding".</t>
        </is>
      </c>
      <c r="AB72" s="22" t="inlineStr">
        <is>
          <t>No</t>
        </is>
      </c>
      <c r="AC72" s="22" t="inlineStr">
        <is>
          <t>No passenger rail in suburb (recall; verify)</t>
        </is>
      </c>
      <c r="AD72" s="22" t="inlineStr">
        <is>
          <t>Dandenong Hospital ED, 12–18 min (MMC 14–30); public hospital with 24-hour ED (Vic Dept of Health public-hospitals list; healthdirect "Open 24 hours"/"Mixed billing"); drive = top of Google Maps typical range, Depart at Wed 28 Oct 2026 10:00, suburb name not postcode</t>
        </is>
      </c>
      <c r="AE72" s="22" t="n">
        <v>1500000</v>
      </c>
      <c r="AF72" s="22" t="inlineStr">
        <is>
          <t>Maximum purchase price, excluding transaction and moving costs</t>
        </is>
      </c>
      <c r="AG72" s="22" t="inlineStr">
        <is>
          <t>Recorded house sales under cap (agency sold-results report) + SOI suburb median</t>
        </is>
      </c>
      <c r="AH72" s="22" t="inlineStr">
        <is>
          <t>28 Oct 2026 (report data current to 6 Sep 2026)</t>
        </is>
      </c>
      <c r="AI72" s="22" t="inlineStr">
        <is>
          <t>Checked</t>
        </is>
      </c>
      <c r="AJ72" s="22" t="inlineStr">
        <is>
          <t>Budget evidence CHECKED 28 Oct 2026: Jellis Craig "Wheelers Hill Suburb Report" Sep 2026 (data current to 6 Sep 2026; Victorian sales data) lists houses SOLD under $1.5M, e.g. 8 Bottlebrush Ct, 4-bed house, $1,215,000, 27 Aug 2026; 4 Locum Ct, 4-bed house, $1,224,500, 8 Aug 2026; 21 Haversham Ave, 4-bed house, $1,140,000, 27 Jul 2026; 81 Cootamundra Dr, 3-bed house, $1,130,000, 18 Jul 2026; 25 Calderwood Ave $1,370,000; 1 Lanoma Ct $1,360,000; 1 Sean Cl $1,350,000; 58 The Deviation $1,120,000 (10 of the 16 disclosed house prices Jun–Sep 2026 are under cap). Report median house price $1.46M. Source: https://helpers.jelliscraig.com.au/suburbreportsdownloads/Wheelers_Hill_Suburb_Reports_Sep_2026.pdf. Document type: agency sold-results report, not a listing Statement of Information. Earlier search-text listings (10 Dalkeith Cl, 22 Darlington Ave) still not opened. Suitable-property check (stairs, size) still needs data. Accepted by family 28 Oct 2026 as Checked budget evidence; supports further suitable-property investigation only, not a verified suitable property.</t>
        </is>
      </c>
      <c r="AK72" s="22" t="inlineStr">
        <is>
          <t>SAL22766</t>
        </is>
      </c>
      <c r="AL72" s="32" t="n">
        <v>20652</v>
      </c>
      <c r="AM72" s="22" t="n">
        <v>48</v>
      </c>
      <c r="AN72" s="33" t="n">
        <v>0.294</v>
      </c>
      <c r="AO72" s="33" t="n">
        <v>0.463</v>
      </c>
      <c r="AP72" s="33" t="n">
        <v>0.04</v>
      </c>
      <c r="AQ72" s="33" t="n">
        <v>0.04099999999999999</v>
      </c>
      <c r="AR72" s="33" t="n">
        <v>0.05599999999999999</v>
      </c>
      <c r="AS72" s="33" t="n">
        <v>0.045</v>
      </c>
      <c r="AT72" s="33" t="n">
        <v>0.006999999999999999</v>
      </c>
      <c r="AU72" s="33" t="n">
        <v>0.46</v>
      </c>
      <c r="AV72" s="22" t="inlineStr">
        <is>
          <t>Mandarin 15.4%; Cantonese 4.7%; Greek 4.5%</t>
        </is>
      </c>
      <c r="AW7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2" s="22">
        <f>IF(AU72="","",IF(OR(AU72&gt;=0.5,AQ72&gt;=0.08),"High",IF(OR(AU72&gt;=0.3,AQ72&gt;=0.04),"Medium","Low")))</f>
        <v/>
      </c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s="22" t="inlineStr">
        <is>
          <t>https://www.realestate.com.au/property-house-vic-torquay-152666740</t>
        </is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s="22" t="inlineStr">
        <is>
          <t>https://www.realestate.com.au/property-house-vic-west+footscray-152623144</t>
        </is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s="22" t="inlineStr">
        <is>
          <t>https://www.realestate.com.au/property-house-vic-warburton-150763740</t>
        </is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s="22" t="inlineStr">
        <is>
          <t>https://www.realestate.com.au/property-house-vic-williamstown-152686328</t>
        </is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s="22" t="inlineStr">
        <is>
          <t>https://www.realestate.com.au/property-house-vic-rosanna-152574468</t>
        </is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s="22" t="inlineStr">
        <is>
          <t>https://www.realestate.com.au/property-house-vic-diamond+creek-152290624</t>
        </is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s="22" t="inlineStr">
        <is>
          <t>https://www.realestate.com.au/property-house-vic-mordialloc-152622844</t>
        </is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s="22" t="inlineStr">
        <is>
          <t>https://www.realestate.com.au/property-house-vic-seaford-152011424</t>
        </is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s="22" t="inlineStr">
        <is>
          <t>https://www.realestate.com.au/property-house-vic-seaford-151815440</t>
        </is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s="22" t="inlineStr">
        <is>
          <t>https://www.realestate.com.au/property-house-vic-mount+eliza-151176748</t>
        </is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s="22" t="inlineStr">
        <is>
          <t>https://www.realestate.com.au/property-house-vic-mount+eliza-152450032</t>
        </is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s="22" t="inlineStr">
        <is>
          <t>https://www.realestate.com.au/property-house-vic-mount+eliza-152376824</t>
        </is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s="22" t="inlineStr">
        <is>
          <t>https://www.realestate.com.au/property-house-vic-mount+eliza-151903892</t>
        </is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s="22" t="inlineStr">
        <is>
          <t>https://www.realestate.com.au/property-house-vic-arthurs+seat-146680920</t>
        </is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s="22" t="inlineStr">
        <is>
          <t>https://www.realestate.com.au/property-house-vic-dromana-152005848</t>
        </is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s="22" t="inlineStr">
        <is>
          <t>https://www.realestate.com.au/property-house-vic-curlewis-152352192</t>
        </is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s="22" t="inlineStr">
        <is>
          <t>https://www.realestate.com.au/property-house-vic-mccrae-151835348</t>
        </is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s="22" t="inlineStr">
        <is>
          <t>https://www.realestate.com.au/property-house-vic-chelsea-152626264</t>
        </is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s="22" t="inlineStr">
        <is>
          <t>https://www.realestate.com.au/property-house-vic-torquay-152670688</t>
        </is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s="22" t="inlineStr">
        <is>
          <t>https://www.realestate.com.au/property-house-vic-newport-152302080</t>
        </is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s="22" t="inlineStr">
        <is>
          <t>https://www.realestate.com.au/property-house-vic-frankston+south-152212372</t>
        </is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s="22" t="inlineStr">
        <is>
          <t>https://www.realestate.com.au/property-house-vic-tecoma-152652276</t>
        </is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s="22" t="inlineStr">
        <is>
          <t>https://www.realestate.com.au/property-house-vic-belgrave-152722196</t>
        </is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s="22" t="inlineStr">
        <is>
          <t>https://www.realestate.com.au/property-house-vic-belgrave-152535704</t>
        </is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s="22" t="inlineStr">
        <is>
          <t>https://www.realestate.com.au/property-house-vic-belgrave-152654296</t>
        </is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s="22" t="inlineStr">
        <is>
          <t>https://www.realestate.com.au/property-house-vic-belgrave-152729140</t>
        </is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s="22" t="inlineStr">
        <is>
          <t>https://www.realestate.com.au/property-house-vic-mount+martha-152575492</t>
        </is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s="22" t="inlineStr">
        <is>
          <t>https://www.realestate.com.au/property-house-vic-tecoma-152712080</t>
        </is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s="22" t="inlineStr">
        <is>
          <t>https://www.realestate.com.au/property-house-vic-belgrave-152583472</t>
        </is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s="22" t="inlineStr">
        <is>
          <t>https://www.realestate.com.au/property-house-vic-frankston-151132640</t>
        </is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s="22" t="inlineStr">
        <is>
          <t>https://www.realestate.com.au/property-house-vic-frankston+south-152593596</t>
        </is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s="22" t="inlineStr">
        <is>
          <t>https://www.realestate.com.au/property-house-vic-frankston+south-152448552</t>
        </is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  <row r="31">
      <c r="A31" s="22" t="inlineStr">
        <is>
          <t>Community comparators (display-only; added 28 Oct 2026)</t>
        </is>
      </c>
    </row>
    <row r="32">
      <c r="A32" s="22" t="inlineStr">
        <is>
          <t>Group</t>
        </is>
      </c>
      <c r="B32" s="22" t="inlineStr">
        <is>
          <t>Suburbs</t>
        </is>
      </c>
    </row>
    <row r="33">
      <c r="A33" s="22" t="inlineStr">
        <is>
          <t>Community comparators (approved)</t>
        </is>
      </c>
      <c r="B33" s="34" t="inlineStr">
        <is>
          <t>Springvale, Clayton South, Keysborough, Clyde North (Diverse / lower-green); Endeavour Hills, Wheelers Hill (Potential both; Wheelers Hill community lighter)</t>
        </is>
      </c>
    </row>
    <row r="34">
      <c r="A34" s="22" t="inlineStr">
        <is>
          <t>Nature-first anchors</t>
        </is>
      </c>
      <c r="B34" s="34" t="inlineStr">
        <is>
          <t>Frankston, Mordialloc, Seaford</t>
        </is>
      </c>
    </row>
    <row r="35">
      <c r="A35" s="22" t="inlineStr">
        <is>
          <t>Reference</t>
        </is>
      </c>
      <c r="B35" s="34" t="inlineStr">
        <is>
          <t>Rowville</t>
        </is>
      </c>
    </row>
    <row r="36">
      <c r="A36" s="22" t="inlineStr">
        <is>
          <t>Conditional</t>
        </is>
      </c>
      <c r="B36" s="34" t="inlineStr">
        <is>
          <t>Point Cook: 08:00 Glen Waverley drive up to 1 hr 40 (fails 90-min cap at peak); 45–70 min off-peak. Family decision; not in scorecard.</t>
        </is>
      </c>
    </row>
    <row r="37">
      <c r="A37" s="22" t="inlineStr">
        <is>
          <t>Excluded</t>
        </is>
      </c>
      <c r="B37" s="34" t="inlineStr">
        <is>
          <t>Tarneit: Excluded — family decision 28 Oct 2026 (stated reasons: safety concerns and not enough going for it). Mount Waverley (median over $1.5M cap)</t>
        </is>
      </c>
    </row>
    <row r="38">
      <c r="A38" s="22" t="inlineStr">
        <is>
          <t>Viewing-shortlist rule (proposed)</t>
        </is>
      </c>
      <c r="B38" s="34" t="inlineStr">
        <is>
          <t>The viewing shortlist includes at least 2 Community comparators, at least 1 nature-first anchor, and at least 1 verified Potential both suburb. Community comparators are not included for diversity figures alone; they must meet the purchase-price cap, verified Glen Waverley travel limit, and public 24-hour ED requirement.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2026-10-29T04:09:09Z</dcterms:modified>
  <cp:revision>0</cp:revision>
</cp:coreProperties>
</file>