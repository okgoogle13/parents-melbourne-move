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Here" sheetId="1" state="visible" r:id="rId3"/>
    <sheet name="Settings" sheetId="2" state="visible" r:id="rId4"/>
    <sheet name="RawResponses" sheetId="3" state="visible" r:id="rId5"/>
    <sheet name="CleanedAnswers" sheetId="4" state="visible" r:id="rId6"/>
    <sheet name="Filters" sheetId="5" state="visible" r:id="rId7"/>
    <sheet name="PriorityWeights" sheetId="6" state="visible" r:id="rId8"/>
    <sheet name="ForcedChoiceCorrections" sheetId="7" state="visible" r:id="rId9"/>
    <sheet name="SuburbScorecard" sheetId="8" state="visible" r:id="rId10"/>
    <sheet name="Listings" sheetId="9" state="visible" r:id="rId11"/>
    <sheet name="DiscussionSummary" sheetId="10" state="visible" r:id="rId12"/>
  </sheets>
  <definedNames>
    <definedName function="false" hidden="true" localSheetId="8" name="_xlnm._FilterDatabase" vbProcedure="false">Listings!$A$1:$U$33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27 Oct 2026: columns A–H and Z were Google-only formulas splitting column AA. Converted to plain values so they can be edited in Excel. Blank price (G) = not yet researched (was shown as 0).</t>
        </r>
      </text>
    </comment>
  </commentList>
</comments>
</file>

<file path=xl/sharedStrings.xml><?xml version="1.0" encoding="utf-8"?>
<sst xmlns="http://schemas.openxmlformats.org/spreadsheetml/2006/main" count="1528" uniqueCount="793">
  <si>
    <t xml:space="preserve">Workflow Steps</t>
  </si>
  <si>
    <t xml:space="preserve">1. Complete 'Me' first</t>
  </si>
  <si>
    <t xml:space="preserve">2. Interview Mum &amp; Dad separately</t>
  </si>
  <si>
    <t xml:space="preserve">3. Enforce Max-2-Essential rule</t>
  </si>
  <si>
    <t xml:space="preserve">4. Review DiscussionSummary</t>
  </si>
  <si>
    <t xml:space="preserve">5. Verify suburb data</t>
  </si>
  <si>
    <t xml:space="preserve">Boundaries Table</t>
  </si>
  <si>
    <t xml:space="preserve">Type</t>
  </si>
  <si>
    <t xml:space="preserve">Description</t>
  </si>
  <si>
    <t xml:space="preserve">Manual</t>
  </si>
  <si>
    <t xml:space="preserve">Editable input cells in yellow</t>
  </si>
  <si>
    <t xml:space="preserve">Automatic</t>
  </si>
  <si>
    <t xml:space="preserve">Calculated outputs</t>
  </si>
  <si>
    <t xml:space="preserve">Parameter</t>
  </si>
  <si>
    <t xml:space="preserve">Value</t>
  </si>
  <si>
    <t xml:space="preserve">Notes</t>
  </si>
  <si>
    <t xml:space="preserve">Say in the decision: Mum</t>
  </si>
  <si>
    <t xml:space="preserve">Say in the decision: Dad</t>
  </si>
  <si>
    <t xml:space="preserve">Say in the decision: Me</t>
  </si>
  <si>
    <t xml:space="preserve">Max D (Essential) answers per person</t>
  </si>
  <si>
    <t xml:space="preserve">Purchase costs allowance (% of price)</t>
  </si>
  <si>
    <t xml:space="preserve">(provisional estimate, not SRO calculation)</t>
  </si>
  <si>
    <t xml:space="preserve">Forced-choice override margin</t>
  </si>
  <si>
    <t xml:space="preserve">Priority Rating Scale</t>
  </si>
  <si>
    <t xml:space="preserve">Level</t>
  </si>
  <si>
    <t xml:space="preserve">Score</t>
  </si>
  <si>
    <t xml:space="preserve">A</t>
  </si>
  <si>
    <t xml:space="preserve">Level 1, Not needed</t>
  </si>
  <si>
    <t xml:space="preserve">B</t>
  </si>
  <si>
    <t xml:space="preserve">Level 2, Nice to have</t>
  </si>
  <si>
    <t xml:space="preserve">C</t>
  </si>
  <si>
    <t xml:space="preserve">Level 3, Important</t>
  </si>
  <si>
    <t xml:space="preserve">D</t>
  </si>
  <si>
    <t xml:space="preserve">Level 4, Essential</t>
  </si>
  <si>
    <t xml:space="preserve">Draft Baseline Weights</t>
  </si>
  <si>
    <t xml:space="preserve">Weight</t>
  </si>
  <si>
    <t xml:space="preserve">Q15.1 Nature</t>
  </si>
  <si>
    <t xml:space="preserve">Q15.2 Near family in GW</t>
  </si>
  <si>
    <t xml:space="preserve">Q15.3 Indian community</t>
  </si>
  <si>
    <t xml:space="preserve">Q15.4 Beach</t>
  </si>
  <si>
    <t xml:space="preserve">Q15.5 Hospital</t>
  </si>
  <si>
    <t xml:space="preserve">Q15.6 Train/bus</t>
  </si>
  <si>
    <t xml:space="preserve">Q15.7 Shops/doctor</t>
  </si>
  <si>
    <t xml:space="preserve">Q15.8 Village character</t>
  </si>
  <si>
    <t xml:space="preserve">Q15.9 Price</t>
  </si>
  <si>
    <t xml:space="preserve">Q15.10 Easy city trip</t>
  </si>
  <si>
    <t xml:space="preserve">Timestamp</t>
  </si>
  <si>
    <t xml:space="preserve">[Q0] Whose answers are these?</t>
  </si>
  <si>
    <t xml:space="preserve">[Q1]</t>
  </si>
  <si>
    <t xml:space="preserve">[Q2]</t>
  </si>
  <si>
    <t xml:space="preserve">[Q3] Total budget</t>
  </si>
  <si>
    <t xml:space="preserve">[Q4] Max drive to GW</t>
  </si>
  <si>
    <t xml:space="preserve">[Q4b] Max drive to GW (if D)</t>
  </si>
  <si>
    <t xml:space="preserve">[Q5] Max drive to ED</t>
  </si>
  <si>
    <t xml:space="preserve">[Q6] Stairs</t>
  </si>
  <si>
    <t xml:space="preserve">[Q7] Garden</t>
  </si>
  <si>
    <t xml:space="preserve">[Q7a] Living arrangement</t>
  </si>
  <si>
    <t xml:space="preserve">[Q7b] Home size</t>
  </si>
  <si>
    <t xml:space="preserve">[Q8]</t>
  </si>
  <si>
    <t xml:space="preserve">[Q9]</t>
  </si>
  <si>
    <t xml:space="preserve">[Q10]</t>
  </si>
  <si>
    <t xml:space="preserve">[Q11]</t>
  </si>
  <si>
    <t xml:space="preserve">[Q12]</t>
  </si>
  <si>
    <t xml:space="preserve">[Q13]</t>
  </si>
  <si>
    <t xml:space="preserve">[Q13b]</t>
  </si>
  <si>
    <t xml:space="preserve">[Q13c]</t>
  </si>
  <si>
    <t xml:space="preserve">[Q14]</t>
  </si>
  <si>
    <t xml:space="preserve">[Q15.1] Nature</t>
  </si>
  <si>
    <t xml:space="preserve">[Q15.2] Near family in GW</t>
  </si>
  <si>
    <t xml:space="preserve">[Q15.3] Indian community</t>
  </si>
  <si>
    <t xml:space="preserve">[Q15.4] Beach</t>
  </si>
  <si>
    <t xml:space="preserve">[Q15.5] Hospital</t>
  </si>
  <si>
    <t xml:space="preserve">[Q15.6] Train/bus</t>
  </si>
  <si>
    <t xml:space="preserve">[Q15.7] Shops/doctor</t>
  </si>
  <si>
    <t xml:space="preserve">[Q15.8] Village character</t>
  </si>
  <si>
    <t xml:space="preserve">[Q15.9] Price</t>
  </si>
  <si>
    <t xml:space="preserve">[Q15.10] Easy city trip</t>
  </si>
  <si>
    <t xml:space="preserve">[Q15 Notes]</t>
  </si>
  <si>
    <t xml:space="preserve">[Q16]</t>
  </si>
  <si>
    <t xml:space="preserve">[Q17]</t>
  </si>
  <si>
    <t xml:space="preserve">[Q18]</t>
  </si>
  <si>
    <t xml:space="preserve">[Q19]</t>
  </si>
  <si>
    <t xml:space="preserve">[Q20]</t>
  </si>
  <si>
    <t xml:space="preserve">[Q21]</t>
  </si>
  <si>
    <t xml:space="preserve">Dad</t>
  </si>
  <si>
    <t xml:space="preserve">C - 35m</t>
  </si>
  <si>
    <t xml:space="preserve">C - 30m</t>
  </si>
  <si>
    <t xml:space="preserve">B - Some stairs</t>
  </si>
  <si>
    <t xml:space="preserve">B - Small garden</t>
  </si>
  <si>
    <t xml:space="preserve">Nature</t>
  </si>
  <si>
    <t xml:space="preserve">Village character</t>
  </si>
  <si>
    <t xml:space="preserve">Shops &amp; doctor</t>
  </si>
  <si>
    <t xml:space="preserve">Me</t>
  </si>
  <si>
    <t xml:space="preserve">B - 25m</t>
  </si>
  <si>
    <t xml:space="preserve">B - 20m</t>
  </si>
  <si>
    <t xml:space="preserve">A - None</t>
  </si>
  <si>
    <t xml:space="preserve">C - Courtyard</t>
  </si>
  <si>
    <t xml:space="preserve">Mum</t>
  </si>
  <si>
    <t xml:space="preserve">A - None at all (Single-level only)</t>
  </si>
  <si>
    <t xml:space="preserve">D - Self-contained space</t>
  </si>
  <si>
    <t xml:space="preserve">Near family in GW</t>
  </si>
  <si>
    <t xml:space="preserve">D - 45 min or more</t>
  </si>
  <si>
    <t xml:space="preserve">D - no limit</t>
  </si>
  <si>
    <t xml:space="preserve">C - Doesn't matter</t>
  </si>
  <si>
    <t xml:space="preserve">E - Depends on Garden</t>
  </si>
  <si>
    <t xml:space="preserve">Person</t>
  </si>
  <si>
    <t xml:space="preserve">Latest Row</t>
  </si>
  <si>
    <t xml:space="preserve">Q15 Essential Count</t>
  </si>
  <si>
    <t xml:space="preserve">Question ID</t>
  </si>
  <si>
    <t xml:space="preserve">Mum Answer</t>
  </si>
  <si>
    <t xml:space="preserve">Dad Answer</t>
  </si>
  <si>
    <t xml:space="preserve">Me Answer</t>
  </si>
  <si>
    <t xml:space="preserve">Mum Code</t>
  </si>
  <si>
    <t xml:space="preserve">Dad Code</t>
  </si>
  <si>
    <t xml:space="preserve">Me Code</t>
  </si>
  <si>
    <t xml:space="preserve">Filter</t>
  </si>
  <si>
    <t xml:space="preserve">Strictest Constraint</t>
  </si>
  <si>
    <t xml:space="preserve">Survey-derived value (reference only)</t>
  </si>
  <si>
    <t xml:space="preserve">Q3 Total budget</t>
  </si>
  <si>
    <t xml:space="preserve">Confirmed family decision 27 Oct 2026: budget cap set to $1,500,000 maximum purchase price (excluding transaction &amp; moving costs). Replaces survey strictest of $1,250,000.</t>
  </si>
  <si>
    <t xml:space="preserve">Total acquisition ceiling (Price + 6% costs)</t>
  </si>
  <si>
    <t xml:space="preserve">Total outlay cap ($1,590,000) including 6% stamp duty/conveyancing/moving allowance on $1,500,000 purchase price.</t>
  </si>
  <si>
    <t xml:space="preserve">Q4/Q4b Max drive to GW</t>
  </si>
  <si>
    <t xml:space="preserve">Family decision 26 Oct 2026: hard max 90 min (60 min preferred); a train option is now preferred, not required (see row 9, changed by NJD, family to confirm). Replaces survey strictest of 25 min (Mum/Me); Dad said up to 75.</t>
  </si>
  <si>
    <t xml:space="preserve">Q5 Max drive to ED</t>
  </si>
  <si>
    <t xml:space="preserve">Family decision 26 Oct 2026: hard cap 90 min, and ED time is also scored (SuburbScorecard column O). Replaces survey strictest of 20 min (Mum/Me); Dad said no limit.</t>
  </si>
  <si>
    <t xml:space="preserve">Q6 Stairs</t>
  </si>
  <si>
    <t xml:space="preserve">Stairs allowed (single-level not required)</t>
  </si>
  <si>
    <t xml:space="preserve">CORRECTED 27 Oct 2026 by NJD: stairs are allowed, so this is no longer a hard filter. Previous value was the survey strictest answer (formula kept in D6).</t>
  </si>
  <si>
    <t xml:space="preserve">Q7a/Q7b Living arrangement</t>
  </si>
  <si>
    <t xml:space="preserve">Needs discussion (Living arrangement undecided): D — Self-contained space</t>
  </si>
  <si>
    <t xml:space="preserve">Q7 Garden</t>
  </si>
  <si>
    <t xml:space="preserve">Needs discussion (Depends — see notes)</t>
  </si>
  <si>
    <t xml:space="preserve">Train option</t>
  </si>
  <si>
    <t xml:space="preserve">Preferred, not required (scored via SuburbScorecard column S)</t>
  </si>
  <si>
    <t xml:space="preserve"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</si>
  <si>
    <t xml:space="preserve">Drive-time basis</t>
  </si>
  <si>
    <t xml:space="preserve">Google Maps drive time, 'leave now' typical traffic, looked up 26 Oct 2026</t>
  </si>
  <si>
    <t xml:space="preserve">Not tested at peak hour. J = to Glen Waverley (suburb centre). K = to the nearest 24-hr public ED listed in SuburbScorecard column AD. Train Yes/No is from recall and sheet notes, not checked against timetables.</t>
  </si>
  <si>
    <t xml:space="preserve">Question</t>
  </si>
  <si>
    <t xml:space="preserve">Mum Score</t>
  </si>
  <si>
    <t xml:space="preserve">Dad Score</t>
  </si>
  <si>
    <t xml:space="preserve">Me Score</t>
  </si>
  <si>
    <t xml:space="preserve">Mum Norm</t>
  </si>
  <si>
    <t xml:space="preserve">Dad Norm</t>
  </si>
  <si>
    <t xml:space="preserve">Me Norm</t>
  </si>
  <si>
    <t xml:space="preserve">Combined Weight</t>
  </si>
  <si>
    <t xml:space="preserve">Indian community</t>
  </si>
  <si>
    <t xml:space="preserve">Beach</t>
  </si>
  <si>
    <t xml:space="preserve">Hospital</t>
  </si>
  <si>
    <t xml:space="preserve">Train/bus</t>
  </si>
  <si>
    <t xml:space="preserve">Shops/doctor</t>
  </si>
  <si>
    <t xml:space="preserve">Price</t>
  </si>
  <si>
    <t xml:space="preserve">Easy city trip</t>
  </si>
  <si>
    <t xml:space="preserve">Matchup</t>
  </si>
  <si>
    <t xml:space="preserve">Result</t>
  </si>
  <si>
    <t xml:space="preserve">Q10</t>
  </si>
  <si>
    <t xml:space="preserve">+7.2% from Nature to Near family in GW</t>
  </si>
  <si>
    <t xml:space="preserve">Q12</t>
  </si>
  <si>
    <t xml:space="preserve">+2.6% from Village character to Shops &amp; doctor</t>
  </si>
  <si>
    <t xml:space="preserve">Final Normalized Weights</t>
  </si>
  <si>
    <t xml:space="preserve">City trip</t>
  </si>
  <si>
    <t xml:space="preserve">Location</t>
  </si>
  <si>
    <t xml:space="preserve">Region</t>
  </si>
  <si>
    <t xml:space="preserve">Shortlist Status</t>
  </si>
  <si>
    <t xml:space="preserve">Parents Inland/Bush Fit (P)</t>
  </si>
  <si>
    <t xml:space="preserve">My Coastal-Nature Fit (Y)</t>
  </si>
  <si>
    <t xml:space="preserve">Primary Investigation Lens</t>
  </si>
  <si>
    <t xml:space="preserve">Published House Price</t>
  </si>
  <si>
    <t xml:space="preserve">Price Basis</t>
  </si>
  <si>
    <t xml:space="preserve">Price + Est. 6% Costs</t>
  </si>
  <si>
    <t xml:space="preserve">Drive to GW (min)</t>
  </si>
  <si>
    <t xml:space="preserve">Drive to 24-Hr Public ED (min)</t>
  </si>
  <si>
    <t xml:space="preserve">Hard Filter Status</t>
  </si>
  <si>
    <t xml:space="preserve">Score: Near family in GW</t>
  </si>
  <si>
    <t xml:space="preserve">Score: Nature</t>
  </si>
  <si>
    <t xml:space="preserve">Score: Hospital</t>
  </si>
  <si>
    <t xml:space="preserve">Score: Indian community</t>
  </si>
  <si>
    <t xml:space="preserve">Score: Shops &amp; doctor</t>
  </si>
  <si>
    <t xml:space="preserve">Score: Village character</t>
  </si>
  <si>
    <t xml:space="preserve">Score: Train/bus</t>
  </si>
  <si>
    <t xml:space="preserve">Score: Price</t>
  </si>
  <si>
    <t xml:space="preserve">Score: Beach</t>
  </si>
  <si>
    <t xml:space="preserve">Score: City trip</t>
  </si>
  <si>
    <t xml:space="preserve">Scores Entered</t>
  </si>
  <si>
    <t xml:space="preserve">Weighted Score (0-10)</t>
  </si>
  <si>
    <t xml:space="preserve">Rank (Passing Only)</t>
  </si>
  <si>
    <t xml:space="preserve">Healthcare &amp; ABS Verification Notes</t>
  </si>
  <si>
    <t xml:space="preserve">Legacy import text (frozen 27 Oct 2026; not used by any formula — edit columns A–H and Z instead)</t>
  </si>
  <si>
    <t xml:space="preserve">Train Option (Yes/No)</t>
  </si>
  <si>
    <t xml:space="preserve">Train Station / Basis</t>
  </si>
  <si>
    <t xml:space="preserve">ED Used for Drive Time (K)</t>
  </si>
  <si>
    <t xml:space="preserve">Budget cap — purchase price</t>
  </si>
  <si>
    <t xml:space="preserve">Budget basis</t>
  </si>
  <si>
    <t xml:space="preserve">Price evidence type</t>
  </si>
  <si>
    <t xml:space="preserve">Price evidence date</t>
  </si>
  <si>
    <t xml:space="preserve">Budget result</t>
  </si>
  <si>
    <t xml:space="preserve">Budget note</t>
  </si>
  <si>
    <t xml:space="preserve">Blackburn</t>
  </si>
  <si>
    <t xml:space="preserve">East Melbourne</t>
  </si>
  <si>
    <t xml:space="preserve">Active Shortlist</t>
  </si>
  <si>
    <t xml:space="preserve">Medium (Leafy streets)</t>
  </si>
  <si>
    <t xml:space="preserve">Low (Inland)</t>
  </si>
  <si>
    <t xml:space="preserve">Leafy daily living vs housing cost</t>
  </si>
  <si>
    <t xml:space="preserve">Sale median, rolling 12m (OnTheHouse); unit $820k</t>
  </si>
  <si>
    <t xml:space="preserve">Active — needs data</t>
  </si>
  <si>
    <t xml:space="preserve">ABS 2021: 32.4% overseas-born, 31.6% non-Eng HH. Station/ED journeys unverified.</t>
  </si>
  <si>
    <t xml:space="preserve"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</si>
  <si>
    <t xml:space="preserve">Yes</t>
  </si>
  <si>
    <t xml:space="preserve">Blackburn station, Lilydale line (recall; verify)</t>
  </si>
  <si>
    <t xml:space="preserve">Box Hill Hospital ED</t>
  </si>
  <si>
    <t xml:space="preserve">Maximum purchase price, excluding transaction and moving costs</t>
  </si>
  <si>
    <t xml:space="preserve">Suburb median</t>
  </si>
  <si>
    <t xml:space="preserve">26 Oct 2026</t>
  </si>
  <si>
    <t xml:space="preserve">Needs data</t>
  </si>
  <si>
    <t xml:space="preserve">House median $1.60M (OnTheHouse) exceeds $1.5M cap, but unit/villa median is $820k. Awaiting documented search for suitable single-level homes/units under $1.5M.</t>
  </si>
  <si>
    <t xml:space="preserve">Ringwood</t>
  </si>
  <si>
    <t xml:space="preserve">Medium-High (Foothills gateway)</t>
  </si>
  <si>
    <t xml:space="preserve">Rail, services &amp; access to greener surroundings</t>
  </si>
  <si>
    <t xml:space="preserve">Sale median, rolling 12m (OnTheHouse); unit $650k</t>
  </si>
  <si>
    <t xml:space="preserve">Active — provisional pass</t>
  </si>
  <si>
    <t xml:space="preserve">ABS 2021: 35.7% overseas-born, 33.3% non-Eng HH. Belgrave/Lilydale rail; Maroondah Hospital ED nearby (verify drive).</t>
  </si>
  <si>
    <t xml:space="preserve"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</si>
  <si>
    <t xml:space="preserve">Ringwood station, Lilydale/Belgrave lines (recall; verify)</t>
  </si>
  <si>
    <t xml:space="preserve">Maroondah Hospital ED</t>
  </si>
  <si>
    <t xml:space="preserve">Pass</t>
  </si>
  <si>
    <t xml:space="preserve">Published house price ($1,045,000) is under $1.5M cap.</t>
  </si>
  <si>
    <t xml:space="preserve">Heidelberg</t>
  </si>
  <si>
    <t xml:space="preserve">North-East Melbourne</t>
  </si>
  <si>
    <t xml:space="preserve">Medium (Yarra parkland)</t>
  </si>
  <si>
    <t xml:space="preserve">Healthcare-led established suburb option</t>
  </si>
  <si>
    <t xml:space="preserve">Sale median, rolling 12m (35 sales); unit $700k</t>
  </si>
  <si>
    <t xml:space="preserve">ABS 2021: 28.1% overseas-born, 28.4% non-Eng HH. Austin Hospital precinct; verify residential pocket &amp; gradients.</t>
  </si>
  <si>
    <t xml:space="preserve"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</si>
  <si>
    <t xml:space="preserve">Heidelberg station, Hurstbridge line (recall; verify)</t>
  </si>
  <si>
    <t xml:space="preserve">Austin Hospital ED</t>
  </si>
  <si>
    <t xml:space="preserve">House median $1.452M (35 sales) is under $1.5M cap. Passes GW drive (25m) and ED drive (4m).</t>
  </si>
  <si>
    <t xml:space="preserve">Eltham</t>
  </si>
  <si>
    <t xml:space="preserve">High (Bushland/trees)</t>
  </si>
  <si>
    <t xml:space="preserve">Green/scenic lifestyle hypothesis</t>
  </si>
  <si>
    <t xml:space="preserve">Sale median, rolling 12m (195 sales); unit $805k</t>
  </si>
  <si>
    <t xml:space="preserve">ABS 2021: 18.5% overseas-born, 14.0% non-Eng HH. Hurstbridge line; verify ED &amp; GW drive times.</t>
  </si>
  <si>
    <t xml:space="preserve"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</si>
  <si>
    <t xml:space="preserve">Eltham station, Hurstbridge line (recall; verify)</t>
  </si>
  <si>
    <t xml:space="preserve">House median $1.273M (195 sales) is under $1.5M cap. Passes GW drive (26m) and ED drive (16m).</t>
  </si>
  <si>
    <t xml:space="preserve">Upper Ferntree Gully</t>
  </si>
  <si>
    <t xml:space="preserve">East / Foothills</t>
  </si>
  <si>
    <t xml:space="preserve">High (Foothills/forest)</t>
  </si>
  <si>
    <t xml:space="preserve">Forest/foothills lifestyle with hospital &amp; rail access</t>
  </si>
  <si>
    <t xml:space="preserve">AVM estimate (30 Sep 2026), NOT a verified sale median</t>
  </si>
  <si>
    <t xml:space="preserve">ABS 2021: 19.2% overseas-born, 12.2% non-Eng HH. Belgrave line; 10-min walk/bus 732 to Angliss Hospital (verify 24-hr ED status &amp; drive).</t>
  </si>
  <si>
    <t xml:space="preserve"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</si>
  <si>
    <t xml:space="preserve">Upper Ferntree Gully station, Belgrave line (per sheet note)</t>
  </si>
  <si>
    <t xml:space="preserve">Angliss Hospital ED (24-hr status still to verify)</t>
  </si>
  <si>
    <t xml:space="preserve">Published house price ($872,133) is under $1.5M cap.</t>
  </si>
  <si>
    <t xml:space="preserve">Glen Waverley</t>
  </si>
  <si>
    <t xml:space="preserve">Low-Medium (Suburban)</t>
  </si>
  <si>
    <t xml:space="preserve">Current stay baseline — multicultural convenience</t>
  </si>
  <si>
    <t xml:space="preserve">Sale median, rolling 12m (454 sales); unit $930k</t>
  </si>
  <si>
    <t xml:space="preserve">ABS 2021: 58.7% overseas-born, 63.0% non-Eng HH. Baseline benchmark for family proximity.</t>
  </si>
  <si>
    <t xml:space="preserve"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</si>
  <si>
    <t xml:space="preserve">Glen Waverley station, Glen Waverley line (recall; verify)</t>
  </si>
  <si>
    <t xml:space="preserve">Monash Medical Centre Clayton ED</t>
  </si>
  <si>
    <t xml:space="preserve">House median $1.76M (454 sales) exceeds $1.5M cap; unit median $930k. Awaiting documented search for suitable single-level homes/units under $1.5M.</t>
  </si>
  <si>
    <t xml:space="preserve">Warrandyte</t>
  </si>
  <si>
    <t xml:space="preserve">North-East / Yarra</t>
  </si>
  <si>
    <t xml:space="preserve">High (River &amp; state park)</t>
  </si>
  <si>
    <t xml:space="preserve">Low (River, non-coastal)</t>
  </si>
  <si>
    <t xml:space="preserve">River-and-bush living within metro boundary</t>
  </si>
  <si>
    <t xml:space="preserve">Not verified in report</t>
  </si>
  <si>
    <t xml:space="preserve">ABS 2021: 17.7% aged 65+, 17.0% non-Eng HH. Direct city bus 906; no local rail; check fire overlay &amp; ED drive.</t>
  </si>
  <si>
    <t xml:space="preserve"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</si>
  <si>
    <t xml:space="preserve">No</t>
  </si>
  <si>
    <t xml:space="preserve">No rail; bus 906 (per sheet note)</t>
  </si>
  <si>
    <t xml:space="preserve">[Awaiting search]</t>
  </si>
  <si>
    <t xml:space="preserve">No verified pricing entered.</t>
  </si>
  <si>
    <t xml:space="preserve">Diamond Creek</t>
  </si>
  <si>
    <t xml:space="preserve">North-East Fringe</t>
  </si>
  <si>
    <t xml:space="preserve">High (Green wedge &amp; trail)</t>
  </si>
  <si>
    <t xml:space="preserve">Practical metro nature compromise with rail</t>
  </si>
  <si>
    <t xml:space="preserve">3-bed house median $885k; 4-bed $1,240k (Domain)</t>
  </si>
  <si>
    <t xml:space="preserve">ABS 2021: 13.1% aged 65+, 12.2% non-Eng HH. Hurstbridge line station &amp; trail; verify ED &amp; GW drive.</t>
  </si>
  <si>
    <t xml:space="preserve"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</si>
  <si>
    <t xml:space="preserve">Diamond Creek station, Hurstbridge line (per sheet note)</t>
  </si>
  <si>
    <t xml:space="preserve">Published house price ($885,000) is under $1.5M cap.</t>
  </si>
  <si>
    <t xml:space="preserve">Mentone</t>
  </si>
  <si>
    <t xml:space="preserve">Bayside Melbourne</t>
  </si>
  <si>
    <t xml:space="preserve">Low-Medium (Suburban gardens)</t>
  </si>
  <si>
    <t xml:space="preserve">High (Bay beach)</t>
  </si>
  <si>
    <t xml:space="preserve">Coastal daily living on metro rail line</t>
  </si>
  <si>
    <t xml:space="preserve">Sale median (Aussie/CoreLogic); Woodards shows $1.30m</t>
  </si>
  <si>
    <t xml:space="preserve">ABS 2021: 28.8% overseas-born, 22.4% non-Eng HH. Reconcile price sources &amp; verify ED drive.</t>
  </si>
  <si>
    <t xml:space="preserve"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</si>
  <si>
    <t xml:space="preserve">Mentone station, Frankston line (recall; verify)</t>
  </si>
  <si>
    <t xml:space="preserve">House median $1.497M (CoreLogic) / $1.30M (Woodards) is under $1.5M cap. Passes GW drive (25m) and ED drive (16m).</t>
  </si>
  <si>
    <t xml:space="preserve">Frankston</t>
  </si>
  <si>
    <t xml:space="preserve">South / Coastal</t>
  </si>
  <si>
    <t xml:space="preserve">Medium (Sweetwater/gullies)</t>
  </si>
  <si>
    <t xml:space="preserve">Coastal practicality &amp; accessible property price</t>
  </si>
  <si>
    <t xml:space="preserve">Sale median, rolling 12m (Aussie/Cotality); unit $573k</t>
  </si>
  <si>
    <t xml:space="preserve">ABS 2021: 22.5% overseas-born, 15.2% non-Eng HH. Peninsula Univ Hospital ED; ~66m train to CBD.</t>
  </si>
  <si>
    <t xml:space="preserve"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</si>
  <si>
    <t xml:space="preserve">Frankston station, Frankston line (recall; verify)</t>
  </si>
  <si>
    <t xml:space="preserve">Peninsula University Hospital ED</t>
  </si>
  <si>
    <t xml:space="preserve">Published house price ($834,296) is under $1.5M cap.</t>
  </si>
  <si>
    <t xml:space="preserve">Altona</t>
  </si>
  <si>
    <t xml:space="preserve">West Coastal</t>
  </si>
  <si>
    <t xml:space="preserve">Low-Medium (Flat coastal)</t>
  </si>
  <si>
    <t xml:space="preserve">High (Bay beach/wetlands)</t>
  </si>
  <si>
    <t xml:space="preserve">Coastal village alternative at lower price point</t>
  </si>
  <si>
    <t xml:space="preserve">AVM estimate (31 Aug 2026), NOT a verified sale median</t>
  </si>
  <si>
    <t xml:space="preserve">ABS 2021: 28.3% overseas-born, 23.8% non-Eng HH. Cross-city drive to Glen Waverley needs testing.</t>
  </si>
  <si>
    <t xml:space="preserve"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</si>
  <si>
    <t xml:space="preserve">Altona station, Werribee line (recall; verify)</t>
  </si>
  <si>
    <t xml:space="preserve">Footscray Hospital ED</t>
  </si>
  <si>
    <t xml:space="preserve">Published house price ($1,155,073) is under $1.5M cap.</t>
  </si>
  <si>
    <t xml:space="preserve">Williamstown</t>
  </si>
  <si>
    <t xml:space="preserve">Medium (Botanic gardens)</t>
  </si>
  <si>
    <t xml:space="preserve">High (Historic harbor/beach)</t>
  </si>
  <si>
    <t xml:space="preserve">Picturesque coastal character vs cost</t>
  </si>
  <si>
    <t xml:space="preserve">ABS 2021: 22.6% overseas-born, 20.0% non-Eng HH. Cross-city travel to Glen Waverley &amp; ED capacity need checking.</t>
  </si>
  <si>
    <t xml:space="preserve"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</si>
  <si>
    <t xml:space="preserve">Williamstown station, Williamstown line (recall; verify)</t>
  </si>
  <si>
    <t xml:space="preserve">AVM estimate</t>
  </si>
  <si>
    <t xml:space="preserve">Figure is an automated valuation model ($1.64M), not a verified sale median or specific property. Awaiting documented listing search under $1.5M.</t>
  </si>
  <si>
    <t xml:space="preserve">Healesville</t>
  </si>
  <si>
    <t xml:space="preserve">Yarra Valley</t>
  </si>
  <si>
    <t xml:space="preserve">High (Valley &amp; mountains)</t>
  </si>
  <si>
    <t xml:space="preserve">Larger Yarra Valley town comparator</t>
  </si>
  <si>
    <t xml:space="preserve">2021 pop 7,589. CAUTION: Eastern Health directs urgent ED patients to Maroondah Hospital ED (not local).</t>
  </si>
  <si>
    <t xml:space="preserve"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</si>
  <si>
    <t xml:space="preserve">No rail (recall; verify)</t>
  </si>
  <si>
    <t xml:space="preserve">Maroondah Hospital ED (sheet note: urgent ED cases go here)</t>
  </si>
  <si>
    <t xml:space="preserve">Kyneton</t>
  </si>
  <si>
    <t xml:space="preserve">Macedon Ranges</t>
  </si>
  <si>
    <t xml:space="preserve">High (Country town &amp; gardens)</t>
  </si>
  <si>
    <t xml:space="preserve">Low (Inland river)</t>
  </si>
  <si>
    <t xml:space="preserve">Country-town practicality with V/Line rail</t>
  </si>
  <si>
    <t xml:space="preserve">3-bed house median $810k; 4-bed $980k (Domain)</t>
  </si>
  <si>
    <t xml:space="preserve">ABS 2021: 25.0% aged 65+, 6.9% non-Eng HH. CAUTION: Local facility is 24-hr Urgent Care Centre, NOT a major public ED.</t>
  </si>
  <si>
    <t xml:space="preserve"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</si>
  <si>
    <t xml:space="preserve">Kyneton station, V/Line Bendigo (per sheet note)</t>
  </si>
  <si>
    <t xml:space="preserve">Bendigo Hospital ED (local 24-hr urgent care is not an ED)</t>
  </si>
  <si>
    <t xml:space="preserve">Published house price ($810,000) is under $1.5M cap.</t>
  </si>
  <si>
    <t xml:space="preserve">Woodend</t>
  </si>
  <si>
    <t xml:space="preserve">High (Macedon Ranges forest)</t>
  </si>
  <si>
    <t xml:space="preserve">Walkable station country town in Macedon Ranges</t>
  </si>
  <si>
    <t xml:space="preserve">3-bed house median $890k; 4-bed $1,150k (Domain)</t>
  </si>
  <si>
    <t xml:space="preserve">V/Line Bendigo line. Check winter comfort, major public ED drive time &amp; family trip frequency.</t>
  </si>
  <si>
    <t xml:space="preserve"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</si>
  <si>
    <t xml:space="preserve">Woodend station, V/Line Bendigo (per sheet note)</t>
  </si>
  <si>
    <t xml:space="preserve">Bendigo Hospital ED (nearest ED not confirmed; Northern Hospital Epping not tested)</t>
  </si>
  <si>
    <t xml:space="preserve">Published house price ($890,000) is under $1.5M cap.</t>
  </si>
  <si>
    <t xml:space="preserve">Macedon</t>
  </si>
  <si>
    <t xml:space="preserve">High (Forest &amp; Honour Ave)</t>
  </si>
  <si>
    <t xml:space="preserve">Landscape-led Macedon Ranges option</t>
  </si>
  <si>
    <t xml:space="preserve">Distinguish Macedon from Mount Macedon; check bushfire overlay, gradients &amp; major ED journey.</t>
  </si>
  <si>
    <t xml:space="preserve"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</si>
  <si>
    <t xml:space="preserve">Macedon station, V/Line Bendigo (recall; verify)</t>
  </si>
  <si>
    <t xml:space="preserve">Torquay</t>
  </si>
  <si>
    <t xml:space="preserve">Surf Coast</t>
  </si>
  <si>
    <t xml:space="preserve">Medium (Coastal heath)</t>
  </si>
  <si>
    <t xml:space="preserve">High (Surf Coast walk/beach)</t>
  </si>
  <si>
    <t xml:space="preserve">Everyday surf-coast walking lifestyle</t>
  </si>
  <si>
    <t xml:space="preserve">House sale median $1,180,000; unit $891,250 (REA)</t>
  </si>
  <si>
    <t xml:space="preserve">ABS 2021: 16.4% aged 65+, 7.4% non-Eng HH. Bus 54 to Marshall Station; relies on Univ Hospital Geelong for major public ED.</t>
  </si>
  <si>
    <t xml:space="preserve"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</si>
  <si>
    <t xml:space="preserve">No rail; bus 54 to Marshall Station (per sheet note)</t>
  </si>
  <si>
    <t xml:space="preserve">University Hospital Geelong ED</t>
  </si>
  <si>
    <t xml:space="preserve">House median $1.180M is under $1.5M cap. Passes GW drive (88m &lt;= 90m cap) and ED drive (23m).</t>
  </si>
  <si>
    <t xml:space="preserve">Ocean Grove</t>
  </si>
  <si>
    <t xml:space="preserve">Bellarine Peninsula</t>
  </si>
  <si>
    <t xml:space="preserve">Medium-High (Nature reserve)</t>
  </si>
  <si>
    <t xml:space="preserve">High (Beach + woodland)</t>
  </si>
  <si>
    <t xml:space="preserve">Coast-plus-bushland alternative to Torquay</t>
  </si>
  <si>
    <t xml:space="preserve">House sale median $980,000 (325 sales); unit $770k</t>
  </si>
  <si>
    <t xml:space="preserve">Fails: GW drive</t>
  </si>
  <si>
    <t xml:space="preserve">ABS 2021: 22.2% aged 65+, 5.1% non-Eng HH. 143-ha Nature Reserve; bus 55/56 to Geelong; relies on Univ Hospital Geelong ED.</t>
  </si>
  <si>
    <t xml:space="preserve"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</si>
  <si>
    <t xml:space="preserve">No rail; bus 55/56 to Geelong (per sheet note)</t>
  </si>
  <si>
    <t xml:space="preserve">Published house price ($980,000) is under $1.5M cap.</t>
  </si>
  <si>
    <t xml:space="preserve">Newtown (Geelong)</t>
  </si>
  <si>
    <t xml:space="preserve">Geelong</t>
  </si>
  <si>
    <t xml:space="preserve">Medium-High (Barwon River)</t>
  </si>
  <si>
    <t xml:space="preserve">Medium (Near bay/coast)</t>
  </si>
  <si>
    <t xml:space="preserve">Regional-city services + river sanctuary</t>
  </si>
  <si>
    <t xml:space="preserve">ABS 2021: 17.6% aged 65+, 10.9% non-Eng HH. Balyang Sanctuary on Barwon River; major public ED at Univ Hospital Geelong.</t>
  </si>
  <si>
    <t xml:space="preserve"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</si>
  <si>
    <t xml:space="preserve">No station in suburb; Geelong stations nearby (recall; verify)</t>
  </si>
  <si>
    <t xml:space="preserve">University Hospital Geelong ED. Origin approximated (Balyang area); GW time from Geelong centre</t>
  </si>
  <si>
    <t xml:space="preserve">Highton (Geelong)</t>
  </si>
  <si>
    <t xml:space="preserve">Medium-High (Hills/river)</t>
  </si>
  <si>
    <t xml:space="preserve">Medium (Near coast)</t>
  </si>
  <si>
    <t xml:space="preserve">Village-centre regional-city comparator</t>
  </si>
  <si>
    <t xml:space="preserve">Highton Village UDF; compare pocket gradients, station access &amp; Univ Hospital Geelong ED journey.</t>
  </si>
  <si>
    <t xml:space="preserve"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</si>
  <si>
    <t xml:space="preserve">No station; bus to Geelong (recall; verify)</t>
  </si>
  <si>
    <t xml:space="preserve">Belgrave</t>
  </si>
  <si>
    <t xml:space="preserve">Dandenong Ranges</t>
  </si>
  <si>
    <t xml:space="preserve">High (Forest &amp; hills)</t>
  </si>
  <si>
    <t xml:space="preserve">Stronger hills lifestyle on metro rail line</t>
  </si>
  <si>
    <t xml:space="preserve">Belgrave metro rail terminus; check steep gradients, bushfire/storm closures &amp; Angliss/Maroondah ED drive.</t>
  </si>
  <si>
    <t xml:space="preserve"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</si>
  <si>
    <t xml:space="preserve">Belgrave station, Belgrave line terminus (per sheet note)</t>
  </si>
  <si>
    <t xml:space="preserve">Upwey</t>
  </si>
  <si>
    <t xml:space="preserve">High (Foothills village)</t>
  </si>
  <si>
    <t xml:space="preserve">Village character vs healthcare/transport practicality</t>
  </si>
  <si>
    <t xml:space="preserve">House sale median $929,500 (104 sales, Property.com.au)</t>
  </si>
  <si>
    <t xml:space="preserve">Belgrave rail line township; closer to foothills edge than Belgrave.</t>
  </si>
  <si>
    <t xml:space="preserve"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</si>
  <si>
    <t xml:space="preserve">Upwey station, Belgrave line (per sheet note)</t>
  </si>
  <si>
    <t xml:space="preserve">Published house price ($929,500) is under $1.5M cap.</t>
  </si>
  <si>
    <t xml:space="preserve">Tecoma</t>
  </si>
  <si>
    <t xml:space="preserve">Established rail township between Upwey &amp; Belgrave</t>
  </si>
  <si>
    <t xml:space="preserve">Belgrave rail line; council groups Belgrave-Tecoma-Upwey as established townships.</t>
  </si>
  <si>
    <t xml:space="preserve"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</si>
  <si>
    <t xml:space="preserve">Tecoma station, Belgrave line (per sheet note)</t>
  </si>
  <si>
    <t xml:space="preserve">The Basin</t>
  </si>
  <si>
    <t xml:space="preserve">Dandenong Foothills</t>
  </si>
  <si>
    <t xml:space="preserve">High (National park edge)</t>
  </si>
  <si>
    <t xml:space="preserve">Forest-edge living without a ridge village</t>
  </si>
  <si>
    <t xml:space="preserve">Adjoins Dandenong Ranges National Park; verify bus/station link &amp; Angliss Hospital ED drive.</t>
  </si>
  <si>
    <t xml:space="preserve"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</si>
  <si>
    <t xml:space="preserve">No station; bus link unverified (per sheet note)</t>
  </si>
  <si>
    <t xml:space="preserve">Montrose</t>
  </si>
  <si>
    <t xml:space="preserve">High (Mountain backdrop)</t>
  </si>
  <si>
    <t xml:space="preserve">Foothills township between suburbs &amp; ridge</t>
  </si>
  <si>
    <t xml:space="preserve">Township shopping &amp; community hub; verify non-rail transport, fire exposure &amp; ED journey.</t>
  </si>
  <si>
    <t xml:space="preserve"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</si>
  <si>
    <t xml:space="preserve">No station; Mooroolbark/Lilydale stations nearby (recall; verify)</t>
  </si>
  <si>
    <t xml:space="preserve">Mount Evelyn</t>
  </si>
  <si>
    <t xml:space="preserve">Yarra Ranges</t>
  </si>
  <si>
    <t xml:space="preserve">High (Aqueduct &amp; rail trails)</t>
  </si>
  <si>
    <t xml:space="preserve">Forest village closer than Warburton</t>
  </si>
  <si>
    <t xml:space="preserve">Warburton Rail Trail &amp; Aqueduct Trail (no passenger rail); verify Maroondah ED journey.</t>
  </si>
  <si>
    <t xml:space="preserve"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</si>
  <si>
    <t xml:space="preserve">No passenger rail (per sheet note)</t>
  </si>
  <si>
    <t xml:space="preserve">Croydon</t>
  </si>
  <si>
    <t xml:space="preserve">Outer East Melbourne</t>
  </si>
  <si>
    <t xml:space="preserve">Medium (Leafy parks)</t>
  </si>
  <si>
    <t xml:space="preserve">Practical outer-east control with rail &amp; services</t>
  </si>
  <si>
    <t xml:space="preserve">Main St activity centre, train/bus interchange &amp; Croydon Park; benchmark near Maroondah ED.</t>
  </si>
  <si>
    <t xml:space="preserve"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</si>
  <si>
    <t xml:space="preserve">Croydon station, Lilydale line (per sheet note)</t>
  </si>
  <si>
    <t xml:space="preserve">Warragul</t>
  </si>
  <si>
    <t xml:space="preserve">West Gippsland</t>
  </si>
  <si>
    <t xml:space="preserve">High (Rolling hills/gardens)</t>
  </si>
  <si>
    <t xml:space="preserve">Regional town with V/Line rail &amp; local hospital ED</t>
  </si>
  <si>
    <t xml:space="preserve">3-bed house median $620k; 4-bed $732.5k (Domain)</t>
  </si>
  <si>
    <t xml:space="preserve">Town-centre V/Line station &amp; West Gippsland Hospital ED (verify wait times &amp; GW drive).</t>
  </si>
  <si>
    <t xml:space="preserve"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</si>
  <si>
    <t xml:space="preserve">Warragul station, V/Line Gippsland (per sheet note)</t>
  </si>
  <si>
    <t xml:space="preserve">West Gippsland Hospital ED (local)</t>
  </si>
  <si>
    <t xml:space="preserve">Published house price ($620,000) is under $1.5M cap.</t>
  </si>
  <si>
    <t xml:space="preserve">Mount Eliza</t>
  </si>
  <si>
    <t xml:space="preserve">Mornington Peninsula</t>
  </si>
  <si>
    <t xml:space="preserve">High (Woodland &amp; gullies)</t>
  </si>
  <si>
    <t xml:space="preserve">High (Canadian Bay/coast)</t>
  </si>
  <si>
    <t xml:space="preserve">Rare overlap of bushland reserves, village &amp; bay</t>
  </si>
  <si>
    <t xml:space="preserve">Tests BOTH parents' bushland preference and your coastal-nature preference; verify bus 781 &amp; Frankston ED drive.</t>
  </si>
  <si>
    <t xml:space="preserve"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</si>
  <si>
    <t xml:space="preserve">No rail; bus 781 to Frankston (per sheet note)</t>
  </si>
  <si>
    <t xml:space="preserve">Mornington</t>
  </si>
  <si>
    <t xml:space="preserve">Medium (Parks &amp; gardens)</t>
  </si>
  <si>
    <t xml:space="preserve">High (Bay beaches/harbor)</t>
  </si>
  <si>
    <t xml:space="preserve">Established coastal town centre &amp; Main Street</t>
  </si>
  <si>
    <t xml:space="preserve">Substantial town services on bay; no passenger train (bus to Frankston); verify Frankston/Rosebud ED drive.</t>
  </si>
  <si>
    <t xml:space="preserve"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</si>
  <si>
    <t xml:space="preserve">No passenger train; bus to Frankston (per sheet note)</t>
  </si>
  <si>
    <t xml:space="preserve">Clifton Springs</t>
  </si>
  <si>
    <t xml:space="preserve">Medium (Dell &amp; coastal reserve)</t>
  </si>
  <si>
    <t xml:space="preserve">High (Bay views &amp; foreshore)</t>
  </si>
  <si>
    <t xml:space="preserve">High-value Bellarine coastal alternative</t>
  </si>
  <si>
    <t xml:space="preserve">House sale median $715,000 (196 sales, Property.com.au)</t>
  </si>
  <si>
    <t xml:space="preserve">Port Phillip bay frontage &amp; Dell picnic area; verify Univ Hospital Geelong ED drive &amp; public transport.</t>
  </si>
  <si>
    <t xml:space="preserve"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</si>
  <si>
    <t xml:space="preserve">No rail; Geelong via bus (recall; verify)</t>
  </si>
  <si>
    <t xml:space="preserve">Published house price ($715,000) is under $1.5M cap.</t>
  </si>
  <si>
    <t xml:space="preserve">Warburton</t>
  </si>
  <si>
    <t xml:space="preserve">Watchlist</t>
  </si>
  <si>
    <t xml:space="preserve">Very High (Mountain &amp; river)</t>
  </si>
  <si>
    <t xml:space="preserve">Maximum forest/mountain scenery test</t>
  </si>
  <si>
    <t xml:space="preserve">3-bed house median $717.5k (34 sales); 4-bed $702.5k</t>
  </si>
  <si>
    <t xml:space="preserve">ABS 2021: 24.3% aged 65+, 8.1% non-Eng HH. Tough practicality test on winter comfort, fire risk &amp; distant ED.</t>
  </si>
  <si>
    <t xml:space="preserve"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</si>
  <si>
    <t xml:space="preserve">No passenger rail (recall; verify)</t>
  </si>
  <si>
    <t xml:space="preserve">Maroondah Hospital ED (drive times added 27 Oct 2026, Google Maps leave-now, not peak; Angliss may be closer, 24-hr status unverified)</t>
  </si>
  <si>
    <t xml:space="preserve">Published house price ($717,500) is under $1.5M cap.</t>
  </si>
  <si>
    <t xml:space="preserve">Trentham</t>
  </si>
  <si>
    <t xml:space="preserve">High (Wombat Forest village)</t>
  </si>
  <si>
    <t xml:space="preserve">Intimate forest village with older age profile</t>
  </si>
  <si>
    <t xml:space="preserve">3-bed house median $978,750 (30 sales, Domain)</t>
  </si>
  <si>
    <t xml:space="preserve">ABS 2021: 33.6% aged 65+, 4.7% non-Eng HH. CAUTION: Local health campus is community/aged care ONLY, not an ED.</t>
  </si>
  <si>
    <t xml:space="preserve"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</si>
  <si>
    <t xml:space="preserve">Published house price ($978,750) is under $1.5M cap.</t>
  </si>
  <si>
    <t xml:space="preserve">Olinda</t>
  </si>
  <si>
    <t xml:space="preserve">Dandenong Ridge</t>
  </si>
  <si>
    <t xml:space="preserve">Very High (Botanic gardens/ridge)</t>
  </si>
  <si>
    <t xml:space="preserve">Dandenongs ridge village — high scenic appeal</t>
  </si>
  <si>
    <t xml:space="preserve">Parks Vic documents severe-weather/fire closures; bus 694 to Belgrave; verify winter damp, slopes &amp; insurance.</t>
  </si>
  <si>
    <t xml:space="preserve"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</si>
  <si>
    <t xml:space="preserve">Sassafras</t>
  </si>
  <si>
    <t xml:space="preserve">Very High (Forest ridge village)</t>
  </si>
  <si>
    <t xml:space="preserve">Dandenongs ridge village comparator</t>
  </si>
  <si>
    <t xml:space="preserve">High tourism traffic on weekends; check everyday grocery/medical convenience &amp; bushfire overlay.</t>
  </si>
  <si>
    <t xml:space="preserve"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</si>
  <si>
    <t xml:space="preserve">Mount Dandenong</t>
  </si>
  <si>
    <t xml:space="preserve">Very High (Canopy &amp; views)</t>
  </si>
  <si>
    <t xml:space="preserve">Ridge canopy living test</t>
  </si>
  <si>
    <t xml:space="preserve">Requires property-specific slope, tree-fall, insurance &amp; emergency egress verification.</t>
  </si>
  <si>
    <t xml:space="preserve"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</si>
  <si>
    <t xml:space="preserve">Emerald</t>
  </si>
  <si>
    <t xml:space="preserve">High (Emerald Lake &amp; hills)</t>
  </si>
  <si>
    <t xml:space="preserve">Larger hills town south-east of ridge</t>
  </si>
  <si>
    <t xml:space="preserve">Emerald Lake precinct; separate from ridge villages—verify routine services &amp; ED drive.</t>
  </si>
  <si>
    <t xml:space="preserve"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</si>
  <si>
    <t xml:space="preserve">Ferntree Gully</t>
  </si>
  <si>
    <t xml:space="preserve">Medium-High (Foothills)</t>
  </si>
  <si>
    <t xml:space="preserve">Larger housing/service catchment next to Upper FTG</t>
  </si>
  <si>
    <t xml:space="preserve">Belgrave line; compare flatter pockets and housing stock against Upper Ferntree Gully.</t>
  </si>
  <si>
    <t xml:space="preserve"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</si>
  <si>
    <t xml:space="preserve">Berwick</t>
  </si>
  <si>
    <t xml:space="preserve">South-East Melbourne</t>
  </si>
  <si>
    <t xml:space="preserve">Medium (Wilson Botanic Park)</t>
  </si>
  <si>
    <t xml:space="preserve">Healthcare-led south-east comparator</t>
  </si>
  <si>
    <t xml:space="preserve">Monash Health Casey Hospital 24-hr ED on site; verify whether residential pockets feel green enough.</t>
  </si>
  <si>
    <t xml:space="preserve"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</si>
  <si>
    <t xml:space="preserve">Frankston South</t>
  </si>
  <si>
    <t xml:space="preserve">High (Sweetwater Creek reserve)</t>
  </si>
  <si>
    <t xml:space="preserve">High (Near beach/bay)</t>
  </si>
  <si>
    <t xml:space="preserve">Greener, bushier counterpart to Frankston</t>
  </si>
  <si>
    <t xml:space="preserve">Sweetwater Creek nature reserve; weaker station walk than central Frankston. Promoted to Active 26 Oct 2026 as a bush-plus-bay overlap candidate.</t>
  </si>
  <si>
    <t xml:space="preserve"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</si>
  <si>
    <t xml:space="preserve">No station in suburb; Frankston station nearby (recall; verify)</t>
  </si>
  <si>
    <t xml:space="preserve">Peninsula University Hospital ED (drive times added 27 Oct 2026, Google Maps leave-now by suburb name, not postcode, not peak)</t>
  </si>
  <si>
    <t xml:space="preserve">Hurstbridge</t>
  </si>
  <si>
    <t xml:space="preserve">High (Bushland village)</t>
  </si>
  <si>
    <t xml:space="preserve">Smaller bushland village beyond Diamond Creek</t>
  </si>
  <si>
    <t xml:space="preserve">Hurstbridge rail terminus; test whether extra distance over Diamond Creek/Eltham adds value.</t>
  </si>
  <si>
    <t xml:space="preserve"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</si>
  <si>
    <t xml:space="preserve">Ballarat</t>
  </si>
  <si>
    <t xml:space="preserve">Central Highlands</t>
  </si>
  <si>
    <t xml:space="preserve">Medium-High (Lake Wendouree/gardens)</t>
  </si>
  <si>
    <t xml:space="preserve">Low (Inland lake)</t>
  </si>
  <si>
    <t xml:space="preserve">Major regional city control with Base Hospital ED</t>
  </si>
  <si>
    <t xml:space="preserve">Grampians Health Ballarat Base Hospital ED; test only if longer family journey to GW is acceptable.</t>
  </si>
  <si>
    <t xml:space="preserve"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</si>
  <si>
    <t xml:space="preserve">Bendigo</t>
  </si>
  <si>
    <t xml:space="preserve">Central Victoria</t>
  </si>
  <si>
    <t xml:space="preserve">Medium-High (Rosalind Park/bush)</t>
  </si>
  <si>
    <t xml:space="preserve">Major regional city control with 24-hr ED</t>
  </si>
  <si>
    <t xml:space="preserve">Bendigo Hospital documented 24-hr/365-day ED; test only if regional travel distance is acceptable.</t>
  </si>
  <si>
    <t xml:space="preserve"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</si>
  <si>
    <t xml:space="preserve">Dromana</t>
  </si>
  <si>
    <t xml:space="preserve">Medium (Arthurs Seat backdrop)</t>
  </si>
  <si>
    <t xml:space="preserve">Further-south Peninsula coastal comparator</t>
  </si>
  <si>
    <t xml:space="preserve">Compare Rosebud vs Frankston ED access and year-round vs holiday-town feel.</t>
  </si>
  <si>
    <t xml:space="preserve"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</si>
  <si>
    <t xml:space="preserve">Castlemaine</t>
  </si>
  <si>
    <t xml:space="preserve">High (Box-Ironbark bush/arts)</t>
  </si>
  <si>
    <t xml:space="preserve">Historic country town on Bendigo V/Line</t>
  </si>
  <si>
    <t xml:space="preserve">Do not assume local health service equals a major 24-hr ED; Bendigo ED is reference point.</t>
  </si>
  <si>
    <t xml:space="preserve"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</si>
  <si>
    <t xml:space="preserve">Wonthaggi</t>
  </si>
  <si>
    <t xml:space="preserve">Bass Coast</t>
  </si>
  <si>
    <t xml:space="preserve">Medium (Coastal hinterland)</t>
  </si>
  <si>
    <t xml:space="preserve">High (Near Bass Coast)</t>
  </si>
  <si>
    <t xml:space="preserve">Coastal Gippsland service-centre comparator</t>
  </si>
  <si>
    <t xml:space="preserve">Bass Coast Health Wonthaggi Hospital; verify ED capability &amp; GW travel time before promoting.</t>
  </si>
  <si>
    <t xml:space="preserve"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</si>
  <si>
    <t xml:space="preserve">Inverloch</t>
  </si>
  <si>
    <t xml:space="preserve">Medium (Screw Creek/foreshore)</t>
  </si>
  <si>
    <t xml:space="preserve">High (Inlet &amp; surf beach)</t>
  </si>
  <si>
    <t xml:space="preserve">Coastal Gippsland lifestyle counterpart to Wonthaggi</t>
  </si>
  <si>
    <t xml:space="preserve">Shared pathway &amp; inlet walks; no passenger rail; verify Wonthaggi/Latrobe ED drive.</t>
  </si>
  <si>
    <t xml:space="preserve"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</si>
  <si>
    <t xml:space="preserve">[SYNTHETIC TEST — Ringwood Leafy Pocket]</t>
  </si>
  <si>
    <t xml:space="preserve">Synthetic Test</t>
  </si>
  <si>
    <t xml:space="preserve">Medium-High</t>
  </si>
  <si>
    <t xml:space="preserve">Low</t>
  </si>
  <si>
    <t xml:space="preserve">Synthetic test row verifying Pass &amp; Rank math</t>
  </si>
  <si>
    <t xml:space="preserve">Synthetic test row (clear before live use)</t>
  </si>
  <si>
    <t xml:space="preserve">Excluded: test row</t>
  </si>
  <si>
    <t xml:space="preserve">[SYNTHETIC TEST] Demonstrates 'Pass' &amp; Rank #1 when drive times &amp; 0-10 scores are entered.</t>
  </si>
  <si>
    <t xml:space="preserve"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</si>
  <si>
    <t xml:space="preserve">Benchmark synthetic price</t>
  </si>
  <si>
    <t xml:space="preserve">Synthetic test calibration model.</t>
  </si>
  <si>
    <t xml:space="preserve">[SYNTHETIC TEST — Ocean Grove Woodland Pocket]</t>
  </si>
  <si>
    <t xml:space="preserve">High</t>
  </si>
  <si>
    <t xml:space="preserve">Synthetic test row verifying coastal vs GW filter</t>
  </si>
  <si>
    <t xml:space="preserve">[SYNTHETIC TEST] Demonstrates 'Pass' &amp; Rank #2 under 25-min GW / 20-min ED test limits.</t>
  </si>
  <si>
    <t xml:space="preserve"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</si>
  <si>
    <t xml:space="preserve">Rosebud</t>
  </si>
  <si>
    <t xml:space="preserve">Open-mind viewing</t>
  </si>
  <si>
    <t xml:space="preserve">Low-Medium (Coastal)</t>
  </si>
  <si>
    <t xml:space="preserve">Open-mind viewing: calibrate coastal feel against bush</t>
  </si>
  <si>
    <t xml:space="preserve">Not verified</t>
  </si>
  <si>
    <t xml:space="preserve">OPEN-MIND VIEWING PICK (nominated by NJD): view for calibration. Verify year-round services vs holiday-town feel, local ED status and drive to a 24-hr public ED, GW drive and price.</t>
  </si>
  <si>
    <t xml:space="preserve"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</si>
  <si>
    <t xml:space="preserve">No passenger rail on the Peninsula south of Frankston (from recall; verify)</t>
  </si>
  <si>
    <t xml:space="preserve">Needs data (verify Frankston/Peninsula Univ Hospital vs local)</t>
  </si>
  <si>
    <t xml:space="preserve">Rye</t>
  </si>
  <si>
    <t xml:space="preserve">High (Bay/ocean beach)</t>
  </si>
  <si>
    <t xml:space="preserve">OPEN-MIND VIEWING PICK (nominated by NJD): view for calibration. Verify year-round services vs holiday-town feel, ED access (nearest 24-hr public ED likely Frankston/Peninsula Univ Hospital), GW drive and price.</t>
  </si>
  <si>
    <t xml:space="preserve"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</si>
  <si>
    <t xml:space="preserve">Gisborne</t>
  </si>
  <si>
    <t xml:space="preserve">Medium-High (Rural/gardens)</t>
  </si>
  <si>
    <t xml:space="preserve">Regional town close to Melbourne, distinct from Woodend and Macedon</t>
  </si>
  <si>
    <t xml:space="preserve">Regional add (within about 1.5 hrs of Melbourne, from recall; verify). Verify train access (nearest V/Line may be Riddells Creek), GW drive, price and nearest major public ED.</t>
  </si>
  <si>
    <t xml:space="preserve"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</si>
  <si>
    <t xml:space="preserve">Riddells Creek</t>
  </si>
  <si>
    <t xml:space="preserve">Medium-High (Village/countryside)</t>
  </si>
  <si>
    <t xml:space="preserve">Small village with V/Line access (to verify)</t>
  </si>
  <si>
    <t xml:space="preserve">Regional add (within about 1.5 hrs of Melbourne, from recall; verify). Verify V/Line station and service frequency, GW drive, price and nearest major public ED.</t>
  </si>
  <si>
    <t xml:space="preserve"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</si>
  <si>
    <t xml:space="preserve">Yarra Glen</t>
  </si>
  <si>
    <t xml:space="preserve">High (Valley/vineyards)</t>
  </si>
  <si>
    <t xml:space="preserve">Yarra Valley village, quieter than Healesville</t>
  </si>
  <si>
    <t xml:space="preserve">Regional add (within about 1.5 hrs of Melbourne, from recall; verify). Likely no train; verify GW drive, price and ED journey (Maroondah/Angliss). Compare with Healesville.</t>
  </si>
  <si>
    <t xml:space="preserve"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</si>
  <si>
    <t xml:space="preserve">Drouin</t>
  </si>
  <si>
    <t xml:space="preserve">Medium-High (Hills/gardens)</t>
  </si>
  <si>
    <t xml:space="preserve">Gippsland-corridor town alongside Warragul</t>
  </si>
  <si>
    <t xml:space="preserve">Regional add (within about 1.5 hrs of Melbourne, from recall; verify). Verify V/Line station, GW drive, price and ED access (West Gippsland Hospital at Warragul). Compare with Warragul.</t>
  </si>
  <si>
    <t xml:space="preserve"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</si>
  <si>
    <t xml:space="preserve">#</t>
  </si>
  <si>
    <t xml:space="preserve">Address</t>
  </si>
  <si>
    <t xml:space="preserve">Suburb</t>
  </si>
  <si>
    <t xml:space="preserve">Price guide (as listed)</t>
  </si>
  <si>
    <t xml:space="preserve">Guide low ($)</t>
  </si>
  <si>
    <t xml:space="preserve">Guide high ($)</t>
  </si>
  <si>
    <t xml:space="preserve">Budget check (vs Filters!B2)</t>
  </si>
  <si>
    <t xml:space="preserve">Beds</t>
  </si>
  <si>
    <t xml:space="preserve">Baths</t>
  </si>
  <si>
    <t xml:space="preserve">Cars</t>
  </si>
  <si>
    <t xml:space="preserve">Land (m²)</t>
  </si>
  <si>
    <t xml:space="preserve">Listing status</t>
  </si>
  <si>
    <t xml:space="preserve">Next inspection (as of 27 Oct)</t>
  </si>
  <si>
    <t xml:space="preserve">Agent</t>
  </si>
  <si>
    <t xml:space="preserve">Scorecard suburb (lookup key)</t>
  </si>
  <si>
    <t xml:space="preserve">Scorecard shortlist status</t>
  </si>
  <si>
    <t xml:space="preserve">Drive to GW (min, suburb)</t>
  </si>
  <si>
    <t xml:space="preserve">Drive to ED (min, suburb)</t>
  </si>
  <si>
    <t xml:space="preserve">Train (suburb)</t>
  </si>
  <si>
    <t xml:space="preserve">Overall check</t>
  </si>
  <si>
    <t xml:space="preserve"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</si>
  <si>
    <t xml:space="preserve">6 Beales Street</t>
  </si>
  <si>
    <t xml:space="preserve">$1,475,000-$1,575,000</t>
  </si>
  <si>
    <t xml:space="preserve">Active</t>
  </si>
  <si>
    <t xml:space="preserve">Tue 27 Oct 5:00pm</t>
  </si>
  <si>
    <t xml:space="preserve">Chris Henson</t>
  </si>
  <si>
    <t xml:space="preserve">1/1 Bruce Street</t>
  </si>
  <si>
    <t xml:space="preserve">West Footscray</t>
  </si>
  <si>
    <t xml:space="preserve">$1,200,000-$1,300,000</t>
  </si>
  <si>
    <t xml:space="preserve">Thu 29 Oct 5:15pm</t>
  </si>
  <si>
    <t xml:space="preserve">Huss Saad</t>
  </si>
  <si>
    <t xml:space="preserve">Suburb not on scorecard</t>
  </si>
  <si>
    <t xml:space="preserve">67 Donna Buang Road</t>
  </si>
  <si>
    <t xml:space="preserve">$900,000-$990,000</t>
  </si>
  <si>
    <t xml:space="preserve">None listed</t>
  </si>
  <si>
    <t xml:space="preserve">Suzie Brannelly</t>
  </si>
  <si>
    <t xml:space="preserve">Drive times added 27 Oct (suburb centre). 3,235 m² block; check winter, fire and slope</t>
  </si>
  <si>
    <t xml:space="preserve">8 Williams Bay Grove</t>
  </si>
  <si>
    <t xml:space="preserve">$1,700,000</t>
  </si>
  <si>
    <t xml:space="preserve">Sat 31 Oct 11:15am</t>
  </si>
  <si>
    <t xml:space="preserve">Katie Smith</t>
  </si>
  <si>
    <t xml:space="preserve">25 Phillips Crescent</t>
  </si>
  <si>
    <t xml:space="preserve">Rosanna</t>
  </si>
  <si>
    <t xml:space="preserve">ESR $1,450,000-$1,550,000</t>
  </si>
  <si>
    <t xml:space="preserve">Ashlee Jade</t>
  </si>
  <si>
    <t xml:space="preserve">29 Campbell Street</t>
  </si>
  <si>
    <t xml:space="preserve">New price $1.25m</t>
  </si>
  <si>
    <t xml:space="preserve">Tue 27 Oct 6:00pm</t>
  </si>
  <si>
    <t xml:space="preserve">Sheryl Emerson</t>
  </si>
  <si>
    <t xml:space="preserve">23 Park Street</t>
  </si>
  <si>
    <t xml:space="preserve">Mordialloc</t>
  </si>
  <si>
    <t xml:space="preserve">$1,750,000-$1,900,000</t>
  </si>
  <si>
    <t xml:space="preserve">Tue 27 Oct 3:30pm</t>
  </si>
  <si>
    <t xml:space="preserve">Lou Colella</t>
  </si>
  <si>
    <t xml:space="preserve">156A Nepean Highway</t>
  </si>
  <si>
    <t xml:space="preserve">Seaford</t>
  </si>
  <si>
    <t xml:space="preserve">$1,690,000-$1,850,000</t>
  </si>
  <si>
    <t xml:space="preserve">Under offer</t>
  </si>
  <si>
    <t xml:space="preserve">Dean Bozunovic</t>
  </si>
  <si>
    <t xml:space="preserve">1/192 Nepean Highway</t>
  </si>
  <si>
    <t xml:space="preserve">$1,450,000-$1,595,000</t>
  </si>
  <si>
    <t xml:space="preserve">Sat 31 Oct 1:00pm</t>
  </si>
  <si>
    <t xml:space="preserve">Luke Magree</t>
  </si>
  <si>
    <t xml:space="preserve">51 Granya Grove</t>
  </si>
  <si>
    <t xml:space="preserve">$1,799,000-$1,978,000</t>
  </si>
  <si>
    <t xml:space="preserve">Bailey White</t>
  </si>
  <si>
    <t xml:space="preserve">54 Granya Grove</t>
  </si>
  <si>
    <t xml:space="preserve">$1,275,000-$1,375,000</t>
  </si>
  <si>
    <t xml:space="preserve">Sat 31 Oct 12:30pm</t>
  </si>
  <si>
    <t xml:space="preserve">Candice Blanch</t>
  </si>
  <si>
    <t xml:space="preserve">110 Koornalla Crescent</t>
  </si>
  <si>
    <t xml:space="preserve">$1,300,000-$1,430,000</t>
  </si>
  <si>
    <t xml:space="preserve">Will Crowder</t>
  </si>
  <si>
    <t xml:space="preserve">1374 Nepean Highway</t>
  </si>
  <si>
    <t xml:space="preserve">$890,000-$970,000</t>
  </si>
  <si>
    <t xml:space="preserve">Sat 31 Oct 2:00pm</t>
  </si>
  <si>
    <t xml:space="preserve">Danae Eden</t>
  </si>
  <si>
    <t xml:space="preserve">45 Seahaze Street</t>
  </si>
  <si>
    <t xml:space="preserve">Arthurs Seat</t>
  </si>
  <si>
    <t xml:space="preserve">Private sale $1,650,000-$1,750,000</t>
  </si>
  <si>
    <t xml:space="preserve">Tom Barr Smith</t>
  </si>
  <si>
    <t xml:space="preserve">Suburb not on scorecard (nearest scorecard suburb: Dromana, not substituted)</t>
  </si>
  <si>
    <t xml:space="preserve">4 McArthur Street</t>
  </si>
  <si>
    <t xml:space="preserve">$1,349,000</t>
  </si>
  <si>
    <t xml:space="preserve">Scott Joyce</t>
  </si>
  <si>
    <t xml:space="preserve">Scorecard has no drive times for Dromana</t>
  </si>
  <si>
    <t xml:space="preserve">3-5 Bonavista Way</t>
  </si>
  <si>
    <t xml:space="preserve">Curlewis</t>
  </si>
  <si>
    <t xml:space="preserve">$1,350,000-$1,450,000</t>
  </si>
  <si>
    <t xml:space="preserve">Sat 31 Oct 11:50am</t>
  </si>
  <si>
    <t xml:space="preserve">Harley Lewis</t>
  </si>
  <si>
    <t xml:space="preserve">36 Arthurs Avenue</t>
  </si>
  <si>
    <t xml:space="preserve">McCrae</t>
  </si>
  <si>
    <t xml:space="preserve">New price $1,500,000-$1,650,000</t>
  </si>
  <si>
    <t xml:space="preserve">Sam Austen</t>
  </si>
  <si>
    <t xml:space="preserve">2B Fowler Street</t>
  </si>
  <si>
    <t xml:space="preserve">Chelsea</t>
  </si>
  <si>
    <t xml:space="preserve">$1,400,000-$1,540,000</t>
  </si>
  <si>
    <t xml:space="preserve">Wed 28 Oct 3:50pm</t>
  </si>
  <si>
    <t xml:space="preserve">Daniel Wright</t>
  </si>
  <si>
    <t xml:space="preserve">13 Harcombe Crescent</t>
  </si>
  <si>
    <t xml:space="preserve">6 Dowman Street</t>
  </si>
  <si>
    <t xml:space="preserve">Newport</t>
  </si>
  <si>
    <t xml:space="preserve">$1,790,000</t>
  </si>
  <si>
    <t xml:space="preserve">Nathan Smith</t>
  </si>
  <si>
    <t xml:space="preserve">28 Stradbroke Avenue</t>
  </si>
  <si>
    <t xml:space="preserve">Reserve $940,000</t>
  </si>
  <si>
    <t xml:space="preserve">Sat 31 Oct 9:30am</t>
  </si>
  <si>
    <t xml:space="preserve">Brooke Wegener</t>
  </si>
  <si>
    <t xml:space="preserve">Reserve price (auction); final price likely higher</t>
  </si>
  <si>
    <t xml:space="preserve">7 Gordon Avenue</t>
  </si>
  <si>
    <t xml:space="preserve">$1,300,000-$1,400,000</t>
  </si>
  <si>
    <t xml:space="preserve">Bree Roberts</t>
  </si>
  <si>
    <t xml:space="preserve">24 Monbulk Road</t>
  </si>
  <si>
    <t xml:space="preserve">Auction $850,000-$920,000</t>
  </si>
  <si>
    <t xml:space="preserve">Wed 28 Oct 4:00pm</t>
  </si>
  <si>
    <t xml:space="preserve">Cristine Jones</t>
  </si>
  <si>
    <t xml:space="preserve">Auction guide</t>
  </si>
  <si>
    <t xml:space="preserve">16 Forest Road</t>
  </si>
  <si>
    <t xml:space="preserve">Reserve $1,035,000</t>
  </si>
  <si>
    <t xml:space="preserve">Thu 29 Oct 6:00pm</t>
  </si>
  <si>
    <t xml:space="preserve">Austen Kosasih</t>
  </si>
  <si>
    <t xml:space="preserve">Car spaces not shown on card; check listing. Reserve price (auction)</t>
  </si>
  <si>
    <t xml:space="preserve">3 Forest Road</t>
  </si>
  <si>
    <t xml:space="preserve">$1,150,000-$1,250,000</t>
  </si>
  <si>
    <t xml:space="preserve">Sam Skolnick</t>
  </si>
  <si>
    <t xml:space="preserve">11 Dalkeith Crescent</t>
  </si>
  <si>
    <t xml:space="preserve">$870,000-$946,000</t>
  </si>
  <si>
    <t xml:space="preserve">Mick Dolphin</t>
  </si>
  <si>
    <t xml:space="preserve">23 Sherwood Crescent</t>
  </si>
  <si>
    <t xml:space="preserve">Mount Martha</t>
  </si>
  <si>
    <t xml:space="preserve">$1,390,000-$1,490,000</t>
  </si>
  <si>
    <t xml:space="preserve">Brendan Collopy</t>
  </si>
  <si>
    <t xml:space="preserve">85 Terrys Avenue</t>
  </si>
  <si>
    <t xml:space="preserve">$1,250,000-$1,340,000</t>
  </si>
  <si>
    <t xml:space="preserve">Tue 27 Oct 5:15pm</t>
  </si>
  <si>
    <t xml:space="preserve">Brad Conder</t>
  </si>
  <si>
    <t xml:space="preserve">84 Belgrave Gembrook Road</t>
  </si>
  <si>
    <t xml:space="preserve">$945,000-$1,035,000</t>
  </si>
  <si>
    <t xml:space="preserve">Thu 29 Oct 1:30pm</t>
  </si>
  <si>
    <t xml:space="preserve">Jarrod Peterson</t>
  </si>
  <si>
    <t xml:space="preserve">3 Fiocchi Avenue</t>
  </si>
  <si>
    <t xml:space="preserve">Not shown</t>
  </si>
  <si>
    <t xml:space="preserve">Agent name not shown on card</t>
  </si>
  <si>
    <t xml:space="preserve">2 Bader Court</t>
  </si>
  <si>
    <t xml:space="preserve">$1,500,000-$1,650,000</t>
  </si>
  <si>
    <t xml:space="preserve">Thu 29 Oct 5:30pm</t>
  </si>
  <si>
    <t xml:space="preserve">Geoff Oxford</t>
  </si>
  <si>
    <t xml:space="preserve">35 Mountain Avenue</t>
  </si>
  <si>
    <t xml:space="preserve">Sat 31 Oct 11:00am</t>
  </si>
  <si>
    <t xml:space="preserve">Ashley Weston</t>
  </si>
  <si>
    <t xml:space="preserve">Executive Dashboard</t>
  </si>
  <si>
    <t xml:space="preserve">Respondent Status</t>
  </si>
  <si>
    <t xml:space="preserve">Priority Weights (Before vs After)</t>
  </si>
  <si>
    <t xml:space="preserve">Priority</t>
  </si>
  <si>
    <t xml:space="preserve">Draft Baseline</t>
  </si>
  <si>
    <t xml:space="preserve">Final Weight</t>
  </si>
  <si>
    <t xml:space="preserve">Active Hard Filters</t>
  </si>
  <si>
    <t xml:space="preserve">Budget Cap</t>
  </si>
  <si>
    <t xml:space="preserve">Max GW Drive</t>
  </si>
  <si>
    <t xml:space="preserve">Max ED Drive</t>
  </si>
  <si>
    <t xml:space="preserve">Stairs</t>
  </si>
  <si>
    <t xml:space="preserve">Suburb Counts</t>
  </si>
  <si>
    <t xml:space="preserve">Passing / Provisional Pass</t>
  </si>
  <si>
    <t xml:space="preserve">Needs Data</t>
  </si>
  <si>
    <t xml:space="preserve">Trade-off Disagreements</t>
  </si>
  <si>
    <t xml:space="preserve">Fails: budget</t>
  </si>
  <si>
    <t xml:space="preserve">Fails: ED drive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</si>
</sst>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hh:mm"/>
    <numFmt numFmtId="166" formatCode="\$#,##0"/>
    <numFmt numFmtId="167" formatCode="\$#,##0"/>
    <numFmt numFmtId="168" formatCode="0%"/>
    <numFmt numFmtId="169" formatCode="0.00%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rgb="FFFFFFFF"/>
      <name val="Montserrat"/>
      <family val="0"/>
      <charset val="1"/>
    </font>
    <font>
      <sz val="10"/>
      <color rgb="FF1A1B1F"/>
      <name val="Roboto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</row>
    <row r="2" customFormat="false" ht="15.75" hidden="false" customHeight="false" outlineLevel="0" collapsed="false">
      <c r="A2" s="1" t="s">
        <v>1</v>
      </c>
    </row>
    <row r="3" customFormat="false" ht="15.75" hidden="false" customHeight="false" outlineLevel="0" collapsed="false">
      <c r="A3" s="1" t="s">
        <v>2</v>
      </c>
    </row>
    <row r="4" customFormat="false" ht="15.75" hidden="false" customHeight="false" outlineLevel="0" collapsed="false">
      <c r="A4" s="1" t="s">
        <v>3</v>
      </c>
    </row>
    <row r="5" customFormat="false" ht="15.75" hidden="false" customHeight="false" outlineLevel="0" collapsed="false">
      <c r="A5" s="1" t="s">
        <v>4</v>
      </c>
    </row>
    <row r="6" customFormat="false" ht="15.75" hidden="false" customHeight="false" outlineLevel="0" collapsed="false">
      <c r="A6" s="1" t="s">
        <v>5</v>
      </c>
    </row>
    <row r="8" customFormat="false" ht="15.75" hidden="false" customHeight="false" outlineLevel="0" collapsed="false">
      <c r="A8" s="1" t="s">
        <v>6</v>
      </c>
    </row>
    <row r="9" customFormat="false" ht="15.75" hidden="false" customHeight="false" outlineLevel="0" collapsed="false">
      <c r="A9" s="1" t="s">
        <v>7</v>
      </c>
      <c r="B9" s="1" t="s">
        <v>8</v>
      </c>
    </row>
    <row r="10" customFormat="false" ht="15.75" hidden="false" customHeight="false" outlineLevel="0" collapsed="false">
      <c r="A10" s="1" t="s">
        <v>9</v>
      </c>
      <c r="B10" s="1" t="s">
        <v>10</v>
      </c>
    </row>
    <row r="11" customFormat="false" ht="15.75" hidden="false" customHeight="false" outlineLevel="0" collapsed="false">
      <c r="A11" s="1" t="s">
        <v>11</v>
      </c>
      <c r="B11" s="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" t="s">
        <v>13</v>
      </c>
      <c r="B1" s="2" t="s">
        <v>14</v>
      </c>
      <c r="C1" s="2" t="s">
        <v>15</v>
      </c>
    </row>
    <row r="2" customFormat="false" ht="15.75" hidden="false" customHeight="false" outlineLevel="0" collapsed="false">
      <c r="A2" s="3" t="s">
        <v>16</v>
      </c>
      <c r="B2" s="4" t="n">
        <v>1</v>
      </c>
      <c r="C2" s="3"/>
    </row>
    <row r="3" customFormat="false" ht="15.75" hidden="false" customHeight="false" outlineLevel="0" collapsed="false">
      <c r="A3" s="3" t="s">
        <v>17</v>
      </c>
      <c r="B3" s="4" t="n">
        <v>1</v>
      </c>
      <c r="C3" s="3"/>
    </row>
    <row r="4" customFormat="false" ht="15.75" hidden="false" customHeight="false" outlineLevel="0" collapsed="false">
      <c r="A4" s="3" t="s">
        <v>18</v>
      </c>
      <c r="B4" s="4" t="n">
        <v>1</v>
      </c>
      <c r="C4" s="3"/>
    </row>
    <row r="5" customFormat="false" ht="15.75" hidden="false" customHeight="false" outlineLevel="0" collapsed="false">
      <c r="A5" s="3" t="s">
        <v>19</v>
      </c>
      <c r="B5" s="4" t="n">
        <v>2</v>
      </c>
      <c r="C5" s="3"/>
    </row>
    <row r="6" customFormat="false" ht="15.75" hidden="false" customHeight="false" outlineLevel="0" collapsed="false">
      <c r="A6" s="3" t="s">
        <v>20</v>
      </c>
      <c r="B6" s="4" t="n">
        <v>0.06</v>
      </c>
      <c r="C6" s="3" t="s">
        <v>21</v>
      </c>
    </row>
    <row r="7" customFormat="false" ht="15.75" hidden="false" customHeight="false" outlineLevel="0" collapsed="false">
      <c r="A7" s="3" t="s">
        <v>22</v>
      </c>
      <c r="B7" s="4" t="n">
        <v>0.02</v>
      </c>
      <c r="C7" s="3"/>
    </row>
    <row r="8" customFormat="false" ht="15.75" hidden="false" customHeight="false" outlineLevel="0" collapsed="false">
      <c r="A8" s="3"/>
      <c r="B8" s="3"/>
      <c r="C8" s="3"/>
    </row>
    <row r="9" customFormat="false" ht="15.75" hidden="false" customHeight="false" outlineLevel="0" collapsed="false">
      <c r="A9" s="3" t="s">
        <v>23</v>
      </c>
      <c r="B9" s="3" t="s">
        <v>24</v>
      </c>
      <c r="C9" s="3" t="s">
        <v>25</v>
      </c>
    </row>
    <row r="10" customFormat="false" ht="15.75" hidden="false" customHeight="false" outlineLevel="0" collapsed="false">
      <c r="A10" s="3" t="s">
        <v>26</v>
      </c>
      <c r="B10" s="3" t="s">
        <v>27</v>
      </c>
      <c r="C10" s="3" t="n">
        <v>0</v>
      </c>
    </row>
    <row r="11" customFormat="false" ht="15.75" hidden="false" customHeight="false" outlineLevel="0" collapsed="false">
      <c r="A11" s="3" t="s">
        <v>28</v>
      </c>
      <c r="B11" s="3" t="s">
        <v>29</v>
      </c>
      <c r="C11" s="3" t="n">
        <v>1</v>
      </c>
    </row>
    <row r="12" customFormat="false" ht="15.75" hidden="false" customHeight="false" outlineLevel="0" collapsed="false">
      <c r="A12" s="3" t="s">
        <v>30</v>
      </c>
      <c r="B12" s="3" t="s">
        <v>31</v>
      </c>
      <c r="C12" s="3" t="n">
        <v>2</v>
      </c>
    </row>
    <row r="13" customFormat="false" ht="15.75" hidden="false" customHeight="false" outlineLevel="0" collapsed="false">
      <c r="A13" s="3" t="s">
        <v>32</v>
      </c>
      <c r="B13" s="3" t="s">
        <v>33</v>
      </c>
      <c r="C13" s="3" t="n">
        <v>4</v>
      </c>
    </row>
    <row r="14" customFormat="false" ht="15.75" hidden="false" customHeight="false" outlineLevel="0" collapsed="false">
      <c r="A14" s="3"/>
      <c r="B14" s="3"/>
      <c r="C14" s="3"/>
    </row>
    <row r="15" customFormat="false" ht="15.75" hidden="false" customHeight="false" outlineLevel="0" collapsed="false">
      <c r="A15" s="3" t="s">
        <v>34</v>
      </c>
      <c r="B15" s="3" t="s">
        <v>35</v>
      </c>
      <c r="C15" s="3"/>
    </row>
    <row r="16" customFormat="false" ht="15.75" hidden="false" customHeight="false" outlineLevel="0" collapsed="false">
      <c r="A16" s="3" t="s">
        <v>36</v>
      </c>
      <c r="B16" s="4" t="n">
        <v>0.18</v>
      </c>
      <c r="C16" s="3"/>
    </row>
    <row r="17" customFormat="false" ht="15.75" hidden="false" customHeight="false" outlineLevel="0" collapsed="false">
      <c r="A17" s="3" t="s">
        <v>37</v>
      </c>
      <c r="B17" s="4" t="n">
        <v>0</v>
      </c>
      <c r="C17" s="3"/>
    </row>
    <row r="18" customFormat="false" ht="15.75" hidden="false" customHeight="false" outlineLevel="0" collapsed="false">
      <c r="A18" s="3" t="s">
        <v>38</v>
      </c>
      <c r="B18" s="4" t="n">
        <v>0.18</v>
      </c>
      <c r="C18" s="3"/>
    </row>
    <row r="19" customFormat="false" ht="15.75" hidden="false" customHeight="false" outlineLevel="0" collapsed="false">
      <c r="A19" s="3" t="s">
        <v>39</v>
      </c>
      <c r="B19" s="4" t="n">
        <v>0.1</v>
      </c>
      <c r="C19" s="3"/>
    </row>
    <row r="20" customFormat="false" ht="15.75" hidden="false" customHeight="false" outlineLevel="0" collapsed="false">
      <c r="A20" s="3" t="s">
        <v>40</v>
      </c>
      <c r="B20" s="4" t="n">
        <v>0.15</v>
      </c>
      <c r="C20" s="3"/>
    </row>
    <row r="21" customFormat="false" ht="15.75" hidden="false" customHeight="false" outlineLevel="0" collapsed="false">
      <c r="A21" s="3" t="s">
        <v>41</v>
      </c>
      <c r="B21" s="4" t="n">
        <v>0.15</v>
      </c>
      <c r="C21" s="3"/>
    </row>
    <row r="22" customFormat="false" ht="15.75" hidden="false" customHeight="false" outlineLevel="0" collapsed="false">
      <c r="A22" s="3" t="s">
        <v>42</v>
      </c>
      <c r="B22" s="4" t="n">
        <v>0.09</v>
      </c>
      <c r="C22" s="3"/>
    </row>
    <row r="23" customFormat="false" ht="15.75" hidden="false" customHeight="false" outlineLevel="0" collapsed="false">
      <c r="A23" s="3" t="s">
        <v>43</v>
      </c>
      <c r="B23" s="4" t="n">
        <v>0.07</v>
      </c>
      <c r="C23" s="3"/>
    </row>
    <row r="24" customFormat="false" ht="15.75" hidden="false" customHeight="false" outlineLevel="0" collapsed="false">
      <c r="A24" s="3" t="s">
        <v>44</v>
      </c>
      <c r="B24" s="4" t="n">
        <v>0.08</v>
      </c>
      <c r="C24" s="3"/>
    </row>
    <row r="25" customFormat="false" ht="15.75" hidden="false" customHeight="false" outlineLevel="0" collapsed="false">
      <c r="A25" s="3" t="s">
        <v>45</v>
      </c>
      <c r="B25" s="4" t="n">
        <v>0</v>
      </c>
      <c r="C2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</row>
    <row r="2" customFormat="false" ht="15.75" hidden="false" customHeight="false" outlineLevel="0" collapsed="false">
      <c r="A2" s="5" t="n">
        <v>0.375</v>
      </c>
      <c r="B2" s="1" t="s">
        <v>84</v>
      </c>
      <c r="E2" s="6" t="n">
        <v>1000000</v>
      </c>
      <c r="F2" s="1" t="s">
        <v>85</v>
      </c>
      <c r="H2" s="1" t="s">
        <v>86</v>
      </c>
      <c r="I2" s="1" t="s">
        <v>87</v>
      </c>
      <c r="J2" s="1" t="s">
        <v>88</v>
      </c>
      <c r="O2" s="1" t="s">
        <v>89</v>
      </c>
      <c r="P2" s="1" t="s">
        <v>90</v>
      </c>
      <c r="Q2" s="1" t="s">
        <v>91</v>
      </c>
      <c r="V2" s="1" t="s">
        <v>30</v>
      </c>
      <c r="W2" s="1" t="s">
        <v>30</v>
      </c>
      <c r="X2" s="1" t="s">
        <v>30</v>
      </c>
      <c r="Y2" s="1" t="s">
        <v>30</v>
      </c>
      <c r="Z2" s="1" t="s">
        <v>30</v>
      </c>
      <c r="AA2" s="1" t="s">
        <v>30</v>
      </c>
      <c r="AB2" s="1" t="s">
        <v>30</v>
      </c>
      <c r="AC2" s="1" t="s">
        <v>30</v>
      </c>
      <c r="AD2" s="1" t="s">
        <v>32</v>
      </c>
      <c r="AE2" s="1" t="s">
        <v>32</v>
      </c>
    </row>
    <row r="3" customFormat="false" ht="15.75" hidden="false" customHeight="false" outlineLevel="0" collapsed="false">
      <c r="A3" s="5" t="n">
        <v>0.385416666666667</v>
      </c>
      <c r="B3" s="1" t="s">
        <v>92</v>
      </c>
      <c r="F3" s="1" t="s">
        <v>93</v>
      </c>
      <c r="H3" s="1" t="s">
        <v>94</v>
      </c>
      <c r="I3" s="1" t="s">
        <v>95</v>
      </c>
      <c r="J3" s="1" t="s">
        <v>96</v>
      </c>
      <c r="O3" s="1" t="s">
        <v>89</v>
      </c>
      <c r="P3" s="1" t="s">
        <v>90</v>
      </c>
      <c r="Q3" s="1" t="s">
        <v>91</v>
      </c>
      <c r="V3" s="1" t="s">
        <v>32</v>
      </c>
      <c r="W3" s="1" t="s">
        <v>32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1" t="s">
        <v>30</v>
      </c>
    </row>
    <row r="4" customFormat="false" ht="15.75" hidden="false" customHeight="false" outlineLevel="0" collapsed="false">
      <c r="A4" s="5" t="n">
        <v>0.395833333333333</v>
      </c>
      <c r="B4" s="1" t="s">
        <v>97</v>
      </c>
      <c r="E4" s="6" t="n">
        <v>1250000</v>
      </c>
      <c r="F4" s="1" t="s">
        <v>93</v>
      </c>
      <c r="H4" s="1" t="s">
        <v>94</v>
      </c>
      <c r="I4" s="1" t="s">
        <v>98</v>
      </c>
      <c r="J4" s="1" t="s">
        <v>96</v>
      </c>
      <c r="K4" s="1" t="s">
        <v>99</v>
      </c>
      <c r="O4" s="1" t="s">
        <v>100</v>
      </c>
      <c r="P4" s="1" t="s">
        <v>90</v>
      </c>
      <c r="Q4" s="1" t="s">
        <v>91</v>
      </c>
      <c r="V4" s="1" t="s">
        <v>32</v>
      </c>
      <c r="W4" s="1" t="s">
        <v>32</v>
      </c>
      <c r="X4" s="1" t="s">
        <v>32</v>
      </c>
      <c r="Y4" s="1" t="s">
        <v>30</v>
      </c>
      <c r="Z4" s="1" t="s">
        <v>30</v>
      </c>
      <c r="AA4" s="1" t="s">
        <v>30</v>
      </c>
      <c r="AB4" s="1" t="s">
        <v>30</v>
      </c>
      <c r="AC4" s="1" t="s">
        <v>30</v>
      </c>
      <c r="AD4" s="1" t="s">
        <v>30</v>
      </c>
      <c r="AE4" s="1" t="s">
        <v>30</v>
      </c>
    </row>
    <row r="5" customFormat="false" ht="15.75" hidden="false" customHeight="false" outlineLevel="0" collapsed="false">
      <c r="A5" s="5" t="n">
        <v>0.40625</v>
      </c>
      <c r="B5" s="1" t="s">
        <v>84</v>
      </c>
      <c r="E5" s="6" t="n">
        <v>1500000</v>
      </c>
      <c r="F5" s="1" t="s">
        <v>101</v>
      </c>
      <c r="G5" s="1" t="n">
        <v>75</v>
      </c>
      <c r="H5" s="1" t="s">
        <v>102</v>
      </c>
      <c r="I5" s="1" t="s">
        <v>103</v>
      </c>
      <c r="J5" s="1" t="s">
        <v>104</v>
      </c>
      <c r="O5" s="1" t="s">
        <v>100</v>
      </c>
      <c r="P5" s="1" t="s">
        <v>90</v>
      </c>
      <c r="Q5" s="1" t="s">
        <v>91</v>
      </c>
      <c r="V5" s="1" t="s">
        <v>32</v>
      </c>
      <c r="W5" s="1" t="s">
        <v>32</v>
      </c>
      <c r="X5" s="1" t="s">
        <v>30</v>
      </c>
      <c r="Y5" s="1" t="s">
        <v>30</v>
      </c>
      <c r="Z5" s="1" t="s">
        <v>30</v>
      </c>
      <c r="AA5" s="1" t="s">
        <v>30</v>
      </c>
      <c r="AB5" s="1" t="s">
        <v>30</v>
      </c>
      <c r="AC5" s="1" t="s">
        <v>30</v>
      </c>
      <c r="AD5" s="1" t="s">
        <v>30</v>
      </c>
      <c r="AE5" s="1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105</v>
      </c>
      <c r="B1" s="1" t="s">
        <v>106</v>
      </c>
      <c r="C1" s="1" t="s">
        <v>107</v>
      </c>
    </row>
    <row r="2" customFormat="false" ht="15.75" hidden="false" customHeight="false" outlineLevel="0" collapsed="false">
      <c r="A2" s="1" t="s">
        <v>97</v>
      </c>
      <c r="B2" s="1" t="n">
        <f aca="false">IFERROR(LOOKUP(2,1/(RawResponses!$B$2:$B$500="Mum"),ROW(RawResponses!$B$2:$B$500)),"")</f>
        <v>4</v>
      </c>
      <c r="C2" s="1" t="str">
        <f aca="false"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>Too many D's (3)</v>
      </c>
    </row>
    <row r="3" customFormat="false" ht="15.75" hidden="false" customHeight="false" outlineLevel="0" collapsed="false">
      <c r="A3" s="1" t="s">
        <v>84</v>
      </c>
      <c r="B3" s="1" t="n">
        <f aca="false">IFERROR(LOOKUP(2,1/(RawResponses!$B$2:$B$500="Dad"),ROW(RawResponses!$B$2:$B$500)),"")</f>
        <v>5</v>
      </c>
      <c r="C3" s="1" t="str">
        <f aca="false"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>OK (2)</v>
      </c>
    </row>
    <row r="4" customFormat="false" ht="15.75" hidden="false" customHeight="false" outlineLevel="0" collapsed="false">
      <c r="A4" s="1" t="s">
        <v>92</v>
      </c>
      <c r="B4" s="1" t="n">
        <f aca="false">IFERROR(LOOKUP(2,1/(RawResponses!$B$2:$B$500="Me"),ROW(RawResponses!$B$2:$B$500)),"")</f>
        <v>3</v>
      </c>
      <c r="C4" s="1" t="str">
        <f aca="false"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>OK (2)</v>
      </c>
    </row>
    <row r="6" customFormat="false" ht="15.75" hidden="false" customHeight="false" outlineLevel="0" collapsed="false">
      <c r="A6" s="1" t="s">
        <v>108</v>
      </c>
      <c r="B6" s="1" t="s">
        <v>109</v>
      </c>
      <c r="C6" s="1" t="s">
        <v>110</v>
      </c>
      <c r="D6" s="1" t="s">
        <v>111</v>
      </c>
      <c r="E6" s="1" t="s">
        <v>112</v>
      </c>
      <c r="F6" s="1" t="s">
        <v>113</v>
      </c>
      <c r="G6" s="1" t="s">
        <v>114</v>
      </c>
    </row>
    <row r="7" customFormat="false" ht="15.75" hidden="false" customHeight="false" outlineLevel="0" collapsed="false">
      <c r="A7" s="1" t="s">
        <v>50</v>
      </c>
      <c r="B7" s="6" t="n">
        <f aca="false" t="array" ref="B7:B7">INDEX(RawResponses!$A:$AL, $B$2, MATCH($A7&amp;"*", RawResponses!$A$1:$AL$1, 0))</f>
        <v>1250000</v>
      </c>
      <c r="C7" s="6" t="n">
        <f aca="false" t="array" ref="C7:C7">INDEX(RawResponses!$A:$AL, $B$3, MATCH($A7&amp;"*", RawResponses!$A$1:$AL$1, 0))</f>
        <v>1500000</v>
      </c>
      <c r="D7" s="1" t="n">
        <f aca="false">INDEX(RawResponses!$A:$AL, $B$4, MATCH($A7&amp;"*", RawResponses!$A$1:$AL$1, 0))</f>
        <v>0</v>
      </c>
      <c r="E7" s="1" t="str">
        <f aca="false">LEFT(B7, 1)</f>
        <v>1</v>
      </c>
      <c r="F7" s="1" t="str">
        <f aca="false">LEFT(C7, 1)</f>
        <v>1</v>
      </c>
      <c r="G7" s="1" t="str">
        <f aca="false">LEFT(D7, 1)</f>
        <v>0</v>
      </c>
    </row>
    <row r="8" customFormat="false" ht="15.75" hidden="false" customHeight="false" outlineLevel="0" collapsed="false">
      <c r="A8" s="1" t="s">
        <v>51</v>
      </c>
      <c r="B8" s="1" t="str">
        <f aca="false" t="array" ref="B8:B8">INDEX(RawResponses!$A:$AL, $B$2, MATCH($A8&amp;"*", RawResponses!$A$1:$AL$1, 0))</f>
        <v>B - 25m</v>
      </c>
      <c r="C8" s="1" t="str">
        <f aca="false" t="array" ref="C8:C8">INDEX(RawResponses!$A:$AL, $B$3, MATCH($A8&amp;"*", RawResponses!$A$1:$AL$1, 0))</f>
        <v>D - 45 min or more</v>
      </c>
      <c r="D8" s="1" t="str">
        <f aca="false" t="array" ref="D8:D8">INDEX(RawResponses!$A:$AL, $B$4, MATCH($A8&amp;"*", RawResponses!$A$1:$AL$1, 0))</f>
        <v>B - 25m</v>
      </c>
      <c r="E8" s="1" t="str">
        <f aca="false">LEFT(B8, 1)</f>
        <v>B</v>
      </c>
      <c r="F8" s="1" t="str">
        <f aca="false">LEFT(C8, 1)</f>
        <v>D</v>
      </c>
      <c r="G8" s="1" t="str">
        <f aca="false">LEFT(D8, 1)</f>
        <v>B</v>
      </c>
    </row>
    <row r="9" customFormat="false" ht="15.75" hidden="false" customHeight="false" outlineLevel="0" collapsed="false">
      <c r="A9" s="1" t="s">
        <v>52</v>
      </c>
      <c r="B9" s="1" t="n">
        <f aca="false">INDEX(RawResponses!$A:$AL, $B$2, MATCH($A9&amp;"*", RawResponses!$A$1:$AL$1, 0))</f>
        <v>0</v>
      </c>
      <c r="C9" s="1" t="n">
        <f aca="false" t="array" ref="C9:C9">INDEX(RawResponses!$A:$AL, $B$3, MATCH($A9&amp;"*", RawResponses!$A$1:$AL$1, 0))</f>
        <v>75</v>
      </c>
      <c r="D9" s="1" t="n">
        <f aca="false">INDEX(RawResponses!$A:$AL, $B$4, MATCH($A9&amp;"*", RawResponses!$A$1:$AL$1, 0))</f>
        <v>0</v>
      </c>
      <c r="E9" s="1" t="str">
        <f aca="false">IF(B9="","",B9)</f>
        <v/>
      </c>
      <c r="F9" s="1" t="n">
        <f aca="false">IF(C9="","",C9)</f>
        <v>75</v>
      </c>
      <c r="G9" s="1" t="str">
        <f aca="false">IF(D9="","",D9)</f>
        <v/>
      </c>
    </row>
    <row r="10" customFormat="false" ht="15.75" hidden="false" customHeight="false" outlineLevel="0" collapsed="false">
      <c r="A10" s="1" t="s">
        <v>53</v>
      </c>
      <c r="B10" s="1" t="str">
        <f aca="false" t="array" ref="B10:B10">INDEX(RawResponses!$A:$AL, $B$2, MATCH($A10&amp;"*", RawResponses!$A$1:$AL$1, 0))</f>
        <v>B - 20m</v>
      </c>
      <c r="C10" s="1" t="str">
        <f aca="false" t="array" ref="C10:C10">INDEX(RawResponses!$A:$AL, $B$3, MATCH($A10&amp;"*", RawResponses!$A$1:$AL$1, 0))</f>
        <v>D - no limit</v>
      </c>
      <c r="D10" s="1" t="str">
        <f aca="false" t="array" ref="D10:D10">INDEX(RawResponses!$A:$AL, $B$4, MATCH($A10&amp;"*", RawResponses!$A$1:$AL$1, 0))</f>
        <v>B - 20m</v>
      </c>
      <c r="E10" s="1" t="str">
        <f aca="false">LEFT(B10, 1)</f>
        <v>B</v>
      </c>
      <c r="F10" s="1" t="str">
        <f aca="false">LEFT(C10, 1)</f>
        <v>D</v>
      </c>
      <c r="G10" s="1" t="str">
        <f aca="false">LEFT(D10, 1)</f>
        <v>B</v>
      </c>
    </row>
    <row r="11" customFormat="false" ht="15.75" hidden="false" customHeight="false" outlineLevel="0" collapsed="false">
      <c r="A11" s="1" t="s">
        <v>54</v>
      </c>
      <c r="B11" s="1" t="str">
        <f aca="false" t="array" ref="B11:B11">INDEX(RawResponses!$A:$AL, $B$2, MATCH($A11&amp;"*", RawResponses!$A$1:$AL$1, 0))</f>
        <v>A - None at all (Single-level only)</v>
      </c>
      <c r="C11" s="1" t="str">
        <f aca="false" t="array" ref="C11:C11">INDEX(RawResponses!$A:$AL, $B$3, MATCH($A11&amp;"*", RawResponses!$A$1:$AL$1, 0))</f>
        <v>C - Doesn't matter</v>
      </c>
      <c r="D11" s="1" t="str">
        <f aca="false" t="array" ref="D11:D11">INDEX(RawResponses!$A:$AL, $B$4, MATCH($A11&amp;"*", RawResponses!$A$1:$AL$1, 0))</f>
        <v>A - None</v>
      </c>
      <c r="E11" s="1" t="str">
        <f aca="false">LEFT(B11, 1)</f>
        <v>A</v>
      </c>
      <c r="F11" s="1" t="str">
        <f aca="false">LEFT(C11, 1)</f>
        <v>C</v>
      </c>
      <c r="G11" s="1" t="str">
        <f aca="false">LEFT(D11, 1)</f>
        <v>A</v>
      </c>
    </row>
    <row r="12" customFormat="false" ht="15.75" hidden="false" customHeight="false" outlineLevel="0" collapsed="false">
      <c r="A12" s="1" t="s">
        <v>55</v>
      </c>
      <c r="B12" s="1" t="str">
        <f aca="false" t="array" ref="B12:B12">INDEX(RawResponses!$A:$AL, $B$2, MATCH($A12&amp;"*", RawResponses!$A$1:$AL$1, 0))</f>
        <v>C - Courtyard</v>
      </c>
      <c r="C12" s="1" t="str">
        <f aca="false" t="array" ref="C12:C12">INDEX(RawResponses!$A:$AL, $B$3, MATCH($A12&amp;"*", RawResponses!$A$1:$AL$1, 0))</f>
        <v>E - Depends on Garden</v>
      </c>
      <c r="D12" s="1" t="str">
        <f aca="false" t="array" ref="D12:D12">INDEX(RawResponses!$A:$AL, $B$4, MATCH($A12&amp;"*", RawResponses!$A$1:$AL$1, 0))</f>
        <v>C - Courtyard</v>
      </c>
      <c r="E12" s="1" t="str">
        <f aca="false">LEFT(B12, 1)</f>
        <v>C</v>
      </c>
      <c r="F12" s="1" t="str">
        <f aca="false">LEFT(C12, 1)</f>
        <v>E</v>
      </c>
      <c r="G12" s="1" t="str">
        <f aca="false">LEFT(D12, 1)</f>
        <v>C</v>
      </c>
    </row>
    <row r="13" customFormat="false" ht="15.75" hidden="false" customHeight="false" outlineLevel="0" collapsed="false">
      <c r="A13" s="1" t="s">
        <v>56</v>
      </c>
      <c r="B13" s="1" t="str">
        <f aca="false" t="array" ref="B13:B13">INDEX(RawResponses!$A:$AL, $B$2, MATCH($A13&amp;"*", RawResponses!$A$1:$AL$1, 0))</f>
        <v>D - Self-contained space</v>
      </c>
      <c r="C13" s="1" t="n">
        <f aca="false">INDEX(RawResponses!$A:$AL, $B$3, MATCH($A13&amp;"*", RawResponses!$A$1:$AL$1, 0))</f>
        <v>0</v>
      </c>
      <c r="D13" s="1" t="n">
        <f aca="false">INDEX(RawResponses!$A:$AL, $B$4, MATCH($A13&amp;"*", RawResponses!$A$1:$AL$1, 0))</f>
        <v>0</v>
      </c>
      <c r="E13" s="1" t="str">
        <f aca="false">LEFT(B13, 1)</f>
        <v>D</v>
      </c>
      <c r="F13" s="1" t="str">
        <f aca="false">LEFT(C13, 1)</f>
        <v>0</v>
      </c>
      <c r="G13" s="1" t="str">
        <f aca="false">LEFT(D13, 1)</f>
        <v>0</v>
      </c>
    </row>
    <row r="14" customFormat="false" ht="15.75" hidden="false" customHeight="false" outlineLevel="0" collapsed="false">
      <c r="A14" s="1" t="s">
        <v>57</v>
      </c>
      <c r="B14" s="1" t="n">
        <f aca="false">INDEX(RawResponses!$A:$AL, $B$2, MATCH($A14&amp;"*", RawResponses!$A$1:$AL$1, 0))</f>
        <v>0</v>
      </c>
      <c r="C14" s="1" t="n">
        <f aca="false">INDEX(RawResponses!$A:$AL, $B$3, MATCH($A14&amp;"*", RawResponses!$A$1:$AL$1, 0))</f>
        <v>0</v>
      </c>
      <c r="D14" s="1" t="n">
        <f aca="false">INDEX(RawResponses!$A:$AL, $B$4, MATCH($A14&amp;"*", RawResponses!$A$1:$AL$1, 0))</f>
        <v>0</v>
      </c>
      <c r="E14" s="1" t="str">
        <f aca="false">LEFT(B14, 1)</f>
        <v>0</v>
      </c>
      <c r="F14" s="1" t="str">
        <f aca="false">LEFT(C14, 1)</f>
        <v>0</v>
      </c>
      <c r="G14" s="1" t="str">
        <f aca="false">LEFT(D14, 1)</f>
        <v>0</v>
      </c>
    </row>
    <row r="15" customFormat="false" ht="15.75" hidden="false" customHeight="false" outlineLevel="0" collapsed="false">
      <c r="A15" s="1" t="s">
        <v>60</v>
      </c>
      <c r="B15" s="1" t="str">
        <f aca="false" t="array" ref="B15:B15">INDEX(RawResponses!$A:$AL, $B$2, MATCH($A15&amp;"*", RawResponses!$A$1:$AL$1, 0))</f>
        <v>Near family in GW</v>
      </c>
      <c r="C15" s="1" t="str">
        <f aca="false" t="array" ref="C15:C15">INDEX(RawResponses!$A:$AL, $B$3, MATCH($A15&amp;"*", RawResponses!$A$1:$AL$1, 0))</f>
        <v>Near family in GW</v>
      </c>
      <c r="D15" s="1" t="str">
        <f aca="false" t="array" ref="D15:D15">INDEX(RawResponses!$A:$AL, $B$4, MATCH($A15&amp;"*", RawResponses!$A$1:$AL$1, 0))</f>
        <v>Nature</v>
      </c>
      <c r="E15" s="1" t="str">
        <f aca="false">LEFT(B15, 1)</f>
        <v>N</v>
      </c>
      <c r="F15" s="1" t="str">
        <f aca="false">LEFT(C15, 1)</f>
        <v>N</v>
      </c>
      <c r="G15" s="1" t="str">
        <f aca="false">LEFT(D15, 1)</f>
        <v>N</v>
      </c>
    </row>
    <row r="16" customFormat="false" ht="15.75" hidden="false" customHeight="false" outlineLevel="0" collapsed="false">
      <c r="A16" s="1" t="s">
        <v>61</v>
      </c>
      <c r="B16" s="1" t="str">
        <f aca="false" t="array" ref="B16:B16">INDEX(RawResponses!$A:$AL, $B$2, MATCH($A16&amp;"*", RawResponses!$A$1:$AL$1, 0))</f>
        <v>Village character</v>
      </c>
      <c r="C16" s="1" t="str">
        <f aca="false" t="array" ref="C16:C16">INDEX(RawResponses!$A:$AL, $B$3, MATCH($A16&amp;"*", RawResponses!$A$1:$AL$1, 0))</f>
        <v>Village character</v>
      </c>
      <c r="D16" s="1" t="str">
        <f aca="false" t="array" ref="D16:D16">INDEX(RawResponses!$A:$AL, $B$4, MATCH($A16&amp;"*", RawResponses!$A$1:$AL$1, 0))</f>
        <v>Village character</v>
      </c>
      <c r="E16" s="1" t="str">
        <f aca="false">LEFT(B16, 1)</f>
        <v>V</v>
      </c>
      <c r="F16" s="1" t="str">
        <f aca="false">LEFT(C16, 1)</f>
        <v>V</v>
      </c>
      <c r="G16" s="1" t="str">
        <f aca="false">LEFT(D16, 1)</f>
        <v>V</v>
      </c>
    </row>
    <row r="17" customFormat="false" ht="15.75" hidden="false" customHeight="false" outlineLevel="0" collapsed="false">
      <c r="A17" s="1" t="s">
        <v>62</v>
      </c>
      <c r="B17" s="1" t="str">
        <f aca="false" t="array" ref="B17:B17">INDEX(RawResponses!$A:$AL, $B$2, MATCH($A17&amp;"*", RawResponses!$A$1:$AL$1, 0))</f>
        <v>Shops &amp; doctor</v>
      </c>
      <c r="C17" s="1" t="str">
        <f aca="false" t="array" ref="C17:C17">INDEX(RawResponses!$A:$AL, $B$3, MATCH($A17&amp;"*", RawResponses!$A$1:$AL$1, 0))</f>
        <v>Shops &amp; doctor</v>
      </c>
      <c r="D17" s="1" t="str">
        <f aca="false" t="array" ref="D17:D17">INDEX(RawResponses!$A:$AL, $B$4, MATCH($A17&amp;"*", RawResponses!$A$1:$AL$1, 0))</f>
        <v>Shops &amp; doctor</v>
      </c>
      <c r="E17" s="1" t="str">
        <f aca="false">LEFT(B17, 1)</f>
        <v>S</v>
      </c>
      <c r="F17" s="1" t="str">
        <f aca="false">LEFT(C17, 1)</f>
        <v>S</v>
      </c>
      <c r="G17" s="1" t="str">
        <f aca="false">LEFT(D17, 1)</f>
        <v>S</v>
      </c>
    </row>
    <row r="18" customFormat="false" ht="15.75" hidden="false" customHeight="false" outlineLevel="0" collapsed="false">
      <c r="A18" s="1" t="s">
        <v>63</v>
      </c>
      <c r="B18" s="1" t="n">
        <f aca="false">INDEX(RawResponses!$A:$AL, $B$2, MATCH($A18&amp;"*", RawResponses!$A$1:$AL$1, 0))</f>
        <v>0</v>
      </c>
      <c r="C18" s="1" t="n">
        <f aca="false">INDEX(RawResponses!$A:$AL, $B$3, MATCH($A18&amp;"*", RawResponses!$A$1:$AL$1, 0))</f>
        <v>0</v>
      </c>
      <c r="D18" s="1" t="n">
        <f aca="false">INDEX(RawResponses!$A:$AL, $B$4, MATCH($A18&amp;"*", RawResponses!$A$1:$AL$1, 0))</f>
        <v>0</v>
      </c>
      <c r="E18" s="1" t="str">
        <f aca="false">LEFT(B18, 1)</f>
        <v>0</v>
      </c>
      <c r="F18" s="1" t="str">
        <f aca="false">LEFT(C18, 1)</f>
        <v>0</v>
      </c>
      <c r="G18" s="1" t="str">
        <f aca="false">LEFT(D18, 1)</f>
        <v>0</v>
      </c>
    </row>
    <row r="19" customFormat="false" ht="15.75" hidden="false" customHeight="false" outlineLevel="0" collapsed="false">
      <c r="A19" s="1" t="s">
        <v>67</v>
      </c>
      <c r="B19" s="1" t="str">
        <f aca="false" t="array" ref="B19:B19">INDEX(RawResponses!$A:$AL, $B$2, MATCH($A19&amp;"*", RawResponses!$A$1:$AL$1, 0))</f>
        <v>D</v>
      </c>
      <c r="C19" s="1" t="str">
        <f aca="false" t="array" ref="C19:C19">INDEX(RawResponses!$A:$AL, $B$3, MATCH($A19&amp;"*", RawResponses!$A$1:$AL$1, 0))</f>
        <v>D</v>
      </c>
      <c r="D19" s="1" t="str">
        <f aca="false" t="array" ref="D19:D19">INDEX(RawResponses!$A:$AL, $B$4, MATCH($A19&amp;"*", RawResponses!$A$1:$AL$1, 0))</f>
        <v>D</v>
      </c>
      <c r="E19" s="1" t="str">
        <f aca="false">LEFT(B19, 1)</f>
        <v>D</v>
      </c>
      <c r="F19" s="1" t="str">
        <f aca="false">LEFT(C19, 1)</f>
        <v>D</v>
      </c>
      <c r="G19" s="1" t="str">
        <f aca="false">LEFT(D19, 1)</f>
        <v>D</v>
      </c>
    </row>
    <row r="20" customFormat="false" ht="15.75" hidden="false" customHeight="false" outlineLevel="0" collapsed="false">
      <c r="A20" s="1" t="s">
        <v>68</v>
      </c>
      <c r="B20" s="1" t="str">
        <f aca="false" t="array" ref="B20:B20">INDEX(RawResponses!$A:$AL, $B$2, MATCH($A20&amp;"*", RawResponses!$A$1:$AL$1, 0))</f>
        <v>D</v>
      </c>
      <c r="C20" s="1" t="str">
        <f aca="false" t="array" ref="C20:C20">INDEX(RawResponses!$A:$AL, $B$3, MATCH($A20&amp;"*", RawResponses!$A$1:$AL$1, 0))</f>
        <v>D</v>
      </c>
      <c r="D20" s="1" t="str">
        <f aca="false" t="array" ref="D20:D20">INDEX(RawResponses!$A:$AL, $B$4, MATCH($A20&amp;"*", RawResponses!$A$1:$AL$1, 0))</f>
        <v>D</v>
      </c>
      <c r="E20" s="1" t="str">
        <f aca="false">LEFT(B20, 1)</f>
        <v>D</v>
      </c>
      <c r="F20" s="1" t="str">
        <f aca="false">LEFT(C20, 1)</f>
        <v>D</v>
      </c>
      <c r="G20" s="1" t="str">
        <f aca="false">LEFT(D20, 1)</f>
        <v>D</v>
      </c>
    </row>
    <row r="21" customFormat="false" ht="15.75" hidden="false" customHeight="false" outlineLevel="0" collapsed="false">
      <c r="A21" s="1" t="s">
        <v>69</v>
      </c>
      <c r="B21" s="1" t="str">
        <f aca="false" t="array" ref="B21:B21">INDEX(RawResponses!$A:$AL, $B$2, MATCH($A21&amp;"*", RawResponses!$A$1:$AL$1, 0))</f>
        <v>D</v>
      </c>
      <c r="C21" s="1" t="str">
        <f aca="false" t="array" ref="C21:C21">INDEX(RawResponses!$A:$AL, $B$3, MATCH($A21&amp;"*", RawResponses!$A$1:$AL$1, 0))</f>
        <v>C</v>
      </c>
      <c r="D21" s="1" t="str">
        <f aca="false" t="array" ref="D21:D21">INDEX(RawResponses!$A:$AL, $B$4, MATCH($A21&amp;"*", RawResponses!$A$1:$AL$1, 0))</f>
        <v>C</v>
      </c>
      <c r="E21" s="1" t="str">
        <f aca="false">LEFT(B21, 1)</f>
        <v>D</v>
      </c>
      <c r="F21" s="1" t="str">
        <f aca="false">LEFT(C21, 1)</f>
        <v>C</v>
      </c>
      <c r="G21" s="1" t="str">
        <f aca="false">LEFT(D21, 1)</f>
        <v>C</v>
      </c>
    </row>
    <row r="22" customFormat="false" ht="15.75" hidden="false" customHeight="false" outlineLevel="0" collapsed="false">
      <c r="A22" s="1" t="s">
        <v>70</v>
      </c>
      <c r="B22" s="1" t="str">
        <f aca="false" t="array" ref="B22:B22">INDEX(RawResponses!$A:$AL, $B$2, MATCH($A22&amp;"*", RawResponses!$A$1:$AL$1, 0))</f>
        <v>C</v>
      </c>
      <c r="C22" s="1" t="str">
        <f aca="false" t="array" ref="C22:C22">INDEX(RawResponses!$A:$AL, $B$3, MATCH($A22&amp;"*", RawResponses!$A$1:$AL$1, 0))</f>
        <v>C</v>
      </c>
      <c r="D22" s="1" t="str">
        <f aca="false" t="array" ref="D22:D22">INDEX(RawResponses!$A:$AL, $B$4, MATCH($A22&amp;"*", RawResponses!$A$1:$AL$1, 0))</f>
        <v>C</v>
      </c>
      <c r="E22" s="1" t="str">
        <f aca="false">LEFT(B22, 1)</f>
        <v>C</v>
      </c>
      <c r="F22" s="1" t="str">
        <f aca="false">LEFT(C22, 1)</f>
        <v>C</v>
      </c>
      <c r="G22" s="1" t="str">
        <f aca="false">LEFT(D22, 1)</f>
        <v>C</v>
      </c>
    </row>
    <row r="23" customFormat="false" ht="15.75" hidden="false" customHeight="false" outlineLevel="0" collapsed="false">
      <c r="A23" s="1" t="s">
        <v>71</v>
      </c>
      <c r="B23" s="1" t="str">
        <f aca="false" t="array" ref="B23:B23">INDEX(RawResponses!$A:$AL, $B$2, MATCH($A23&amp;"*", RawResponses!$A$1:$AL$1, 0))</f>
        <v>C</v>
      </c>
      <c r="C23" s="1" t="str">
        <f aca="false" t="array" ref="C23:C23">INDEX(RawResponses!$A:$AL, $B$3, MATCH($A23&amp;"*", RawResponses!$A$1:$AL$1, 0))</f>
        <v>C</v>
      </c>
      <c r="D23" s="1" t="str">
        <f aca="false" t="array" ref="D23:D23">INDEX(RawResponses!$A:$AL, $B$4, MATCH($A23&amp;"*", RawResponses!$A$1:$AL$1, 0))</f>
        <v>C</v>
      </c>
      <c r="E23" s="1" t="str">
        <f aca="false">LEFT(B23, 1)</f>
        <v>C</v>
      </c>
      <c r="F23" s="1" t="str">
        <f aca="false">LEFT(C23, 1)</f>
        <v>C</v>
      </c>
      <c r="G23" s="1" t="str">
        <f aca="false">LEFT(D23, 1)</f>
        <v>C</v>
      </c>
    </row>
    <row r="24" customFormat="false" ht="15.75" hidden="false" customHeight="false" outlineLevel="0" collapsed="false">
      <c r="A24" s="1" t="s">
        <v>72</v>
      </c>
      <c r="B24" s="1" t="str">
        <f aca="false" t="array" ref="B24:B24">INDEX(RawResponses!$A:$AL, $B$2, MATCH($A24&amp;"*", RawResponses!$A$1:$AL$1, 0))</f>
        <v>C</v>
      </c>
      <c r="C24" s="1" t="str">
        <f aca="false" t="array" ref="C24:C24">INDEX(RawResponses!$A:$AL, $B$3, MATCH($A24&amp;"*", RawResponses!$A$1:$AL$1, 0))</f>
        <v>C</v>
      </c>
      <c r="D24" s="1" t="str">
        <f aca="false" t="array" ref="D24:D24">INDEX(RawResponses!$A:$AL, $B$4, MATCH($A24&amp;"*", RawResponses!$A$1:$AL$1, 0))</f>
        <v>C</v>
      </c>
      <c r="E24" s="1" t="str">
        <f aca="false">LEFT(B24, 1)</f>
        <v>C</v>
      </c>
      <c r="F24" s="1" t="str">
        <f aca="false">LEFT(C24, 1)</f>
        <v>C</v>
      </c>
      <c r="G24" s="1" t="str">
        <f aca="false">LEFT(D24, 1)</f>
        <v>C</v>
      </c>
    </row>
    <row r="25" customFormat="false" ht="15.75" hidden="false" customHeight="false" outlineLevel="0" collapsed="false">
      <c r="A25" s="1" t="s">
        <v>73</v>
      </c>
      <c r="B25" s="1" t="str">
        <f aca="false" t="array" ref="B25:B25">INDEX(RawResponses!$A:$AL, $B$2, MATCH($A25&amp;"*", RawResponses!$A$1:$AL$1, 0))</f>
        <v>C</v>
      </c>
      <c r="C25" s="1" t="str">
        <f aca="false" t="array" ref="C25:C25">INDEX(RawResponses!$A:$AL, $B$3, MATCH($A25&amp;"*", RawResponses!$A$1:$AL$1, 0))</f>
        <v>C</v>
      </c>
      <c r="D25" s="1" t="str">
        <f aca="false" t="array" ref="D25:D25">INDEX(RawResponses!$A:$AL, $B$4, MATCH($A25&amp;"*", RawResponses!$A$1:$AL$1, 0))</f>
        <v>C</v>
      </c>
      <c r="E25" s="1" t="str">
        <f aca="false">LEFT(B25, 1)</f>
        <v>C</v>
      </c>
      <c r="F25" s="1" t="str">
        <f aca="false">LEFT(C25, 1)</f>
        <v>C</v>
      </c>
      <c r="G25" s="1" t="str">
        <f aca="false">LEFT(D25, 1)</f>
        <v>C</v>
      </c>
    </row>
    <row r="26" customFormat="false" ht="15.75" hidden="false" customHeight="false" outlineLevel="0" collapsed="false">
      <c r="A26" s="1" t="s">
        <v>74</v>
      </c>
      <c r="B26" s="1" t="str">
        <f aca="false" t="array" ref="B26:B26">INDEX(RawResponses!$A:$AL, $B$2, MATCH($A26&amp;"*", RawResponses!$A$1:$AL$1, 0))</f>
        <v>C</v>
      </c>
      <c r="C26" s="1" t="str">
        <f aca="false" t="array" ref="C26:C26">INDEX(RawResponses!$A:$AL, $B$3, MATCH($A26&amp;"*", RawResponses!$A$1:$AL$1, 0))</f>
        <v>C</v>
      </c>
      <c r="D26" s="1" t="str">
        <f aca="false" t="array" ref="D26:D26">INDEX(RawResponses!$A:$AL, $B$4, MATCH($A26&amp;"*", RawResponses!$A$1:$AL$1, 0))</f>
        <v>C</v>
      </c>
      <c r="E26" s="1" t="str">
        <f aca="false">LEFT(B26, 1)</f>
        <v>C</v>
      </c>
      <c r="F26" s="1" t="str">
        <f aca="false">LEFT(C26, 1)</f>
        <v>C</v>
      </c>
      <c r="G26" s="1" t="str">
        <f aca="false">LEFT(D26, 1)</f>
        <v>C</v>
      </c>
    </row>
    <row r="27" customFormat="false" ht="15.75" hidden="false" customHeight="false" outlineLevel="0" collapsed="false">
      <c r="A27" s="1" t="s">
        <v>75</v>
      </c>
      <c r="B27" s="1" t="str">
        <f aca="false" t="array" ref="B27:B27">INDEX(RawResponses!$A:$AL, $B$2, MATCH($A27&amp;"*", RawResponses!$A$1:$AL$1, 0))</f>
        <v>C</v>
      </c>
      <c r="C27" s="1" t="str">
        <f aca="false" t="array" ref="C27:C27">INDEX(RawResponses!$A:$AL, $B$3, MATCH($A27&amp;"*", RawResponses!$A$1:$AL$1, 0))</f>
        <v>C</v>
      </c>
      <c r="D27" s="1" t="str">
        <f aca="false" t="array" ref="D27:D27">INDEX(RawResponses!$A:$AL, $B$4, MATCH($A27&amp;"*", RawResponses!$A$1:$AL$1, 0))</f>
        <v>C</v>
      </c>
      <c r="E27" s="1" t="str">
        <f aca="false">LEFT(B27, 1)</f>
        <v>C</v>
      </c>
      <c r="F27" s="1" t="str">
        <f aca="false">LEFT(C27, 1)</f>
        <v>C</v>
      </c>
      <c r="G27" s="1" t="str">
        <f aca="false">LEFT(D27, 1)</f>
        <v>C</v>
      </c>
    </row>
    <row r="28" customFormat="false" ht="15.75" hidden="false" customHeight="false" outlineLevel="0" collapsed="false">
      <c r="A28" s="1" t="s">
        <v>76</v>
      </c>
      <c r="B28" s="1" t="str">
        <f aca="false" t="array" ref="B28:B28">INDEX(RawResponses!$A:$AL, $B$2, MATCH($A28&amp;"*", RawResponses!$A$1:$AL$1, 0))</f>
        <v>C</v>
      </c>
      <c r="C28" s="1" t="str">
        <f aca="false" t="array" ref="C28:C28">INDEX(RawResponses!$A:$AL, $B$3, MATCH($A28&amp;"*", RawResponses!$A$1:$AL$1, 0))</f>
        <v>C</v>
      </c>
      <c r="D28" s="1" t="str">
        <f aca="false" t="array" ref="D28:D28">INDEX(RawResponses!$A:$AL, $B$4, MATCH($A28&amp;"*", RawResponses!$A$1:$AL$1, 0))</f>
        <v>C</v>
      </c>
      <c r="E28" s="1" t="str">
        <f aca="false">LEFT(B28, 1)</f>
        <v>C</v>
      </c>
      <c r="F28" s="1" t="str">
        <f aca="false">LEFT(C28, 1)</f>
        <v>C</v>
      </c>
      <c r="G28" s="1" t="str">
        <f aca="false">LEFT(D28, 1)</f>
        <v>C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115</v>
      </c>
      <c r="B1" s="1" t="s">
        <v>116</v>
      </c>
      <c r="C1" s="1" t="s">
        <v>15</v>
      </c>
      <c r="D1" s="1" t="s">
        <v>117</v>
      </c>
    </row>
    <row r="2" customFormat="false" ht="15.75" hidden="false" customHeight="false" outlineLevel="0" collapsed="false">
      <c r="A2" s="1" t="s">
        <v>118</v>
      </c>
      <c r="B2" s="1" t="n">
        <v>1500000</v>
      </c>
      <c r="C2" s="1" t="s">
        <v>119</v>
      </c>
      <c r="D2" s="7" t="n">
        <v>1250000</v>
      </c>
    </row>
    <row r="3" customFormat="false" ht="15.75" hidden="false" customHeight="false" outlineLevel="0" collapsed="false">
      <c r="A3" s="1" t="s">
        <v>120</v>
      </c>
      <c r="B3" s="1" t="n">
        <f aca="false">B2 * (1 + Settings!B6)</f>
        <v>1590000</v>
      </c>
      <c r="C3" s="1" t="s">
        <v>121</v>
      </c>
    </row>
    <row r="4" customFormat="false" ht="15.75" hidden="false" customHeight="false" outlineLevel="0" collapsed="false">
      <c r="A4" s="1" t="s">
        <v>122</v>
      </c>
      <c r="B4" s="1" t="n">
        <v>90</v>
      </c>
      <c r="C4" s="1" t="s">
        <v>123</v>
      </c>
      <c r="D4" s="1" t="n">
        <f aca="false"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>25</v>
      </c>
    </row>
    <row r="5" customFormat="false" ht="15.75" hidden="false" customHeight="false" outlineLevel="0" collapsed="false">
      <c r="A5" s="1" t="s">
        <v>124</v>
      </c>
      <c r="B5" s="1" t="n">
        <v>90</v>
      </c>
      <c r="C5" s="1" t="s">
        <v>125</v>
      </c>
    </row>
    <row r="6" customFormat="false" ht="15.75" hidden="false" customHeight="false" outlineLevel="0" collapsed="false">
      <c r="A6" s="1" t="s">
        <v>126</v>
      </c>
      <c r="B6" s="1" t="s">
        <v>127</v>
      </c>
      <c r="C6" s="7" t="s">
        <v>128</v>
      </c>
      <c r="D6" s="7" t="str">
        <f aca="false">IF(COUNTIF(CleanedAnswers!E11:G11, "A")&gt;0, "A — None at all (Single-level only)", "Check")</f>
        <v>A — None at all (Single-level only)</v>
      </c>
    </row>
    <row r="7" customFormat="false" ht="15.75" hidden="false" customHeight="false" outlineLevel="0" collapsed="false">
      <c r="A7" s="1" t="s">
        <v>129</v>
      </c>
      <c r="B7" s="1" t="s">
        <v>130</v>
      </c>
    </row>
    <row r="8" customFormat="false" ht="15.75" hidden="false" customHeight="false" outlineLevel="0" collapsed="false">
      <c r="A8" s="1" t="s">
        <v>131</v>
      </c>
      <c r="B8" s="1" t="s">
        <v>132</v>
      </c>
    </row>
    <row r="9" customFormat="false" ht="15.75" hidden="false" customHeight="false" outlineLevel="0" collapsed="false">
      <c r="A9" s="1" t="s">
        <v>133</v>
      </c>
      <c r="B9" s="1" t="s">
        <v>134</v>
      </c>
      <c r="C9" s="1" t="s">
        <v>135</v>
      </c>
    </row>
    <row r="10" customFormat="false" ht="15.75" hidden="false" customHeight="false" outlineLevel="0" collapsed="false">
      <c r="A10" s="1" t="s">
        <v>136</v>
      </c>
      <c r="B10" s="1" t="s">
        <v>137</v>
      </c>
      <c r="C10" s="1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139</v>
      </c>
      <c r="B1" s="1" t="s">
        <v>112</v>
      </c>
      <c r="C1" s="1" t="s">
        <v>113</v>
      </c>
      <c r="D1" s="1" t="s">
        <v>114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</row>
    <row r="2" customFormat="false" ht="15.75" hidden="false" customHeight="false" outlineLevel="0" collapsed="false">
      <c r="A2" s="1" t="s">
        <v>89</v>
      </c>
      <c r="B2" s="1" t="str">
        <f aca="false">CleanedAnswers!E19</f>
        <v>D</v>
      </c>
      <c r="C2" s="1" t="str">
        <f aca="false">CleanedAnswers!F19</f>
        <v>D</v>
      </c>
      <c r="D2" s="1" t="str">
        <f aca="false">CleanedAnswers!G19</f>
        <v>D</v>
      </c>
      <c r="E2" s="1" t="n">
        <f aca="false">VLOOKUP(B2, Settings!$A$10:$C$13, 3, FALSE())</f>
        <v>4</v>
      </c>
      <c r="F2" s="1" t="n">
        <f aca="false">VLOOKUP(C2, Settings!$A$10:$C$13, 3, FALSE())</f>
        <v>4</v>
      </c>
      <c r="G2" s="1" t="n">
        <f aca="false">VLOOKUP(D2, Settings!$A$10:$C$13, 3, FALSE())</f>
        <v>4</v>
      </c>
      <c r="H2" s="1" t="n">
        <f aca="false">E2/SUM(E$2:E$11)</f>
        <v>0.153846153846154</v>
      </c>
      <c r="I2" s="1" t="n">
        <f aca="false">F2/SUM(F$2:F$11)</f>
        <v>0.166666666666667</v>
      </c>
      <c r="J2" s="1" t="n">
        <f aca="false">G2/SUM(G$2:G$11)</f>
        <v>0.166666666666667</v>
      </c>
      <c r="K2" s="1" t="n">
        <f aca="false">(H2*Settings!$B$2 + I2*Settings!$B$3 + J2*Settings!$B$4)/(Settings!$B$2+Settings!$B$3+Settings!$B$4)</f>
        <v>0.162393162393162</v>
      </c>
    </row>
    <row r="3" customFormat="false" ht="15.75" hidden="false" customHeight="false" outlineLevel="0" collapsed="false">
      <c r="A3" s="1" t="s">
        <v>100</v>
      </c>
      <c r="B3" s="1" t="str">
        <f aca="false">CleanedAnswers!E20</f>
        <v>D</v>
      </c>
      <c r="C3" s="1" t="str">
        <f aca="false">CleanedAnswers!F20</f>
        <v>D</v>
      </c>
      <c r="D3" s="1" t="str">
        <f aca="false">CleanedAnswers!G20</f>
        <v>D</v>
      </c>
      <c r="E3" s="1" t="n">
        <f aca="false">VLOOKUP(B3, Settings!$A$10:$C$13, 3, FALSE())</f>
        <v>4</v>
      </c>
      <c r="F3" s="1" t="n">
        <f aca="false">VLOOKUP(C3, Settings!$A$10:$C$13, 3, FALSE())</f>
        <v>4</v>
      </c>
      <c r="G3" s="1" t="n">
        <f aca="false">VLOOKUP(D3, Settings!$A$10:$C$13, 3, FALSE())</f>
        <v>4</v>
      </c>
      <c r="H3" s="1" t="n">
        <f aca="false">E3/SUM(E$2:E$11)</f>
        <v>0.153846153846154</v>
      </c>
      <c r="I3" s="1" t="n">
        <f aca="false">F3/SUM(F$2:F$11)</f>
        <v>0.166666666666667</v>
      </c>
      <c r="J3" s="1" t="n">
        <f aca="false">G3/SUM(G$2:G$11)</f>
        <v>0.166666666666667</v>
      </c>
      <c r="K3" s="1" t="n">
        <f aca="false">(H3*Settings!$B$2 + I3*Settings!$B$3 + J3*Settings!$B$4)/(Settings!$B$2+Settings!$B$3+Settings!$B$4)</f>
        <v>0.162393162393162</v>
      </c>
    </row>
    <row r="4" customFormat="false" ht="15.75" hidden="false" customHeight="false" outlineLevel="0" collapsed="false">
      <c r="A4" s="1" t="s">
        <v>147</v>
      </c>
      <c r="B4" s="1" t="str">
        <f aca="false">CleanedAnswers!E21</f>
        <v>D</v>
      </c>
      <c r="C4" s="1" t="str">
        <f aca="false">CleanedAnswers!F21</f>
        <v>C</v>
      </c>
      <c r="D4" s="1" t="str">
        <f aca="false">CleanedAnswers!G21</f>
        <v>C</v>
      </c>
      <c r="E4" s="1" t="n">
        <f aca="false">VLOOKUP(B4, Settings!$A$10:$C$13, 3, FALSE())</f>
        <v>4</v>
      </c>
      <c r="F4" s="1" t="n">
        <f aca="false">VLOOKUP(C4, Settings!$A$10:$C$13, 3, FALSE())</f>
        <v>2</v>
      </c>
      <c r="G4" s="1" t="n">
        <f aca="false">VLOOKUP(D4, Settings!$A$10:$C$13, 3, FALSE())</f>
        <v>2</v>
      </c>
      <c r="H4" s="1" t="n">
        <f aca="false">E4/SUM(E$2:E$11)</f>
        <v>0.153846153846154</v>
      </c>
      <c r="I4" s="1" t="n">
        <f aca="false">F4/SUM(F$2:F$11)</f>
        <v>0.0833333333333333</v>
      </c>
      <c r="J4" s="1" t="n">
        <f aca="false">G4/SUM(G$2:G$11)</f>
        <v>0.0833333333333333</v>
      </c>
      <c r="K4" s="1" t="n">
        <f aca="false">(H4*Settings!$B$2 + I4*Settings!$B$3 + J4*Settings!$B$4)/(Settings!$B$2+Settings!$B$3+Settings!$B$4)</f>
        <v>0.106837606837607</v>
      </c>
    </row>
    <row r="5" customFormat="false" ht="15.75" hidden="false" customHeight="false" outlineLevel="0" collapsed="false">
      <c r="A5" s="1" t="s">
        <v>148</v>
      </c>
      <c r="B5" s="1" t="str">
        <f aca="false">CleanedAnswers!E22</f>
        <v>C</v>
      </c>
      <c r="C5" s="1" t="str">
        <f aca="false">CleanedAnswers!F22</f>
        <v>C</v>
      </c>
      <c r="D5" s="1" t="str">
        <f aca="false">CleanedAnswers!G22</f>
        <v>C</v>
      </c>
      <c r="E5" s="1" t="n">
        <f aca="false">VLOOKUP(B5, Settings!$A$10:$C$13, 3, FALSE())</f>
        <v>2</v>
      </c>
      <c r="F5" s="1" t="n">
        <f aca="false">VLOOKUP(C5, Settings!$A$10:$C$13, 3, FALSE())</f>
        <v>2</v>
      </c>
      <c r="G5" s="1" t="n">
        <f aca="false">VLOOKUP(D5, Settings!$A$10:$C$13, 3, FALSE())</f>
        <v>2</v>
      </c>
      <c r="H5" s="1" t="n">
        <f aca="false">E5/SUM(E$2:E$11)</f>
        <v>0.0769230769230769</v>
      </c>
      <c r="I5" s="1" t="n">
        <f aca="false">F5/SUM(F$2:F$11)</f>
        <v>0.0833333333333333</v>
      </c>
      <c r="J5" s="1" t="n">
        <f aca="false">G5/SUM(G$2:G$11)</f>
        <v>0.0833333333333333</v>
      </c>
      <c r="K5" s="1" t="n">
        <f aca="false">(H5*Settings!$B$2 + I5*Settings!$B$3 + J5*Settings!$B$4)/(Settings!$B$2+Settings!$B$3+Settings!$B$4)</f>
        <v>0.0811965811965812</v>
      </c>
    </row>
    <row r="6" customFormat="false" ht="15.75" hidden="false" customHeight="false" outlineLevel="0" collapsed="false">
      <c r="A6" s="1" t="s">
        <v>149</v>
      </c>
      <c r="B6" s="1" t="str">
        <f aca="false">CleanedAnswers!E23</f>
        <v>C</v>
      </c>
      <c r="C6" s="1" t="str">
        <f aca="false">CleanedAnswers!F23</f>
        <v>C</v>
      </c>
      <c r="D6" s="1" t="str">
        <f aca="false">CleanedAnswers!G23</f>
        <v>C</v>
      </c>
      <c r="E6" s="1" t="n">
        <f aca="false">VLOOKUP(B6, Settings!$A$10:$C$13, 3, FALSE())</f>
        <v>2</v>
      </c>
      <c r="F6" s="1" t="n">
        <f aca="false">VLOOKUP(C6, Settings!$A$10:$C$13, 3, FALSE())</f>
        <v>2</v>
      </c>
      <c r="G6" s="1" t="n">
        <f aca="false">VLOOKUP(D6, Settings!$A$10:$C$13, 3, FALSE())</f>
        <v>2</v>
      </c>
      <c r="H6" s="1" t="n">
        <f aca="false">E6/SUM(E$2:E$11)</f>
        <v>0.0769230769230769</v>
      </c>
      <c r="I6" s="1" t="n">
        <f aca="false">F6/SUM(F$2:F$11)</f>
        <v>0.0833333333333333</v>
      </c>
      <c r="J6" s="1" t="n">
        <f aca="false">G6/SUM(G$2:G$11)</f>
        <v>0.0833333333333333</v>
      </c>
      <c r="K6" s="1" t="n">
        <f aca="false">(H6*Settings!$B$2 + I6*Settings!$B$3 + J6*Settings!$B$4)/(Settings!$B$2+Settings!$B$3+Settings!$B$4)</f>
        <v>0.0811965811965812</v>
      </c>
    </row>
    <row r="7" customFormat="false" ht="15.75" hidden="false" customHeight="false" outlineLevel="0" collapsed="false">
      <c r="A7" s="1" t="s">
        <v>150</v>
      </c>
      <c r="B7" s="1" t="str">
        <f aca="false">CleanedAnswers!E24</f>
        <v>C</v>
      </c>
      <c r="C7" s="1" t="str">
        <f aca="false">CleanedAnswers!F24</f>
        <v>C</v>
      </c>
      <c r="D7" s="1" t="str">
        <f aca="false">CleanedAnswers!G24</f>
        <v>C</v>
      </c>
      <c r="E7" s="1" t="n">
        <f aca="false">VLOOKUP(B7, Settings!$A$10:$C$13, 3, FALSE())</f>
        <v>2</v>
      </c>
      <c r="F7" s="1" t="n">
        <f aca="false">VLOOKUP(C7, Settings!$A$10:$C$13, 3, FALSE())</f>
        <v>2</v>
      </c>
      <c r="G7" s="1" t="n">
        <f aca="false">VLOOKUP(D7, Settings!$A$10:$C$13, 3, FALSE())</f>
        <v>2</v>
      </c>
      <c r="H7" s="1" t="n">
        <f aca="false">E7/SUM(E$2:E$11)</f>
        <v>0.0769230769230769</v>
      </c>
      <c r="I7" s="1" t="n">
        <f aca="false">F7/SUM(F$2:F$11)</f>
        <v>0.0833333333333333</v>
      </c>
      <c r="J7" s="1" t="n">
        <f aca="false">G7/SUM(G$2:G$11)</f>
        <v>0.0833333333333333</v>
      </c>
      <c r="K7" s="1" t="n">
        <f aca="false">(H7*Settings!$B$2 + I7*Settings!$B$3 + J7*Settings!$B$4)/(Settings!$B$2+Settings!$B$3+Settings!$B$4)</f>
        <v>0.0811965811965812</v>
      </c>
    </row>
    <row r="8" customFormat="false" ht="15.75" hidden="false" customHeight="false" outlineLevel="0" collapsed="false">
      <c r="A8" s="1" t="s">
        <v>151</v>
      </c>
      <c r="B8" s="1" t="str">
        <f aca="false">CleanedAnswers!E25</f>
        <v>C</v>
      </c>
      <c r="C8" s="1" t="str">
        <f aca="false">CleanedAnswers!F25</f>
        <v>C</v>
      </c>
      <c r="D8" s="1" t="str">
        <f aca="false">CleanedAnswers!G25</f>
        <v>C</v>
      </c>
      <c r="E8" s="1" t="n">
        <f aca="false">VLOOKUP(B8, Settings!$A$10:$C$13, 3, FALSE())</f>
        <v>2</v>
      </c>
      <c r="F8" s="1" t="n">
        <f aca="false">VLOOKUP(C8, Settings!$A$10:$C$13, 3, FALSE())</f>
        <v>2</v>
      </c>
      <c r="G8" s="1" t="n">
        <f aca="false">VLOOKUP(D8, Settings!$A$10:$C$13, 3, FALSE())</f>
        <v>2</v>
      </c>
      <c r="H8" s="1" t="n">
        <f aca="false">E8/SUM(E$2:E$11)</f>
        <v>0.0769230769230769</v>
      </c>
      <c r="I8" s="1" t="n">
        <f aca="false">F8/SUM(F$2:F$11)</f>
        <v>0.0833333333333333</v>
      </c>
      <c r="J8" s="1" t="n">
        <f aca="false">G8/SUM(G$2:G$11)</f>
        <v>0.0833333333333333</v>
      </c>
      <c r="K8" s="1" t="n">
        <f aca="false">(H8*Settings!$B$2 + I8*Settings!$B$3 + J8*Settings!$B$4)/(Settings!$B$2+Settings!$B$3+Settings!$B$4)</f>
        <v>0.0811965811965812</v>
      </c>
    </row>
    <row r="9" customFormat="false" ht="15.75" hidden="false" customHeight="false" outlineLevel="0" collapsed="false">
      <c r="A9" s="1" t="s">
        <v>90</v>
      </c>
      <c r="B9" s="1" t="str">
        <f aca="false">CleanedAnswers!E26</f>
        <v>C</v>
      </c>
      <c r="C9" s="1" t="str">
        <f aca="false">CleanedAnswers!F26</f>
        <v>C</v>
      </c>
      <c r="D9" s="1" t="str">
        <f aca="false">CleanedAnswers!G26</f>
        <v>C</v>
      </c>
      <c r="E9" s="1" t="n">
        <f aca="false">VLOOKUP(B9, Settings!$A$10:$C$13, 3, FALSE())</f>
        <v>2</v>
      </c>
      <c r="F9" s="1" t="n">
        <f aca="false">VLOOKUP(C9, Settings!$A$10:$C$13, 3, FALSE())</f>
        <v>2</v>
      </c>
      <c r="G9" s="1" t="n">
        <f aca="false">VLOOKUP(D9, Settings!$A$10:$C$13, 3, FALSE())</f>
        <v>2</v>
      </c>
      <c r="H9" s="1" t="n">
        <f aca="false">E9/SUM(E$2:E$11)</f>
        <v>0.0769230769230769</v>
      </c>
      <c r="I9" s="1" t="n">
        <f aca="false">F9/SUM(F$2:F$11)</f>
        <v>0.0833333333333333</v>
      </c>
      <c r="J9" s="1" t="n">
        <f aca="false">G9/SUM(G$2:G$11)</f>
        <v>0.0833333333333333</v>
      </c>
      <c r="K9" s="1" t="n">
        <f aca="false">(H9*Settings!$B$2 + I9*Settings!$B$3 + J9*Settings!$B$4)/(Settings!$B$2+Settings!$B$3+Settings!$B$4)</f>
        <v>0.0811965811965812</v>
      </c>
    </row>
    <row r="10" customFormat="false" ht="15.75" hidden="false" customHeight="false" outlineLevel="0" collapsed="false">
      <c r="A10" s="1" t="s">
        <v>152</v>
      </c>
      <c r="B10" s="1" t="str">
        <f aca="false">CleanedAnswers!E27</f>
        <v>C</v>
      </c>
      <c r="C10" s="1" t="str">
        <f aca="false">CleanedAnswers!F27</f>
        <v>C</v>
      </c>
      <c r="D10" s="1" t="str">
        <f aca="false">CleanedAnswers!G27</f>
        <v>C</v>
      </c>
      <c r="E10" s="1" t="n">
        <f aca="false">VLOOKUP(B10, Settings!$A$10:$C$13, 3, FALSE())</f>
        <v>2</v>
      </c>
      <c r="F10" s="1" t="n">
        <f aca="false">VLOOKUP(C10, Settings!$A$10:$C$13, 3, FALSE())</f>
        <v>2</v>
      </c>
      <c r="G10" s="1" t="n">
        <f aca="false">VLOOKUP(D10, Settings!$A$10:$C$13, 3, FALSE())</f>
        <v>2</v>
      </c>
      <c r="H10" s="1" t="n">
        <f aca="false">E10/SUM(E$2:E$11)</f>
        <v>0.0769230769230769</v>
      </c>
      <c r="I10" s="1" t="n">
        <f aca="false">F10/SUM(F$2:F$11)</f>
        <v>0.0833333333333333</v>
      </c>
      <c r="J10" s="1" t="n">
        <f aca="false">G10/SUM(G$2:G$11)</f>
        <v>0.0833333333333333</v>
      </c>
      <c r="K10" s="1" t="n">
        <f aca="false">(H10*Settings!$B$2 + I10*Settings!$B$3 + J10*Settings!$B$4)/(Settings!$B$2+Settings!$B$3+Settings!$B$4)</f>
        <v>0.0811965811965812</v>
      </c>
    </row>
    <row r="11" customFormat="false" ht="15.75" hidden="false" customHeight="false" outlineLevel="0" collapsed="false">
      <c r="A11" s="1" t="s">
        <v>153</v>
      </c>
      <c r="B11" s="1" t="str">
        <f aca="false">CleanedAnswers!E28</f>
        <v>C</v>
      </c>
      <c r="C11" s="1" t="str">
        <f aca="false">CleanedAnswers!F28</f>
        <v>C</v>
      </c>
      <c r="D11" s="1" t="str">
        <f aca="false">CleanedAnswers!G28</f>
        <v>C</v>
      </c>
      <c r="E11" s="1" t="n">
        <f aca="false">VLOOKUP(B11, Settings!$A$10:$C$13, 3, FALSE())</f>
        <v>2</v>
      </c>
      <c r="F11" s="1" t="n">
        <f aca="false">VLOOKUP(C11, Settings!$A$10:$C$13, 3, FALSE())</f>
        <v>2</v>
      </c>
      <c r="G11" s="1" t="n">
        <f aca="false">VLOOKUP(D11, Settings!$A$10:$C$13, 3, FALSE())</f>
        <v>2</v>
      </c>
      <c r="H11" s="1" t="n">
        <f aca="false">E11/SUM(E$2:E$11)</f>
        <v>0.0769230769230769</v>
      </c>
      <c r="I11" s="1" t="n">
        <f aca="false">F11/SUM(F$2:F$11)</f>
        <v>0.0833333333333333</v>
      </c>
      <c r="J11" s="1" t="n">
        <f aca="false">G11/SUM(G$2:G$11)</f>
        <v>0.0833333333333333</v>
      </c>
      <c r="K11" s="1" t="n">
        <f aca="false">(H11*Settings!$B$2 + I11*Settings!$B$3 + J11*Settings!$B$4)/(Settings!$B$2+Settings!$B$3+Settings!$B$4)</f>
        <v>0.0811965811965812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154</v>
      </c>
      <c r="B1" s="1" t="s">
        <v>155</v>
      </c>
    </row>
    <row r="2" customFormat="false" ht="15.75" hidden="false" customHeight="false" outlineLevel="0" collapsed="false">
      <c r="A2" s="1" t="s">
        <v>156</v>
      </c>
      <c r="B2" s="1" t="s">
        <v>157</v>
      </c>
    </row>
    <row r="3" customFormat="false" ht="15.75" hidden="false" customHeight="false" outlineLevel="0" collapsed="false">
      <c r="A3" s="1" t="s">
        <v>158</v>
      </c>
      <c r="B3" s="1" t="s">
        <v>159</v>
      </c>
    </row>
    <row r="5" customFormat="false" ht="15.75" hidden="false" customHeight="false" outlineLevel="0" collapsed="false">
      <c r="A5" s="1" t="s">
        <v>160</v>
      </c>
      <c r="B5" s="1" t="s">
        <v>35</v>
      </c>
    </row>
    <row r="6" customFormat="false" ht="15.75" hidden="false" customHeight="false" outlineLevel="0" collapsed="false">
      <c r="A6" s="1" t="s">
        <v>100</v>
      </c>
      <c r="B6" s="1" t="n">
        <v>0.153</v>
      </c>
    </row>
    <row r="7" customFormat="false" ht="15.75" hidden="false" customHeight="false" outlineLevel="0" collapsed="false">
      <c r="A7" s="1" t="s">
        <v>89</v>
      </c>
      <c r="B7" s="1" t="n">
        <v>0.133</v>
      </c>
    </row>
    <row r="8" customFormat="false" ht="15.75" hidden="false" customHeight="false" outlineLevel="0" collapsed="false">
      <c r="A8" s="1" t="s">
        <v>149</v>
      </c>
      <c r="B8" s="1" t="n">
        <v>0.133</v>
      </c>
    </row>
    <row r="9" customFormat="false" ht="15.75" hidden="false" customHeight="false" outlineLevel="0" collapsed="false">
      <c r="A9" s="1" t="s">
        <v>147</v>
      </c>
      <c r="B9" s="1" t="n">
        <v>0.117</v>
      </c>
    </row>
    <row r="10" customFormat="false" ht="15.75" hidden="false" customHeight="false" outlineLevel="0" collapsed="false">
      <c r="A10" s="1" t="s">
        <v>91</v>
      </c>
      <c r="B10" s="1" t="n">
        <v>0.108</v>
      </c>
    </row>
    <row r="11" customFormat="false" ht="15.75" hidden="false" customHeight="false" outlineLevel="0" collapsed="false">
      <c r="A11" s="1" t="s">
        <v>90</v>
      </c>
      <c r="B11" s="1" t="n">
        <v>0.088</v>
      </c>
    </row>
    <row r="12" customFormat="false" ht="15.75" hidden="false" customHeight="false" outlineLevel="0" collapsed="false">
      <c r="A12" s="1" t="s">
        <v>150</v>
      </c>
      <c r="B12" s="1" t="n">
        <v>0.081</v>
      </c>
    </row>
    <row r="13" customFormat="false" ht="15.75" hidden="false" customHeight="false" outlineLevel="0" collapsed="false">
      <c r="A13" s="1" t="s">
        <v>152</v>
      </c>
      <c r="B13" s="1" t="n">
        <v>0.081</v>
      </c>
    </row>
    <row r="14" customFormat="false" ht="15.75" hidden="false" customHeight="false" outlineLevel="0" collapsed="false">
      <c r="A14" s="1" t="s">
        <v>148</v>
      </c>
      <c r="B14" s="1" t="n">
        <v>0.061</v>
      </c>
    </row>
    <row r="15" customFormat="false" ht="15.75" hidden="false" customHeight="false" outlineLevel="0" collapsed="false">
      <c r="A15" s="1" t="s">
        <v>161</v>
      </c>
      <c r="B15" s="1" t="n">
        <v>0.045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41.75" hidden="false" customHeight="false" outlineLevel="0" collapsed="false">
      <c r="A1" s="2" t="s">
        <v>162</v>
      </c>
      <c r="B1" s="2" t="s">
        <v>163</v>
      </c>
      <c r="C1" s="2" t="s">
        <v>164</v>
      </c>
      <c r="D1" s="2" t="s">
        <v>165</v>
      </c>
      <c r="E1" s="2" t="s">
        <v>166</v>
      </c>
      <c r="F1" s="2" t="s">
        <v>167</v>
      </c>
      <c r="G1" s="2" t="s">
        <v>168</v>
      </c>
      <c r="H1" s="2" t="s">
        <v>169</v>
      </c>
      <c r="I1" s="2" t="s">
        <v>170</v>
      </c>
      <c r="J1" s="2" t="s">
        <v>171</v>
      </c>
      <c r="K1" s="2" t="s">
        <v>172</v>
      </c>
      <c r="L1" s="2" t="s">
        <v>173</v>
      </c>
      <c r="M1" s="2" t="s">
        <v>174</v>
      </c>
      <c r="N1" s="2" t="s">
        <v>175</v>
      </c>
      <c r="O1" s="2" t="s">
        <v>176</v>
      </c>
      <c r="P1" s="2" t="s">
        <v>177</v>
      </c>
      <c r="Q1" s="2" t="s">
        <v>178</v>
      </c>
      <c r="R1" s="2" t="s">
        <v>179</v>
      </c>
      <c r="S1" s="2" t="s">
        <v>180</v>
      </c>
      <c r="T1" s="2" t="s">
        <v>181</v>
      </c>
      <c r="U1" s="2" t="s">
        <v>182</v>
      </c>
      <c r="V1" s="2" t="s">
        <v>183</v>
      </c>
      <c r="W1" s="2" t="s">
        <v>184</v>
      </c>
      <c r="X1" s="2" t="s">
        <v>185</v>
      </c>
      <c r="Y1" s="2" t="s">
        <v>186</v>
      </c>
      <c r="Z1" s="2" t="s">
        <v>187</v>
      </c>
      <c r="AA1" s="7" t="s">
        <v>188</v>
      </c>
      <c r="AB1" s="1" t="s">
        <v>189</v>
      </c>
      <c r="AC1" s="1" t="s">
        <v>190</v>
      </c>
      <c r="AD1" s="1" t="s">
        <v>191</v>
      </c>
      <c r="AE1" s="8" t="s">
        <v>192</v>
      </c>
      <c r="AF1" s="8" t="s">
        <v>193</v>
      </c>
      <c r="AG1" s="8" t="s">
        <v>194</v>
      </c>
      <c r="AH1" s="8" t="s">
        <v>195</v>
      </c>
      <c r="AI1" s="8" t="s">
        <v>196</v>
      </c>
      <c r="AJ1" s="8" t="s">
        <v>197</v>
      </c>
    </row>
    <row r="2" customFormat="false" ht="15.75" hidden="false" customHeight="false" outlineLevel="0" collapsed="false">
      <c r="A2" s="3" t="s">
        <v>198</v>
      </c>
      <c r="B2" s="3" t="s">
        <v>199</v>
      </c>
      <c r="C2" s="3" t="s">
        <v>200</v>
      </c>
      <c r="D2" s="3" t="s">
        <v>201</v>
      </c>
      <c r="E2" s="3" t="s">
        <v>202</v>
      </c>
      <c r="F2" s="3" t="s">
        <v>203</v>
      </c>
      <c r="G2" s="3" t="n">
        <v>1600000</v>
      </c>
      <c r="H2" s="3" t="s">
        <v>204</v>
      </c>
      <c r="I2" s="3" t="n">
        <f aca="false" t="array" ref="I2:I90">IF(ISNUMBER(G2:G90), IF(G2:G90&gt;0, G2:G90 * (1 + Settings!$B$6), ""), "")</f>
        <v>1696000</v>
      </c>
      <c r="J2" s="4" t="n">
        <v>11</v>
      </c>
      <c r="K2" s="4" t="n">
        <v>7</v>
      </c>
      <c r="L2" s="3" t="s">
        <v>205</v>
      </c>
      <c r="M2" s="4"/>
      <c r="N2" s="4"/>
      <c r="O2" s="4" t="n">
        <f aca="false">IF(K2="","",ROUND(MAX(0,10*(1-K2/Filters!$B$5)),1))</f>
        <v>9.2</v>
      </c>
      <c r="P2" s="4"/>
      <c r="Q2" s="4"/>
      <c r="R2" s="4"/>
      <c r="S2" s="4"/>
      <c r="T2" s="4"/>
      <c r="U2" s="4"/>
      <c r="V2" s="4"/>
      <c r="W2" s="3" t="n">
        <f aca="false">IF(M2="",0,COUNT(M2:V2))</f>
        <v>0</v>
      </c>
      <c r="X2" s="3" t="str">
        <f aca="false"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3" t="str">
        <f aca="false">IF(AND(ISNUMBER(SEARCH("pass",L2)),ISNUMBER(X2)),COUNTIFS(L$2:L$90,"*pass*",X$2:X$90,"&gt;"&amp;X2)+1,"")</f>
        <v/>
      </c>
      <c r="Z2" s="3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9" t="n">
        <v>1500000</v>
      </c>
      <c r="AF2" s="7" t="s">
        <v>211</v>
      </c>
      <c r="AG2" s="7" t="s">
        <v>212</v>
      </c>
      <c r="AH2" s="7" t="s">
        <v>213</v>
      </c>
      <c r="AI2" s="7" t="s">
        <v>214</v>
      </c>
      <c r="AJ2" s="7" t="s">
        <v>215</v>
      </c>
    </row>
    <row r="3" customFormat="false" ht="15.75" hidden="false" customHeight="false" outlineLevel="0" collapsed="false">
      <c r="A3" s="3" t="s">
        <v>216</v>
      </c>
      <c r="B3" s="3" t="s">
        <v>199</v>
      </c>
      <c r="C3" s="3" t="s">
        <v>200</v>
      </c>
      <c r="D3" s="3" t="s">
        <v>217</v>
      </c>
      <c r="E3" s="3" t="s">
        <v>202</v>
      </c>
      <c r="F3" s="3" t="s">
        <v>218</v>
      </c>
      <c r="G3" s="3" t="n">
        <v>1045000</v>
      </c>
      <c r="H3" s="3" t="s">
        <v>219</v>
      </c>
      <c r="I3" s="3" t="n">
        <v>1107700</v>
      </c>
      <c r="J3" s="4" t="n">
        <v>12</v>
      </c>
      <c r="K3" s="4" t="n">
        <v>5</v>
      </c>
      <c r="L3" s="3" t="s">
        <v>220</v>
      </c>
      <c r="M3" s="4"/>
      <c r="N3" s="4"/>
      <c r="O3" s="4" t="n">
        <f aca="false">IF(K3="","",ROUND(MAX(0,10*(1-K3/Filters!$B$5)),1))</f>
        <v>9.4</v>
      </c>
      <c r="P3" s="4"/>
      <c r="Q3" s="4"/>
      <c r="R3" s="4"/>
      <c r="S3" s="4"/>
      <c r="T3" s="4"/>
      <c r="U3" s="4"/>
      <c r="V3" s="4"/>
      <c r="W3" s="3" t="n">
        <f aca="false">IF(M3="",0,COUNT(M3:V3))</f>
        <v>0</v>
      </c>
      <c r="X3" s="3" t="str">
        <f aca="false"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3" t="str">
        <f aca="false">IF(AND(ISNUMBER(SEARCH("pass",L3)),ISNUMBER(X3)),COUNTIFS(L$2:L$90,"*pass*",X$2:X$90,"&gt;"&amp;X3)+1,"")</f>
        <v/>
      </c>
      <c r="Z3" s="3" t="s">
        <v>221</v>
      </c>
      <c r="AA3" s="1" t="s">
        <v>222</v>
      </c>
      <c r="AB3" s="1" t="s">
        <v>208</v>
      </c>
      <c r="AC3" s="1" t="s">
        <v>223</v>
      </c>
      <c r="AD3" s="1" t="s">
        <v>224</v>
      </c>
      <c r="AE3" s="9" t="n">
        <v>1500000</v>
      </c>
      <c r="AF3" s="7" t="s">
        <v>211</v>
      </c>
      <c r="AG3" s="7" t="s">
        <v>212</v>
      </c>
      <c r="AH3" s="7" t="s">
        <v>213</v>
      </c>
      <c r="AI3" s="7" t="s">
        <v>225</v>
      </c>
      <c r="AJ3" s="7" t="s">
        <v>226</v>
      </c>
    </row>
    <row r="4" customFormat="false" ht="15.75" hidden="false" customHeight="false" outlineLevel="0" collapsed="false">
      <c r="A4" s="3" t="s">
        <v>227</v>
      </c>
      <c r="B4" s="3" t="s">
        <v>228</v>
      </c>
      <c r="C4" s="3" t="s">
        <v>200</v>
      </c>
      <c r="D4" s="3" t="s">
        <v>229</v>
      </c>
      <c r="E4" s="3" t="s">
        <v>202</v>
      </c>
      <c r="F4" s="3" t="s">
        <v>230</v>
      </c>
      <c r="G4" s="3" t="n">
        <v>1452000</v>
      </c>
      <c r="H4" s="3" t="s">
        <v>231</v>
      </c>
      <c r="I4" s="3" t="n">
        <v>1539120</v>
      </c>
      <c r="J4" s="4" t="n">
        <v>25</v>
      </c>
      <c r="K4" s="4" t="n">
        <v>4</v>
      </c>
      <c r="L4" s="3" t="s">
        <v>220</v>
      </c>
      <c r="M4" s="4"/>
      <c r="N4" s="4"/>
      <c r="O4" s="4" t="n">
        <f aca="false">IF(K4="","",ROUND(MAX(0,10*(1-K4/Filters!$B$5)),1))</f>
        <v>9.6</v>
      </c>
      <c r="P4" s="4"/>
      <c r="Q4" s="4"/>
      <c r="R4" s="4"/>
      <c r="S4" s="4"/>
      <c r="T4" s="4"/>
      <c r="U4" s="4"/>
      <c r="V4" s="4"/>
      <c r="W4" s="3" t="n">
        <f aca="false">IF(M4="",0,COUNT(M4:V4))</f>
        <v>0</v>
      </c>
      <c r="X4" s="3" t="str">
        <f aca="false"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3" t="str">
        <f aca="false">IF(AND(ISNUMBER(SEARCH("pass",L4)),ISNUMBER(X4)),COUNTIFS(L$2:L$90,"*pass*",X$2:X$90,"&gt;"&amp;X4)+1,"")</f>
        <v/>
      </c>
      <c r="Z4" s="3" t="s">
        <v>232</v>
      </c>
      <c r="AA4" s="1" t="s">
        <v>233</v>
      </c>
      <c r="AB4" s="1" t="s">
        <v>208</v>
      </c>
      <c r="AC4" s="1" t="s">
        <v>234</v>
      </c>
      <c r="AD4" s="1" t="s">
        <v>235</v>
      </c>
      <c r="AE4" s="9" t="n">
        <v>1500000</v>
      </c>
      <c r="AF4" s="7" t="s">
        <v>211</v>
      </c>
      <c r="AG4" s="7" t="s">
        <v>212</v>
      </c>
      <c r="AH4" s="7" t="s">
        <v>213</v>
      </c>
      <c r="AI4" s="7" t="s">
        <v>225</v>
      </c>
      <c r="AJ4" s="7" t="s">
        <v>236</v>
      </c>
    </row>
    <row r="5" customFormat="false" ht="15.75" hidden="false" customHeight="false" outlineLevel="0" collapsed="false">
      <c r="A5" s="3" t="s">
        <v>237</v>
      </c>
      <c r="B5" s="3" t="s">
        <v>228</v>
      </c>
      <c r="C5" s="3" t="s">
        <v>200</v>
      </c>
      <c r="D5" s="3" t="s">
        <v>238</v>
      </c>
      <c r="E5" s="3" t="s">
        <v>202</v>
      </c>
      <c r="F5" s="3" t="s">
        <v>239</v>
      </c>
      <c r="G5" s="3" t="n">
        <v>1273000</v>
      </c>
      <c r="H5" s="3" t="s">
        <v>240</v>
      </c>
      <c r="I5" s="3" t="n">
        <v>1349380</v>
      </c>
      <c r="J5" s="4" t="n">
        <v>26</v>
      </c>
      <c r="K5" s="4" t="n">
        <v>16</v>
      </c>
      <c r="L5" s="3" t="s">
        <v>220</v>
      </c>
      <c r="M5" s="4"/>
      <c r="N5" s="4"/>
      <c r="O5" s="4" t="n">
        <f aca="false">IF(K5="","",ROUND(MAX(0,10*(1-K5/Filters!$B$5)),1))</f>
        <v>8.2</v>
      </c>
      <c r="P5" s="4"/>
      <c r="Q5" s="4"/>
      <c r="R5" s="4"/>
      <c r="S5" s="4"/>
      <c r="T5" s="4"/>
      <c r="U5" s="4"/>
      <c r="V5" s="4"/>
      <c r="W5" s="3" t="n">
        <f aca="false">IF(M5="",0,COUNT(M5:V5))</f>
        <v>0</v>
      </c>
      <c r="X5" s="3" t="str">
        <f aca="false"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3" t="str">
        <f aca="false">IF(AND(ISNUMBER(SEARCH("pass",L5)),ISNUMBER(X5)),COUNTIFS(L$2:L$90,"*pass*",X$2:X$90,"&gt;"&amp;X5)+1,"")</f>
        <v/>
      </c>
      <c r="Z5" s="3" t="s">
        <v>241</v>
      </c>
      <c r="AA5" s="1" t="s">
        <v>242</v>
      </c>
      <c r="AB5" s="1" t="s">
        <v>208</v>
      </c>
      <c r="AC5" s="1" t="s">
        <v>243</v>
      </c>
      <c r="AD5" s="1" t="s">
        <v>235</v>
      </c>
      <c r="AE5" s="9" t="n">
        <v>1500000</v>
      </c>
      <c r="AF5" s="7" t="s">
        <v>211</v>
      </c>
      <c r="AG5" s="7" t="s">
        <v>212</v>
      </c>
      <c r="AH5" s="7" t="s">
        <v>213</v>
      </c>
      <c r="AI5" s="7" t="s">
        <v>225</v>
      </c>
      <c r="AJ5" s="7" t="s">
        <v>244</v>
      </c>
    </row>
    <row r="6" customFormat="false" ht="15.75" hidden="false" customHeight="false" outlineLevel="0" collapsed="false">
      <c r="A6" s="3" t="s">
        <v>245</v>
      </c>
      <c r="B6" s="3" t="s">
        <v>246</v>
      </c>
      <c r="C6" s="3" t="s">
        <v>200</v>
      </c>
      <c r="D6" s="3" t="s">
        <v>247</v>
      </c>
      <c r="E6" s="3" t="s">
        <v>202</v>
      </c>
      <c r="F6" s="3" t="s">
        <v>248</v>
      </c>
      <c r="G6" s="3" t="n">
        <v>872133</v>
      </c>
      <c r="H6" s="3" t="s">
        <v>249</v>
      </c>
      <c r="I6" s="3" t="n">
        <v>924460.98</v>
      </c>
      <c r="J6" s="4" t="n">
        <v>16</v>
      </c>
      <c r="K6" s="4" t="n">
        <v>2</v>
      </c>
      <c r="L6" s="3" t="s">
        <v>220</v>
      </c>
      <c r="M6" s="4"/>
      <c r="N6" s="4"/>
      <c r="O6" s="4" t="n">
        <f aca="false">IF(K6="","",ROUND(MAX(0,10*(1-K6/Filters!$B$5)),1))</f>
        <v>9.8</v>
      </c>
      <c r="P6" s="4"/>
      <c r="Q6" s="4"/>
      <c r="R6" s="4"/>
      <c r="S6" s="4"/>
      <c r="T6" s="4"/>
      <c r="U6" s="4"/>
      <c r="V6" s="4"/>
      <c r="W6" s="3" t="n">
        <f aca="false">IF(M6="",0,COUNT(M6:V6))</f>
        <v>0</v>
      </c>
      <c r="X6" s="3" t="str">
        <f aca="false"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3" t="str">
        <f aca="false">IF(AND(ISNUMBER(SEARCH("pass",L6)),ISNUMBER(X6)),COUNTIFS(L$2:L$90,"*pass*",X$2:X$90,"&gt;"&amp;X6)+1,"")</f>
        <v/>
      </c>
      <c r="Z6" s="3" t="s">
        <v>250</v>
      </c>
      <c r="AA6" s="1" t="s">
        <v>251</v>
      </c>
      <c r="AB6" s="1" t="s">
        <v>208</v>
      </c>
      <c r="AC6" s="1" t="s">
        <v>252</v>
      </c>
      <c r="AD6" s="1" t="s">
        <v>253</v>
      </c>
      <c r="AE6" s="9" t="n">
        <v>1500000</v>
      </c>
      <c r="AF6" s="7" t="s">
        <v>211</v>
      </c>
      <c r="AG6" s="7" t="s">
        <v>212</v>
      </c>
      <c r="AH6" s="7" t="s">
        <v>213</v>
      </c>
      <c r="AI6" s="7" t="s">
        <v>225</v>
      </c>
      <c r="AJ6" s="7" t="s">
        <v>254</v>
      </c>
    </row>
    <row r="7" customFormat="false" ht="15.75" hidden="false" customHeight="false" outlineLevel="0" collapsed="false">
      <c r="A7" s="3" t="s">
        <v>255</v>
      </c>
      <c r="B7" s="3" t="s">
        <v>199</v>
      </c>
      <c r="C7" s="3" t="s">
        <v>200</v>
      </c>
      <c r="D7" s="3" t="s">
        <v>256</v>
      </c>
      <c r="E7" s="3" t="s">
        <v>202</v>
      </c>
      <c r="F7" s="3" t="s">
        <v>257</v>
      </c>
      <c r="G7" s="3" t="n">
        <v>1763500</v>
      </c>
      <c r="H7" s="3" t="s">
        <v>258</v>
      </c>
      <c r="I7" s="3" t="n">
        <v>1869310</v>
      </c>
      <c r="J7" s="4" t="n">
        <v>0</v>
      </c>
      <c r="K7" s="4" t="n">
        <v>13</v>
      </c>
      <c r="L7" s="3" t="s">
        <v>205</v>
      </c>
      <c r="M7" s="4"/>
      <c r="N7" s="4"/>
      <c r="O7" s="4" t="n">
        <f aca="false">IF(K7="","",ROUND(MAX(0,10*(1-K7/Filters!$B$5)),1))</f>
        <v>8.6</v>
      </c>
      <c r="P7" s="4"/>
      <c r="Q7" s="4"/>
      <c r="R7" s="4"/>
      <c r="S7" s="4"/>
      <c r="T7" s="4"/>
      <c r="U7" s="4"/>
      <c r="V7" s="4"/>
      <c r="W7" s="3" t="n">
        <f aca="false">IF(M7="",0,COUNT(M7:V7))</f>
        <v>0</v>
      </c>
      <c r="X7" s="3" t="str">
        <f aca="false"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3" t="str">
        <f aca="false">IF(AND(ISNUMBER(SEARCH("pass",L7)),ISNUMBER(X7)),COUNTIFS(L$2:L$90,"*pass*",X$2:X$90,"&gt;"&amp;X7)+1,"")</f>
        <v/>
      </c>
      <c r="Z7" s="3" t="s">
        <v>259</v>
      </c>
      <c r="AA7" s="1" t="s">
        <v>260</v>
      </c>
      <c r="AB7" s="1" t="s">
        <v>208</v>
      </c>
      <c r="AC7" s="1" t="s">
        <v>261</v>
      </c>
      <c r="AD7" s="1" t="s">
        <v>262</v>
      </c>
      <c r="AE7" s="9" t="n">
        <v>1500000</v>
      </c>
      <c r="AF7" s="7" t="s">
        <v>211</v>
      </c>
      <c r="AG7" s="7" t="s">
        <v>212</v>
      </c>
      <c r="AH7" s="7" t="s">
        <v>213</v>
      </c>
      <c r="AI7" s="7" t="s">
        <v>214</v>
      </c>
      <c r="AJ7" s="7" t="s">
        <v>263</v>
      </c>
    </row>
    <row r="8" customFormat="false" ht="15.75" hidden="false" customHeight="false" outlineLevel="0" collapsed="false">
      <c r="A8" s="3" t="s">
        <v>264</v>
      </c>
      <c r="B8" s="3" t="s">
        <v>265</v>
      </c>
      <c r="C8" s="3" t="s">
        <v>200</v>
      </c>
      <c r="D8" s="3" t="s">
        <v>266</v>
      </c>
      <c r="E8" s="3" t="s">
        <v>267</v>
      </c>
      <c r="F8" s="3" t="s">
        <v>268</v>
      </c>
      <c r="G8" s="3"/>
      <c r="H8" s="3" t="s">
        <v>269</v>
      </c>
      <c r="I8" s="3" t="str">
        <v/>
      </c>
      <c r="J8" s="4" t="n">
        <v>20</v>
      </c>
      <c r="K8" s="4" t="n">
        <v>14</v>
      </c>
      <c r="L8" s="3" t="s">
        <v>214</v>
      </c>
      <c r="M8" s="4"/>
      <c r="N8" s="4"/>
      <c r="O8" s="4" t="n">
        <f aca="false">IF(K8="","",ROUND(MAX(0,10*(1-K8/Filters!$B$5)),1))</f>
        <v>8.4</v>
      </c>
      <c r="P8" s="4"/>
      <c r="Q8" s="4"/>
      <c r="R8" s="4"/>
      <c r="S8" s="4"/>
      <c r="T8" s="4"/>
      <c r="U8" s="4"/>
      <c r="V8" s="4"/>
      <c r="W8" s="3" t="n">
        <f aca="false">IF(M8="",0,COUNT(M8:V8))</f>
        <v>0</v>
      </c>
      <c r="X8" s="3" t="str">
        <f aca="false"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3" t="str">
        <f aca="false">IF(AND(ISNUMBER(SEARCH("pass",L8)),ISNUMBER(X8)),COUNTIFS(L$2:L$90,"*pass*",X$2:X$90,"&gt;"&amp;X8)+1,"")</f>
        <v/>
      </c>
      <c r="Z8" s="3" t="s">
        <v>270</v>
      </c>
      <c r="AA8" s="1" t="s">
        <v>271</v>
      </c>
      <c r="AB8" s="1" t="s">
        <v>272</v>
      </c>
      <c r="AC8" s="1" t="s">
        <v>273</v>
      </c>
      <c r="AD8" s="1" t="s">
        <v>224</v>
      </c>
      <c r="AE8" s="9" t="n">
        <v>1500000</v>
      </c>
      <c r="AF8" s="7" t="s">
        <v>211</v>
      </c>
      <c r="AG8" s="7" t="s">
        <v>274</v>
      </c>
      <c r="AH8" s="7" t="s">
        <v>213</v>
      </c>
      <c r="AI8" s="7" t="s">
        <v>214</v>
      </c>
      <c r="AJ8" s="7" t="s">
        <v>275</v>
      </c>
    </row>
    <row r="9" customFormat="false" ht="15.75" hidden="false" customHeight="false" outlineLevel="0" collapsed="false">
      <c r="A9" s="3" t="s">
        <v>276</v>
      </c>
      <c r="B9" s="3" t="s">
        <v>277</v>
      </c>
      <c r="C9" s="3" t="s">
        <v>200</v>
      </c>
      <c r="D9" s="3" t="s">
        <v>278</v>
      </c>
      <c r="E9" s="3" t="s">
        <v>202</v>
      </c>
      <c r="F9" s="3" t="s">
        <v>279</v>
      </c>
      <c r="G9" s="3" t="n">
        <v>885000</v>
      </c>
      <c r="H9" s="3" t="s">
        <v>280</v>
      </c>
      <c r="I9" s="3" t="n">
        <v>938100</v>
      </c>
      <c r="J9" s="4" t="n">
        <v>33</v>
      </c>
      <c r="K9" s="4" t="n">
        <v>19</v>
      </c>
      <c r="L9" s="3" t="s">
        <v>220</v>
      </c>
      <c r="M9" s="4"/>
      <c r="N9" s="4"/>
      <c r="O9" s="4" t="n">
        <f aca="false">IF(K9="","",ROUND(MAX(0,10*(1-K9/Filters!$B$5)),1))</f>
        <v>7.9</v>
      </c>
      <c r="P9" s="4"/>
      <c r="Q9" s="4"/>
      <c r="R9" s="4"/>
      <c r="S9" s="4"/>
      <c r="T9" s="4"/>
      <c r="U9" s="4"/>
      <c r="V9" s="4"/>
      <c r="W9" s="3" t="n">
        <f aca="false">IF(M9="",0,COUNT(M9:V9))</f>
        <v>0</v>
      </c>
      <c r="X9" s="3" t="str">
        <f aca="false"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3" t="str">
        <f aca="false">IF(AND(ISNUMBER(SEARCH("pass",L9)),ISNUMBER(X9)),COUNTIFS(L$2:L$90,"*pass*",X$2:X$90,"&gt;"&amp;X9)+1,"")</f>
        <v/>
      </c>
      <c r="Z9" s="3" t="s">
        <v>281</v>
      </c>
      <c r="AA9" s="1" t="s">
        <v>282</v>
      </c>
      <c r="AB9" s="1" t="s">
        <v>208</v>
      </c>
      <c r="AC9" s="1" t="s">
        <v>283</v>
      </c>
      <c r="AD9" s="1" t="s">
        <v>235</v>
      </c>
      <c r="AE9" s="9" t="n">
        <v>1500000</v>
      </c>
      <c r="AF9" s="7" t="s">
        <v>211</v>
      </c>
      <c r="AG9" s="7" t="s">
        <v>212</v>
      </c>
      <c r="AH9" s="7" t="s">
        <v>213</v>
      </c>
      <c r="AI9" s="7" t="s">
        <v>225</v>
      </c>
      <c r="AJ9" s="7" t="s">
        <v>284</v>
      </c>
    </row>
    <row r="10" customFormat="false" ht="15.75" hidden="false" customHeight="false" outlineLevel="0" collapsed="false">
      <c r="A10" s="3" t="s">
        <v>285</v>
      </c>
      <c r="B10" s="3" t="s">
        <v>286</v>
      </c>
      <c r="C10" s="3" t="s">
        <v>200</v>
      </c>
      <c r="D10" s="3" t="s">
        <v>287</v>
      </c>
      <c r="E10" s="3" t="s">
        <v>288</v>
      </c>
      <c r="F10" s="3" t="s">
        <v>289</v>
      </c>
      <c r="G10" s="3" t="n">
        <v>1497099</v>
      </c>
      <c r="H10" s="3" t="s">
        <v>290</v>
      </c>
      <c r="I10" s="3" t="n">
        <v>1586924.94</v>
      </c>
      <c r="J10" s="4" t="n">
        <v>25</v>
      </c>
      <c r="K10" s="4" t="n">
        <v>16</v>
      </c>
      <c r="L10" s="3" t="s">
        <v>220</v>
      </c>
      <c r="M10" s="4"/>
      <c r="N10" s="4"/>
      <c r="O10" s="4" t="n">
        <f aca="false">IF(K10="","",ROUND(MAX(0,10*(1-K10/Filters!$B$5)),1))</f>
        <v>8.2</v>
      </c>
      <c r="P10" s="4"/>
      <c r="Q10" s="4"/>
      <c r="R10" s="4"/>
      <c r="S10" s="4"/>
      <c r="T10" s="4"/>
      <c r="U10" s="4"/>
      <c r="V10" s="4"/>
      <c r="W10" s="3" t="n">
        <f aca="false">IF(M10="",0,COUNT(M10:V10))</f>
        <v>0</v>
      </c>
      <c r="X10" s="3" t="str">
        <f aca="false"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3" t="str">
        <f aca="false">IF(AND(ISNUMBER(SEARCH("pass",L10)),ISNUMBER(X10)),COUNTIFS(L$2:L$90,"*pass*",X$2:X$90,"&gt;"&amp;X10)+1,"")</f>
        <v/>
      </c>
      <c r="Z10" s="3" t="s">
        <v>291</v>
      </c>
      <c r="AA10" s="1" t="s">
        <v>292</v>
      </c>
      <c r="AB10" s="1" t="s">
        <v>208</v>
      </c>
      <c r="AC10" s="1" t="s">
        <v>293</v>
      </c>
      <c r="AD10" s="1" t="s">
        <v>262</v>
      </c>
      <c r="AE10" s="9" t="n">
        <v>1500000</v>
      </c>
      <c r="AF10" s="7" t="s">
        <v>211</v>
      </c>
      <c r="AG10" s="7" t="s">
        <v>212</v>
      </c>
      <c r="AH10" s="7" t="s">
        <v>213</v>
      </c>
      <c r="AI10" s="7" t="s">
        <v>225</v>
      </c>
      <c r="AJ10" s="7" t="s">
        <v>294</v>
      </c>
    </row>
    <row r="11" customFormat="false" ht="15.75" hidden="false" customHeight="false" outlineLevel="0" collapsed="false">
      <c r="A11" s="3" t="s">
        <v>295</v>
      </c>
      <c r="B11" s="3" t="s">
        <v>296</v>
      </c>
      <c r="C11" s="3" t="s">
        <v>200</v>
      </c>
      <c r="D11" s="3" t="s">
        <v>297</v>
      </c>
      <c r="E11" s="3" t="s">
        <v>288</v>
      </c>
      <c r="F11" s="3" t="s">
        <v>298</v>
      </c>
      <c r="G11" s="3" t="n">
        <v>834296</v>
      </c>
      <c r="H11" s="3" t="s">
        <v>299</v>
      </c>
      <c r="I11" s="3" t="n">
        <v>884353.76</v>
      </c>
      <c r="J11" s="4" t="n">
        <v>25</v>
      </c>
      <c r="K11" s="4" t="n">
        <v>4</v>
      </c>
      <c r="L11" s="3" t="s">
        <v>220</v>
      </c>
      <c r="M11" s="4"/>
      <c r="N11" s="4"/>
      <c r="O11" s="4" t="n">
        <f aca="false">IF(K11="","",ROUND(MAX(0,10*(1-K11/Filters!$B$5)),1))</f>
        <v>9.6</v>
      </c>
      <c r="P11" s="4"/>
      <c r="Q11" s="4"/>
      <c r="R11" s="4"/>
      <c r="S11" s="4"/>
      <c r="T11" s="4"/>
      <c r="U11" s="4"/>
      <c r="V11" s="4"/>
      <c r="W11" s="3" t="n">
        <f aca="false">IF(M11="",0,COUNT(M11:V11))</f>
        <v>0</v>
      </c>
      <c r="X11" s="3" t="str">
        <f aca="false"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3" t="str">
        <f aca="false">IF(AND(ISNUMBER(SEARCH("pass",L11)),ISNUMBER(X11)),COUNTIFS(L$2:L$90,"*pass*",X$2:X$90,"&gt;"&amp;X11)+1,"")</f>
        <v/>
      </c>
      <c r="Z11" s="3" t="s">
        <v>300</v>
      </c>
      <c r="AA11" s="1" t="s">
        <v>301</v>
      </c>
      <c r="AB11" s="1" t="s">
        <v>208</v>
      </c>
      <c r="AC11" s="1" t="s">
        <v>302</v>
      </c>
      <c r="AD11" s="1" t="s">
        <v>303</v>
      </c>
      <c r="AE11" s="9" t="n">
        <v>1500000</v>
      </c>
      <c r="AF11" s="7" t="s">
        <v>211</v>
      </c>
      <c r="AG11" s="7" t="s">
        <v>212</v>
      </c>
      <c r="AH11" s="7" t="s">
        <v>213</v>
      </c>
      <c r="AI11" s="7" t="s">
        <v>225</v>
      </c>
      <c r="AJ11" s="7" t="s">
        <v>304</v>
      </c>
    </row>
    <row r="12" customFormat="false" ht="15.75" hidden="false" customHeight="false" outlineLevel="0" collapsed="false">
      <c r="A12" s="3" t="s">
        <v>305</v>
      </c>
      <c r="B12" s="3" t="s">
        <v>306</v>
      </c>
      <c r="C12" s="3" t="s">
        <v>200</v>
      </c>
      <c r="D12" s="3" t="s">
        <v>307</v>
      </c>
      <c r="E12" s="3" t="s">
        <v>308</v>
      </c>
      <c r="F12" s="3" t="s">
        <v>309</v>
      </c>
      <c r="G12" s="3" t="n">
        <v>1155073</v>
      </c>
      <c r="H12" s="3" t="s">
        <v>310</v>
      </c>
      <c r="I12" s="3" t="n">
        <v>1224377.38</v>
      </c>
      <c r="J12" s="4" t="n">
        <v>35</v>
      </c>
      <c r="K12" s="4" t="n">
        <v>15</v>
      </c>
      <c r="L12" s="3" t="s">
        <v>220</v>
      </c>
      <c r="M12" s="4"/>
      <c r="N12" s="4"/>
      <c r="O12" s="4" t="n">
        <f aca="false">IF(K12="","",ROUND(MAX(0,10*(1-K12/Filters!$B$5)),1))</f>
        <v>8.3</v>
      </c>
      <c r="P12" s="4"/>
      <c r="Q12" s="4"/>
      <c r="R12" s="4"/>
      <c r="S12" s="4"/>
      <c r="T12" s="4"/>
      <c r="U12" s="4"/>
      <c r="V12" s="4"/>
      <c r="W12" s="3" t="n">
        <f aca="false">IF(M12="",0,COUNT(M12:V12))</f>
        <v>0</v>
      </c>
      <c r="X12" s="3" t="str">
        <f aca="false"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3" t="str">
        <f aca="false">IF(AND(ISNUMBER(SEARCH("pass",L12)),ISNUMBER(X12)),COUNTIFS(L$2:L$90,"*pass*",X$2:X$90,"&gt;"&amp;X12)+1,"")</f>
        <v/>
      </c>
      <c r="Z12" s="3" t="s">
        <v>311</v>
      </c>
      <c r="AA12" s="1" t="s">
        <v>312</v>
      </c>
      <c r="AB12" s="1" t="s">
        <v>208</v>
      </c>
      <c r="AC12" s="1" t="s">
        <v>313</v>
      </c>
      <c r="AD12" s="1" t="s">
        <v>314</v>
      </c>
      <c r="AE12" s="9" t="n">
        <v>1500000</v>
      </c>
      <c r="AF12" s="7" t="s">
        <v>211</v>
      </c>
      <c r="AG12" s="7" t="s">
        <v>212</v>
      </c>
      <c r="AH12" s="7" t="s">
        <v>213</v>
      </c>
      <c r="AI12" s="7" t="s">
        <v>225</v>
      </c>
      <c r="AJ12" s="7" t="s">
        <v>315</v>
      </c>
    </row>
    <row r="13" customFormat="false" ht="15.75" hidden="false" customHeight="false" outlineLevel="0" collapsed="false">
      <c r="A13" s="3" t="s">
        <v>316</v>
      </c>
      <c r="B13" s="3" t="s">
        <v>306</v>
      </c>
      <c r="C13" s="3" t="s">
        <v>200</v>
      </c>
      <c r="D13" s="3" t="s">
        <v>317</v>
      </c>
      <c r="E13" s="3" t="s">
        <v>318</v>
      </c>
      <c r="F13" s="3" t="s">
        <v>319</v>
      </c>
      <c r="G13" s="3" t="n">
        <v>1642163</v>
      </c>
      <c r="H13" s="3" t="s">
        <v>249</v>
      </c>
      <c r="I13" s="3" t="n">
        <v>1740692.78</v>
      </c>
      <c r="J13" s="4" t="n">
        <v>31</v>
      </c>
      <c r="K13" s="4" t="n">
        <v>13</v>
      </c>
      <c r="L13" s="3" t="s">
        <v>205</v>
      </c>
      <c r="M13" s="4"/>
      <c r="N13" s="4"/>
      <c r="O13" s="4" t="n">
        <f aca="false">IF(K13="","",ROUND(MAX(0,10*(1-K13/Filters!$B$5)),1))</f>
        <v>8.6</v>
      </c>
      <c r="P13" s="4"/>
      <c r="Q13" s="4"/>
      <c r="R13" s="4"/>
      <c r="S13" s="4"/>
      <c r="T13" s="4"/>
      <c r="U13" s="4"/>
      <c r="V13" s="4"/>
      <c r="W13" s="3" t="n">
        <f aca="false">IF(M13="",0,COUNT(M13:V13))</f>
        <v>0</v>
      </c>
      <c r="X13" s="3" t="str">
        <f aca="false"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3" t="str">
        <f aca="false">IF(AND(ISNUMBER(SEARCH("pass",L13)),ISNUMBER(X13)),COUNTIFS(L$2:L$90,"*pass*",X$2:X$90,"&gt;"&amp;X13)+1,"")</f>
        <v/>
      </c>
      <c r="Z13" s="3" t="s">
        <v>320</v>
      </c>
      <c r="AA13" s="1" t="s">
        <v>321</v>
      </c>
      <c r="AB13" s="1" t="s">
        <v>208</v>
      </c>
      <c r="AC13" s="1" t="s">
        <v>322</v>
      </c>
      <c r="AD13" s="1" t="s">
        <v>314</v>
      </c>
      <c r="AE13" s="9" t="n">
        <v>1500000</v>
      </c>
      <c r="AF13" s="7" t="s">
        <v>211</v>
      </c>
      <c r="AG13" s="7" t="s">
        <v>323</v>
      </c>
      <c r="AH13" s="7" t="s">
        <v>213</v>
      </c>
      <c r="AI13" s="7" t="s">
        <v>214</v>
      </c>
      <c r="AJ13" s="7" t="s">
        <v>324</v>
      </c>
    </row>
    <row r="14" customFormat="false" ht="15.75" hidden="false" customHeight="false" outlineLevel="0" collapsed="false">
      <c r="A14" s="3" t="s">
        <v>325</v>
      </c>
      <c r="B14" s="3" t="s">
        <v>326</v>
      </c>
      <c r="C14" s="3" t="s">
        <v>200</v>
      </c>
      <c r="D14" s="3" t="s">
        <v>327</v>
      </c>
      <c r="E14" s="3" t="s">
        <v>202</v>
      </c>
      <c r="F14" s="3" t="s">
        <v>328</v>
      </c>
      <c r="G14" s="3"/>
      <c r="H14" s="3" t="s">
        <v>269</v>
      </c>
      <c r="I14" s="3" t="str">
        <v/>
      </c>
      <c r="J14" s="4" t="n">
        <v>43</v>
      </c>
      <c r="K14" s="4" t="n">
        <v>33</v>
      </c>
      <c r="L14" s="3" t="s">
        <v>214</v>
      </c>
      <c r="M14" s="4"/>
      <c r="N14" s="4"/>
      <c r="O14" s="4" t="n">
        <f aca="false">IF(K14="","",ROUND(MAX(0,10*(1-K14/Filters!$B$5)),1))</f>
        <v>6.3</v>
      </c>
      <c r="P14" s="4"/>
      <c r="Q14" s="4"/>
      <c r="R14" s="4"/>
      <c r="S14" s="4"/>
      <c r="T14" s="4"/>
      <c r="U14" s="4"/>
      <c r="V14" s="4"/>
      <c r="W14" s="3" t="n">
        <f aca="false">IF(M14="",0,COUNT(M14:V14))</f>
        <v>0</v>
      </c>
      <c r="X14" s="3" t="str">
        <f aca="false"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3" t="str">
        <f aca="false">IF(AND(ISNUMBER(SEARCH("pass",L14)),ISNUMBER(X14)),COUNTIFS(L$2:L$90,"*pass*",X$2:X$90,"&gt;"&amp;X14)+1,"")</f>
        <v/>
      </c>
      <c r="Z14" s="3" t="s">
        <v>329</v>
      </c>
      <c r="AA14" s="1" t="s">
        <v>330</v>
      </c>
      <c r="AB14" s="1" t="s">
        <v>272</v>
      </c>
      <c r="AC14" s="1" t="s">
        <v>331</v>
      </c>
      <c r="AD14" s="1" t="s">
        <v>332</v>
      </c>
      <c r="AE14" s="9" t="n">
        <v>1500000</v>
      </c>
      <c r="AF14" s="7" t="s">
        <v>211</v>
      </c>
      <c r="AG14" s="7" t="s">
        <v>274</v>
      </c>
      <c r="AH14" s="7" t="s">
        <v>213</v>
      </c>
      <c r="AI14" s="7" t="s">
        <v>214</v>
      </c>
      <c r="AJ14" s="7" t="s">
        <v>275</v>
      </c>
    </row>
    <row r="15" customFormat="false" ht="15.75" hidden="false" customHeight="false" outlineLevel="0" collapsed="false">
      <c r="A15" s="3" t="s">
        <v>333</v>
      </c>
      <c r="B15" s="3" t="s">
        <v>334</v>
      </c>
      <c r="C15" s="3" t="s">
        <v>200</v>
      </c>
      <c r="D15" s="3" t="s">
        <v>335</v>
      </c>
      <c r="E15" s="3" t="s">
        <v>336</v>
      </c>
      <c r="F15" s="3" t="s">
        <v>337</v>
      </c>
      <c r="G15" s="3" t="n">
        <v>810000</v>
      </c>
      <c r="H15" s="3" t="s">
        <v>338</v>
      </c>
      <c r="I15" s="3" t="n">
        <v>858600</v>
      </c>
      <c r="J15" s="4" t="n">
        <v>77</v>
      </c>
      <c r="K15" s="4" t="n">
        <v>47</v>
      </c>
      <c r="L15" s="3" t="s">
        <v>220</v>
      </c>
      <c r="M15" s="4"/>
      <c r="N15" s="4"/>
      <c r="O15" s="4" t="n">
        <f aca="false">IF(K15="","",ROUND(MAX(0,10*(1-K15/Filters!$B$5)),1))</f>
        <v>4.8</v>
      </c>
      <c r="P15" s="4"/>
      <c r="Q15" s="4"/>
      <c r="R15" s="4"/>
      <c r="S15" s="4"/>
      <c r="T15" s="4"/>
      <c r="U15" s="4"/>
      <c r="V15" s="4"/>
      <c r="W15" s="3" t="n">
        <f aca="false">IF(M15="",0,COUNT(M15:V15))</f>
        <v>0</v>
      </c>
      <c r="X15" s="3" t="str">
        <f aca="false"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3" t="str">
        <f aca="false">IF(AND(ISNUMBER(SEARCH("pass",L15)),ISNUMBER(X15)),COUNTIFS(L$2:L$90,"*pass*",X$2:X$90,"&gt;"&amp;X15)+1,"")</f>
        <v/>
      </c>
      <c r="Z15" s="3" t="s">
        <v>339</v>
      </c>
      <c r="AA15" s="1" t="s">
        <v>340</v>
      </c>
      <c r="AB15" s="1" t="s">
        <v>208</v>
      </c>
      <c r="AC15" s="1" t="s">
        <v>341</v>
      </c>
      <c r="AD15" s="1" t="s">
        <v>342</v>
      </c>
      <c r="AE15" s="9" t="n">
        <v>1500000</v>
      </c>
      <c r="AF15" s="7" t="s">
        <v>211</v>
      </c>
      <c r="AG15" s="7" t="s">
        <v>212</v>
      </c>
      <c r="AH15" s="7" t="s">
        <v>213</v>
      </c>
      <c r="AI15" s="7" t="s">
        <v>225</v>
      </c>
      <c r="AJ15" s="7" t="s">
        <v>343</v>
      </c>
    </row>
    <row r="16" customFormat="false" ht="15.75" hidden="false" customHeight="false" outlineLevel="0" collapsed="false">
      <c r="A16" s="3" t="s">
        <v>344</v>
      </c>
      <c r="B16" s="3" t="s">
        <v>334</v>
      </c>
      <c r="C16" s="3" t="s">
        <v>200</v>
      </c>
      <c r="D16" s="3" t="s">
        <v>345</v>
      </c>
      <c r="E16" s="3" t="s">
        <v>202</v>
      </c>
      <c r="F16" s="3" t="s">
        <v>346</v>
      </c>
      <c r="G16" s="3" t="n">
        <v>890000</v>
      </c>
      <c r="H16" s="3" t="s">
        <v>347</v>
      </c>
      <c r="I16" s="3" t="n">
        <v>943400</v>
      </c>
      <c r="J16" s="4" t="n">
        <v>68</v>
      </c>
      <c r="K16" s="4" t="n">
        <v>55</v>
      </c>
      <c r="L16" s="3" t="s">
        <v>220</v>
      </c>
      <c r="M16" s="4"/>
      <c r="N16" s="4"/>
      <c r="O16" s="4" t="n">
        <f aca="false">IF(K16="","",ROUND(MAX(0,10*(1-K16/Filters!$B$5)),1))</f>
        <v>3.9</v>
      </c>
      <c r="P16" s="4"/>
      <c r="Q16" s="4"/>
      <c r="R16" s="4"/>
      <c r="S16" s="4"/>
      <c r="T16" s="4"/>
      <c r="U16" s="4"/>
      <c r="V16" s="4"/>
      <c r="W16" s="3" t="n">
        <f aca="false">IF(M16="",0,COUNT(M16:V16))</f>
        <v>0</v>
      </c>
      <c r="X16" s="3" t="str">
        <f aca="false"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3" t="str">
        <f aca="false">IF(AND(ISNUMBER(SEARCH("pass",L16)),ISNUMBER(X16)),COUNTIFS(L$2:L$90,"*pass*",X$2:X$90,"&gt;"&amp;X16)+1,"")</f>
        <v/>
      </c>
      <c r="Z16" s="3" t="s">
        <v>348</v>
      </c>
      <c r="AA16" s="1" t="s">
        <v>349</v>
      </c>
      <c r="AB16" s="1" t="s">
        <v>208</v>
      </c>
      <c r="AC16" s="1" t="s">
        <v>350</v>
      </c>
      <c r="AD16" s="1" t="s">
        <v>351</v>
      </c>
      <c r="AE16" s="9" t="n">
        <v>1500000</v>
      </c>
      <c r="AF16" s="7" t="s">
        <v>211</v>
      </c>
      <c r="AG16" s="7" t="s">
        <v>212</v>
      </c>
      <c r="AH16" s="7" t="s">
        <v>213</v>
      </c>
      <c r="AI16" s="7" t="s">
        <v>225</v>
      </c>
      <c r="AJ16" s="7" t="s">
        <v>352</v>
      </c>
    </row>
    <row r="17" customFormat="false" ht="15.75" hidden="false" customHeight="false" outlineLevel="0" collapsed="false">
      <c r="A17" s="3" t="s">
        <v>353</v>
      </c>
      <c r="B17" s="3" t="s">
        <v>334</v>
      </c>
      <c r="C17" s="3" t="s">
        <v>200</v>
      </c>
      <c r="D17" s="3" t="s">
        <v>354</v>
      </c>
      <c r="E17" s="3" t="s">
        <v>202</v>
      </c>
      <c r="F17" s="3" t="s">
        <v>355</v>
      </c>
      <c r="G17" s="3"/>
      <c r="H17" s="3" t="s">
        <v>269</v>
      </c>
      <c r="I17" s="3" t="str">
        <v/>
      </c>
      <c r="J17" s="4" t="n">
        <v>62</v>
      </c>
      <c r="K17" s="4" t="n">
        <v>60</v>
      </c>
      <c r="L17" s="3" t="s">
        <v>214</v>
      </c>
      <c r="M17" s="4"/>
      <c r="N17" s="4"/>
      <c r="O17" s="4" t="n">
        <f aca="false">IF(K17="","",ROUND(MAX(0,10*(1-K17/Filters!$B$5)),1))</f>
        <v>3.3</v>
      </c>
      <c r="P17" s="4"/>
      <c r="Q17" s="4"/>
      <c r="R17" s="4"/>
      <c r="S17" s="4"/>
      <c r="T17" s="4"/>
      <c r="U17" s="4"/>
      <c r="V17" s="4"/>
      <c r="W17" s="3" t="n">
        <f aca="false">IF(M17="",0,COUNT(M17:V17))</f>
        <v>0</v>
      </c>
      <c r="X17" s="3" t="str">
        <f aca="false"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3" t="str">
        <f aca="false">IF(AND(ISNUMBER(SEARCH("pass",L17)),ISNUMBER(X17)),COUNTIFS(L$2:L$90,"*pass*",X$2:X$90,"&gt;"&amp;X17)+1,"")</f>
        <v/>
      </c>
      <c r="Z17" s="3" t="s">
        <v>356</v>
      </c>
      <c r="AA17" s="1" t="s">
        <v>357</v>
      </c>
      <c r="AB17" s="1" t="s">
        <v>208</v>
      </c>
      <c r="AC17" s="1" t="s">
        <v>358</v>
      </c>
      <c r="AD17" s="1" t="s">
        <v>351</v>
      </c>
      <c r="AE17" s="9" t="n">
        <v>1500000</v>
      </c>
      <c r="AF17" s="7" t="s">
        <v>211</v>
      </c>
      <c r="AG17" s="7" t="s">
        <v>274</v>
      </c>
      <c r="AH17" s="7" t="s">
        <v>213</v>
      </c>
      <c r="AI17" s="7" t="s">
        <v>214</v>
      </c>
      <c r="AJ17" s="7" t="s">
        <v>275</v>
      </c>
    </row>
    <row r="18" customFormat="false" ht="15.75" hidden="false" customHeight="false" outlineLevel="0" collapsed="false">
      <c r="A18" s="3" t="s">
        <v>359</v>
      </c>
      <c r="B18" s="3" t="s">
        <v>360</v>
      </c>
      <c r="C18" s="3" t="s">
        <v>200</v>
      </c>
      <c r="D18" s="3" t="s">
        <v>361</v>
      </c>
      <c r="E18" s="3" t="s">
        <v>362</v>
      </c>
      <c r="F18" s="3" t="s">
        <v>363</v>
      </c>
      <c r="G18" s="3" t="n">
        <v>1180000</v>
      </c>
      <c r="H18" s="3" t="s">
        <v>364</v>
      </c>
      <c r="I18" s="3" t="n">
        <v>1250800</v>
      </c>
      <c r="J18" s="4" t="n">
        <v>88</v>
      </c>
      <c r="K18" s="4" t="n">
        <v>23</v>
      </c>
      <c r="L18" s="3" t="s">
        <v>220</v>
      </c>
      <c r="M18" s="4"/>
      <c r="N18" s="4"/>
      <c r="O18" s="4" t="n">
        <f aca="false">IF(K18="","",ROUND(MAX(0,10*(1-K18/Filters!$B$5)),1))</f>
        <v>7.4</v>
      </c>
      <c r="P18" s="4"/>
      <c r="Q18" s="4"/>
      <c r="R18" s="4"/>
      <c r="S18" s="4"/>
      <c r="T18" s="4"/>
      <c r="U18" s="4"/>
      <c r="V18" s="4"/>
      <c r="W18" s="3" t="n">
        <f aca="false">IF(M18="",0,COUNT(M18:V18))</f>
        <v>0</v>
      </c>
      <c r="X18" s="3" t="str">
        <f aca="false"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3" t="str">
        <f aca="false">IF(AND(ISNUMBER(SEARCH("pass",L18)),ISNUMBER(X18)),COUNTIFS(L$2:L$90,"*pass*",X$2:X$90,"&gt;"&amp;X18)+1,"")</f>
        <v/>
      </c>
      <c r="Z18" s="3" t="s">
        <v>365</v>
      </c>
      <c r="AA18" s="1" t="s">
        <v>366</v>
      </c>
      <c r="AB18" s="1" t="s">
        <v>272</v>
      </c>
      <c r="AC18" s="1" t="s">
        <v>367</v>
      </c>
      <c r="AD18" s="1" t="s">
        <v>368</v>
      </c>
      <c r="AE18" s="9" t="n">
        <v>1500000</v>
      </c>
      <c r="AF18" s="7" t="s">
        <v>211</v>
      </c>
      <c r="AG18" s="7" t="s">
        <v>212</v>
      </c>
      <c r="AH18" s="7" t="s">
        <v>213</v>
      </c>
      <c r="AI18" s="7" t="s">
        <v>225</v>
      </c>
      <c r="AJ18" s="7" t="s">
        <v>369</v>
      </c>
    </row>
    <row r="19" customFormat="false" ht="15.75" hidden="false" customHeight="false" outlineLevel="0" collapsed="false">
      <c r="A19" s="3" t="s">
        <v>370</v>
      </c>
      <c r="B19" s="3" t="s">
        <v>371</v>
      </c>
      <c r="C19" s="3" t="s">
        <v>200</v>
      </c>
      <c r="D19" s="3" t="s">
        <v>372</v>
      </c>
      <c r="E19" s="3" t="s">
        <v>373</v>
      </c>
      <c r="F19" s="3" t="s">
        <v>374</v>
      </c>
      <c r="G19" s="3" t="n">
        <v>980000</v>
      </c>
      <c r="H19" s="3" t="s">
        <v>375</v>
      </c>
      <c r="I19" s="3" t="n">
        <v>1038800</v>
      </c>
      <c r="J19" s="4" t="n">
        <v>92</v>
      </c>
      <c r="K19" s="4" t="n">
        <v>21</v>
      </c>
      <c r="L19" s="3" t="s">
        <v>376</v>
      </c>
      <c r="M19" s="4"/>
      <c r="N19" s="4"/>
      <c r="O19" s="4" t="n">
        <f aca="false">IF(K19="","",ROUND(MAX(0,10*(1-K19/Filters!$B$5)),1))</f>
        <v>7.7</v>
      </c>
      <c r="P19" s="4"/>
      <c r="Q19" s="4"/>
      <c r="R19" s="4"/>
      <c r="S19" s="4"/>
      <c r="T19" s="4"/>
      <c r="U19" s="4"/>
      <c r="V19" s="4"/>
      <c r="W19" s="3" t="n">
        <f aca="false">IF(M19="",0,COUNT(M19:V19))</f>
        <v>0</v>
      </c>
      <c r="X19" s="3" t="str">
        <f aca="false"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3" t="str">
        <f aca="false">IF(AND(ISNUMBER(SEARCH("pass",L19)),ISNUMBER(X19)),COUNTIFS(L$2:L$90,"*pass*",X$2:X$90,"&gt;"&amp;X19)+1,"")</f>
        <v/>
      </c>
      <c r="Z19" s="3" t="s">
        <v>377</v>
      </c>
      <c r="AA19" s="1" t="s">
        <v>378</v>
      </c>
      <c r="AB19" s="1" t="s">
        <v>272</v>
      </c>
      <c r="AC19" s="1" t="s">
        <v>379</v>
      </c>
      <c r="AD19" s="1" t="s">
        <v>368</v>
      </c>
      <c r="AE19" s="9" t="n">
        <v>1500000</v>
      </c>
      <c r="AF19" s="7" t="s">
        <v>211</v>
      </c>
      <c r="AG19" s="7" t="s">
        <v>212</v>
      </c>
      <c r="AH19" s="7" t="s">
        <v>213</v>
      </c>
      <c r="AI19" s="7" t="s">
        <v>225</v>
      </c>
      <c r="AJ19" s="7" t="s">
        <v>380</v>
      </c>
    </row>
    <row r="20" customFormat="false" ht="15.75" hidden="false" customHeight="false" outlineLevel="0" collapsed="false">
      <c r="A20" s="3" t="s">
        <v>381</v>
      </c>
      <c r="B20" s="3" t="s">
        <v>382</v>
      </c>
      <c r="C20" s="3" t="s">
        <v>200</v>
      </c>
      <c r="D20" s="3" t="s">
        <v>383</v>
      </c>
      <c r="E20" s="3" t="s">
        <v>384</v>
      </c>
      <c r="F20" s="3" t="s">
        <v>385</v>
      </c>
      <c r="G20" s="3"/>
      <c r="H20" s="3" t="s">
        <v>269</v>
      </c>
      <c r="I20" s="3" t="str">
        <v/>
      </c>
      <c r="J20" s="4" t="n">
        <v>72</v>
      </c>
      <c r="K20" s="4" t="n">
        <v>7</v>
      </c>
      <c r="L20" s="3" t="s">
        <v>214</v>
      </c>
      <c r="M20" s="4"/>
      <c r="N20" s="4"/>
      <c r="O20" s="4" t="n">
        <f aca="false">IF(K20="","",ROUND(MAX(0,10*(1-K20/Filters!$B$5)),1))</f>
        <v>9.2</v>
      </c>
      <c r="P20" s="4"/>
      <c r="Q20" s="4"/>
      <c r="R20" s="4"/>
      <c r="S20" s="4"/>
      <c r="T20" s="4"/>
      <c r="U20" s="4"/>
      <c r="V20" s="4"/>
      <c r="W20" s="3" t="n">
        <f aca="false">IF(M20="",0,COUNT(M20:V20))</f>
        <v>0</v>
      </c>
      <c r="X20" s="3" t="str">
        <f aca="false"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3" t="str">
        <f aca="false">IF(AND(ISNUMBER(SEARCH("pass",L20)),ISNUMBER(X20)),COUNTIFS(L$2:L$90,"*pass*",X$2:X$90,"&gt;"&amp;X20)+1,"")</f>
        <v/>
      </c>
      <c r="Z20" s="3" t="s">
        <v>386</v>
      </c>
      <c r="AA20" s="1" t="s">
        <v>387</v>
      </c>
      <c r="AB20" s="1" t="s">
        <v>272</v>
      </c>
      <c r="AC20" s="1" t="s">
        <v>388</v>
      </c>
      <c r="AD20" s="1" t="s">
        <v>389</v>
      </c>
      <c r="AE20" s="9" t="n">
        <v>1500000</v>
      </c>
      <c r="AF20" s="7" t="s">
        <v>211</v>
      </c>
      <c r="AG20" s="7" t="s">
        <v>274</v>
      </c>
      <c r="AH20" s="7" t="s">
        <v>213</v>
      </c>
      <c r="AI20" s="7" t="s">
        <v>214</v>
      </c>
      <c r="AJ20" s="7" t="s">
        <v>275</v>
      </c>
    </row>
    <row r="21" customFormat="false" ht="15.75" hidden="false" customHeight="false" outlineLevel="0" collapsed="false">
      <c r="A21" s="3" t="s">
        <v>390</v>
      </c>
      <c r="B21" s="3" t="s">
        <v>382</v>
      </c>
      <c r="C21" s="3" t="s">
        <v>200</v>
      </c>
      <c r="D21" s="3" t="s">
        <v>391</v>
      </c>
      <c r="E21" s="3" t="s">
        <v>392</v>
      </c>
      <c r="F21" s="3" t="s">
        <v>393</v>
      </c>
      <c r="G21" s="3"/>
      <c r="H21" s="3" t="s">
        <v>269</v>
      </c>
      <c r="I21" s="3" t="str">
        <v/>
      </c>
      <c r="J21" s="4" t="n">
        <v>74</v>
      </c>
      <c r="K21" s="4" t="n">
        <v>9</v>
      </c>
      <c r="L21" s="3" t="s">
        <v>214</v>
      </c>
      <c r="M21" s="4"/>
      <c r="N21" s="4"/>
      <c r="O21" s="4" t="n">
        <f aca="false">IF(K21="","",ROUND(MAX(0,10*(1-K21/Filters!$B$5)),1))</f>
        <v>9</v>
      </c>
      <c r="P21" s="4"/>
      <c r="Q21" s="4"/>
      <c r="R21" s="4"/>
      <c r="S21" s="4"/>
      <c r="T21" s="4"/>
      <c r="U21" s="4"/>
      <c r="V21" s="4"/>
      <c r="W21" s="3" t="n">
        <f aca="false">IF(M21="",0,COUNT(M21:V21))</f>
        <v>0</v>
      </c>
      <c r="X21" s="3" t="str">
        <f aca="false"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3" t="str">
        <f aca="false">IF(AND(ISNUMBER(SEARCH("pass",L21)),ISNUMBER(X21)),COUNTIFS(L$2:L$90,"*pass*",X$2:X$90,"&gt;"&amp;X21)+1,"")</f>
        <v/>
      </c>
      <c r="Z21" s="3" t="s">
        <v>394</v>
      </c>
      <c r="AA21" s="1" t="s">
        <v>395</v>
      </c>
      <c r="AB21" s="1" t="s">
        <v>272</v>
      </c>
      <c r="AC21" s="1" t="s">
        <v>396</v>
      </c>
      <c r="AD21" s="1" t="s">
        <v>368</v>
      </c>
      <c r="AE21" s="9" t="n">
        <v>1500000</v>
      </c>
      <c r="AF21" s="7" t="s">
        <v>211</v>
      </c>
      <c r="AG21" s="7" t="s">
        <v>274</v>
      </c>
      <c r="AH21" s="7" t="s">
        <v>213</v>
      </c>
      <c r="AI21" s="7" t="s">
        <v>214</v>
      </c>
      <c r="AJ21" s="7" t="s">
        <v>275</v>
      </c>
    </row>
    <row r="22" customFormat="false" ht="15.75" hidden="false" customHeight="false" outlineLevel="0" collapsed="false">
      <c r="A22" s="3" t="s">
        <v>397</v>
      </c>
      <c r="B22" s="3" t="s">
        <v>398</v>
      </c>
      <c r="C22" s="3" t="s">
        <v>200</v>
      </c>
      <c r="D22" s="3" t="s">
        <v>399</v>
      </c>
      <c r="E22" s="3" t="s">
        <v>202</v>
      </c>
      <c r="F22" s="3" t="s">
        <v>400</v>
      </c>
      <c r="G22" s="3"/>
      <c r="H22" s="3" t="s">
        <v>269</v>
      </c>
      <c r="I22" s="3" t="str">
        <v/>
      </c>
      <c r="J22" s="4" t="n">
        <v>21</v>
      </c>
      <c r="K22" s="4" t="n">
        <v>7</v>
      </c>
      <c r="L22" s="3" t="s">
        <v>214</v>
      </c>
      <c r="M22" s="4"/>
      <c r="N22" s="4"/>
      <c r="O22" s="4" t="n">
        <f aca="false">IF(K22="","",ROUND(MAX(0,10*(1-K22/Filters!$B$5)),1))</f>
        <v>9.2</v>
      </c>
      <c r="P22" s="4"/>
      <c r="Q22" s="4"/>
      <c r="R22" s="4"/>
      <c r="S22" s="4"/>
      <c r="T22" s="4"/>
      <c r="U22" s="4"/>
      <c r="V22" s="4"/>
      <c r="W22" s="3" t="n">
        <f aca="false">IF(M22="",0,COUNT(M22:V22))</f>
        <v>0</v>
      </c>
      <c r="X22" s="3" t="str">
        <f aca="false"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3" t="str">
        <f aca="false">IF(AND(ISNUMBER(SEARCH("pass",L22)),ISNUMBER(X22)),COUNTIFS(L$2:L$90,"*pass*",X$2:X$90,"&gt;"&amp;X22)+1,"")</f>
        <v/>
      </c>
      <c r="Z22" s="3" t="s">
        <v>401</v>
      </c>
      <c r="AA22" s="1" t="s">
        <v>402</v>
      </c>
      <c r="AB22" s="1" t="s">
        <v>208</v>
      </c>
      <c r="AC22" s="1" t="s">
        <v>403</v>
      </c>
      <c r="AD22" s="1" t="s">
        <v>253</v>
      </c>
      <c r="AE22" s="9" t="n">
        <v>1500000</v>
      </c>
      <c r="AF22" s="7" t="s">
        <v>211</v>
      </c>
      <c r="AG22" s="7" t="s">
        <v>274</v>
      </c>
      <c r="AH22" s="7" t="s">
        <v>213</v>
      </c>
      <c r="AI22" s="7" t="s">
        <v>214</v>
      </c>
      <c r="AJ22" s="7" t="s">
        <v>275</v>
      </c>
    </row>
    <row r="23" customFormat="false" ht="15.75" hidden="false" customHeight="false" outlineLevel="0" collapsed="false">
      <c r="A23" s="3" t="s">
        <v>404</v>
      </c>
      <c r="B23" s="3" t="s">
        <v>398</v>
      </c>
      <c r="C23" s="3" t="s">
        <v>200</v>
      </c>
      <c r="D23" s="3" t="s">
        <v>405</v>
      </c>
      <c r="E23" s="3" t="s">
        <v>202</v>
      </c>
      <c r="F23" s="3" t="s">
        <v>406</v>
      </c>
      <c r="G23" s="3" t="n">
        <v>929500</v>
      </c>
      <c r="H23" s="3" t="s">
        <v>407</v>
      </c>
      <c r="I23" s="3" t="n">
        <v>985270</v>
      </c>
      <c r="J23" s="4" t="n">
        <v>17</v>
      </c>
      <c r="K23" s="4" t="n">
        <v>4</v>
      </c>
      <c r="L23" s="3" t="s">
        <v>220</v>
      </c>
      <c r="M23" s="4"/>
      <c r="N23" s="4"/>
      <c r="O23" s="4" t="n">
        <f aca="false">IF(K23="","",ROUND(MAX(0,10*(1-K23/Filters!$B$5)),1))</f>
        <v>9.6</v>
      </c>
      <c r="P23" s="4"/>
      <c r="Q23" s="4"/>
      <c r="R23" s="4"/>
      <c r="S23" s="4"/>
      <c r="T23" s="4"/>
      <c r="U23" s="4"/>
      <c r="V23" s="4"/>
      <c r="W23" s="3" t="n">
        <f aca="false">IF(M23="",0,COUNT(M23:V23))</f>
        <v>0</v>
      </c>
      <c r="X23" s="3" t="str">
        <f aca="false"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3" t="str">
        <f aca="false">IF(AND(ISNUMBER(SEARCH("pass",L23)),ISNUMBER(X23)),COUNTIFS(L$2:L$90,"*pass*",X$2:X$90,"&gt;"&amp;X23)+1,"")</f>
        <v/>
      </c>
      <c r="Z23" s="3" t="s">
        <v>408</v>
      </c>
      <c r="AA23" s="1" t="s">
        <v>409</v>
      </c>
      <c r="AB23" s="1" t="s">
        <v>208</v>
      </c>
      <c r="AC23" s="1" t="s">
        <v>410</v>
      </c>
      <c r="AD23" s="1" t="s">
        <v>253</v>
      </c>
      <c r="AE23" s="9" t="n">
        <v>1500000</v>
      </c>
      <c r="AF23" s="7" t="s">
        <v>211</v>
      </c>
      <c r="AG23" s="7" t="s">
        <v>212</v>
      </c>
      <c r="AH23" s="7" t="s">
        <v>213</v>
      </c>
      <c r="AI23" s="7" t="s">
        <v>225</v>
      </c>
      <c r="AJ23" s="7" t="s">
        <v>411</v>
      </c>
    </row>
    <row r="24" customFormat="false" ht="15.75" hidden="false" customHeight="false" outlineLevel="0" collapsed="false">
      <c r="A24" s="3" t="s">
        <v>412</v>
      </c>
      <c r="B24" s="3" t="s">
        <v>398</v>
      </c>
      <c r="C24" s="3" t="s">
        <v>200</v>
      </c>
      <c r="D24" s="3" t="s">
        <v>247</v>
      </c>
      <c r="E24" s="3" t="s">
        <v>202</v>
      </c>
      <c r="F24" s="3" t="s">
        <v>413</v>
      </c>
      <c r="G24" s="3"/>
      <c r="H24" s="3" t="s">
        <v>269</v>
      </c>
      <c r="I24" s="3" t="str">
        <v/>
      </c>
      <c r="J24" s="4" t="n">
        <v>19</v>
      </c>
      <c r="K24" s="4" t="n">
        <v>5</v>
      </c>
      <c r="L24" s="3" t="s">
        <v>214</v>
      </c>
      <c r="M24" s="4"/>
      <c r="N24" s="4"/>
      <c r="O24" s="4" t="n">
        <f aca="false">IF(K24="","",ROUND(MAX(0,10*(1-K24/Filters!$B$5)),1))</f>
        <v>9.4</v>
      </c>
      <c r="P24" s="4"/>
      <c r="Q24" s="4"/>
      <c r="R24" s="4"/>
      <c r="S24" s="4"/>
      <c r="T24" s="4"/>
      <c r="U24" s="4"/>
      <c r="V24" s="4"/>
      <c r="W24" s="3" t="n">
        <f aca="false">IF(M24="",0,COUNT(M24:V24))</f>
        <v>0</v>
      </c>
      <c r="X24" s="3" t="str">
        <f aca="false"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3" t="str">
        <f aca="false">IF(AND(ISNUMBER(SEARCH("pass",L24)),ISNUMBER(X24)),COUNTIFS(L$2:L$90,"*pass*",X$2:X$90,"&gt;"&amp;X24)+1,"")</f>
        <v/>
      </c>
      <c r="Z24" s="3" t="s">
        <v>414</v>
      </c>
      <c r="AA24" s="1" t="s">
        <v>415</v>
      </c>
      <c r="AB24" s="1" t="s">
        <v>208</v>
      </c>
      <c r="AC24" s="1" t="s">
        <v>416</v>
      </c>
      <c r="AD24" s="1" t="s">
        <v>253</v>
      </c>
      <c r="AE24" s="9" t="n">
        <v>1500000</v>
      </c>
      <c r="AF24" s="7" t="s">
        <v>211</v>
      </c>
      <c r="AG24" s="7" t="s">
        <v>274</v>
      </c>
      <c r="AH24" s="7" t="s">
        <v>213</v>
      </c>
      <c r="AI24" s="7" t="s">
        <v>214</v>
      </c>
      <c r="AJ24" s="7" t="s">
        <v>275</v>
      </c>
    </row>
    <row r="25" customFormat="false" ht="15.75" hidden="false" customHeight="false" outlineLevel="0" collapsed="false">
      <c r="A25" s="3" t="s">
        <v>417</v>
      </c>
      <c r="B25" s="3" t="s">
        <v>418</v>
      </c>
      <c r="C25" s="3" t="s">
        <v>200</v>
      </c>
      <c r="D25" s="3" t="s">
        <v>419</v>
      </c>
      <c r="E25" s="3" t="s">
        <v>202</v>
      </c>
      <c r="F25" s="3" t="s">
        <v>420</v>
      </c>
      <c r="G25" s="3"/>
      <c r="H25" s="3" t="s">
        <v>269</v>
      </c>
      <c r="I25" s="3" t="str">
        <v/>
      </c>
      <c r="J25" s="4" t="n">
        <v>17</v>
      </c>
      <c r="K25" s="4" t="n">
        <v>10</v>
      </c>
      <c r="L25" s="3" t="s">
        <v>214</v>
      </c>
      <c r="M25" s="4"/>
      <c r="N25" s="4"/>
      <c r="O25" s="4" t="n">
        <f aca="false">IF(K25="","",ROUND(MAX(0,10*(1-K25/Filters!$B$5)),1))</f>
        <v>8.9</v>
      </c>
      <c r="P25" s="4"/>
      <c r="Q25" s="4"/>
      <c r="R25" s="4"/>
      <c r="S25" s="4"/>
      <c r="T25" s="4"/>
      <c r="U25" s="4"/>
      <c r="V25" s="4"/>
      <c r="W25" s="3" t="n">
        <f aca="false">IF(M25="",0,COUNT(M25:V25))</f>
        <v>0</v>
      </c>
      <c r="X25" s="3" t="str">
        <f aca="false"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3" t="str">
        <f aca="false">IF(AND(ISNUMBER(SEARCH("pass",L25)),ISNUMBER(X25)),COUNTIFS(L$2:L$90,"*pass*",X$2:X$90,"&gt;"&amp;X25)+1,"")</f>
        <v/>
      </c>
      <c r="Z25" s="3" t="s">
        <v>421</v>
      </c>
      <c r="AA25" s="1" t="s">
        <v>422</v>
      </c>
      <c r="AB25" s="1" t="s">
        <v>272</v>
      </c>
      <c r="AC25" s="1" t="s">
        <v>423</v>
      </c>
      <c r="AD25" s="1" t="s">
        <v>253</v>
      </c>
      <c r="AE25" s="9" t="n">
        <v>1500000</v>
      </c>
      <c r="AF25" s="7" t="s">
        <v>211</v>
      </c>
      <c r="AG25" s="7" t="s">
        <v>274</v>
      </c>
      <c r="AH25" s="7" t="s">
        <v>213</v>
      </c>
      <c r="AI25" s="7" t="s">
        <v>214</v>
      </c>
      <c r="AJ25" s="7" t="s">
        <v>275</v>
      </c>
    </row>
    <row r="26" customFormat="false" ht="15.75" hidden="false" customHeight="false" outlineLevel="0" collapsed="false">
      <c r="A26" s="3" t="s">
        <v>424</v>
      </c>
      <c r="B26" s="3" t="s">
        <v>418</v>
      </c>
      <c r="C26" s="3" t="s">
        <v>200</v>
      </c>
      <c r="D26" s="3" t="s">
        <v>425</v>
      </c>
      <c r="E26" s="3" t="s">
        <v>202</v>
      </c>
      <c r="F26" s="3" t="s">
        <v>426</v>
      </c>
      <c r="G26" s="3"/>
      <c r="H26" s="3" t="s">
        <v>269</v>
      </c>
      <c r="I26" s="3" t="str">
        <v/>
      </c>
      <c r="J26" s="4" t="n">
        <v>22</v>
      </c>
      <c r="K26" s="4" t="n">
        <v>12</v>
      </c>
      <c r="L26" s="3" t="s">
        <v>214</v>
      </c>
      <c r="M26" s="4"/>
      <c r="N26" s="4"/>
      <c r="O26" s="4" t="n">
        <f aca="false">IF(K26="","",ROUND(MAX(0,10*(1-K26/Filters!$B$5)),1))</f>
        <v>8.7</v>
      </c>
      <c r="P26" s="4"/>
      <c r="Q26" s="4"/>
      <c r="R26" s="4"/>
      <c r="S26" s="4"/>
      <c r="T26" s="4"/>
      <c r="U26" s="4"/>
      <c r="V26" s="4"/>
      <c r="W26" s="3" t="n">
        <f aca="false">IF(M26="",0,COUNT(M26:V26))</f>
        <v>0</v>
      </c>
      <c r="X26" s="3" t="str">
        <f aca="false"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3" t="str">
        <f aca="false">IF(AND(ISNUMBER(SEARCH("pass",L26)),ISNUMBER(X26)),COUNTIFS(L$2:L$90,"*pass*",X$2:X$90,"&gt;"&amp;X26)+1,"")</f>
        <v/>
      </c>
      <c r="Z26" s="3" t="s">
        <v>427</v>
      </c>
      <c r="AA26" s="1" t="s">
        <v>428</v>
      </c>
      <c r="AB26" s="1" t="s">
        <v>272</v>
      </c>
      <c r="AC26" s="1" t="s">
        <v>429</v>
      </c>
      <c r="AD26" s="1" t="s">
        <v>224</v>
      </c>
      <c r="AE26" s="9" t="n">
        <v>1500000</v>
      </c>
      <c r="AF26" s="7" t="s">
        <v>211</v>
      </c>
      <c r="AG26" s="7" t="s">
        <v>274</v>
      </c>
      <c r="AH26" s="7" t="s">
        <v>213</v>
      </c>
      <c r="AI26" s="7" t="s">
        <v>214</v>
      </c>
      <c r="AJ26" s="7" t="s">
        <v>275</v>
      </c>
    </row>
    <row r="27" customFormat="false" ht="15.75" hidden="false" customHeight="false" outlineLevel="0" collapsed="false">
      <c r="A27" s="3" t="s">
        <v>430</v>
      </c>
      <c r="B27" s="3" t="s">
        <v>431</v>
      </c>
      <c r="C27" s="3" t="s">
        <v>200</v>
      </c>
      <c r="D27" s="3" t="s">
        <v>432</v>
      </c>
      <c r="E27" s="3" t="s">
        <v>202</v>
      </c>
      <c r="F27" s="3" t="s">
        <v>433</v>
      </c>
      <c r="G27" s="3"/>
      <c r="H27" s="3" t="s">
        <v>269</v>
      </c>
      <c r="I27" s="3" t="str">
        <v/>
      </c>
      <c r="J27" s="4" t="n">
        <v>27</v>
      </c>
      <c r="K27" s="4" t="n">
        <v>17</v>
      </c>
      <c r="L27" s="3" t="s">
        <v>214</v>
      </c>
      <c r="M27" s="4"/>
      <c r="N27" s="4"/>
      <c r="O27" s="4" t="n">
        <f aca="false">IF(K27="","",ROUND(MAX(0,10*(1-K27/Filters!$B$5)),1))</f>
        <v>8.1</v>
      </c>
      <c r="P27" s="4"/>
      <c r="Q27" s="4"/>
      <c r="R27" s="4"/>
      <c r="S27" s="4"/>
      <c r="T27" s="4"/>
      <c r="U27" s="4"/>
      <c r="V27" s="4"/>
      <c r="W27" s="3" t="n">
        <f aca="false">IF(M27="",0,COUNT(M27:V27))</f>
        <v>0</v>
      </c>
      <c r="X27" s="3" t="str">
        <f aca="false"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3" t="str">
        <f aca="false">IF(AND(ISNUMBER(SEARCH("pass",L27)),ISNUMBER(X27)),COUNTIFS(L$2:L$90,"*pass*",X$2:X$90,"&gt;"&amp;X27)+1,"")</f>
        <v/>
      </c>
      <c r="Z27" s="3" t="s">
        <v>434</v>
      </c>
      <c r="AA27" s="1" t="s">
        <v>435</v>
      </c>
      <c r="AB27" s="1" t="s">
        <v>272</v>
      </c>
      <c r="AC27" s="1" t="s">
        <v>436</v>
      </c>
      <c r="AD27" s="1" t="s">
        <v>224</v>
      </c>
      <c r="AE27" s="9" t="n">
        <v>1500000</v>
      </c>
      <c r="AF27" s="7" t="s">
        <v>211</v>
      </c>
      <c r="AG27" s="7" t="s">
        <v>274</v>
      </c>
      <c r="AH27" s="7" t="s">
        <v>213</v>
      </c>
      <c r="AI27" s="7" t="s">
        <v>214</v>
      </c>
      <c r="AJ27" s="7" t="s">
        <v>275</v>
      </c>
    </row>
    <row r="28" customFormat="false" ht="15.75" hidden="false" customHeight="false" outlineLevel="0" collapsed="false">
      <c r="A28" s="3" t="s">
        <v>437</v>
      </c>
      <c r="B28" s="3" t="s">
        <v>438</v>
      </c>
      <c r="C28" s="3" t="s">
        <v>200</v>
      </c>
      <c r="D28" s="3" t="s">
        <v>439</v>
      </c>
      <c r="E28" s="3" t="s">
        <v>202</v>
      </c>
      <c r="F28" s="3" t="s">
        <v>440</v>
      </c>
      <c r="G28" s="3"/>
      <c r="H28" s="3" t="s">
        <v>269</v>
      </c>
      <c r="I28" s="3" t="str">
        <v/>
      </c>
      <c r="J28" s="4" t="n">
        <v>18</v>
      </c>
      <c r="K28" s="4" t="n">
        <v>6</v>
      </c>
      <c r="L28" s="3" t="s">
        <v>214</v>
      </c>
      <c r="M28" s="4"/>
      <c r="N28" s="4"/>
      <c r="O28" s="4" t="n">
        <f aca="false">IF(K28="","",ROUND(MAX(0,10*(1-K28/Filters!$B$5)),1))</f>
        <v>9.3</v>
      </c>
      <c r="P28" s="4"/>
      <c r="Q28" s="4"/>
      <c r="R28" s="4"/>
      <c r="S28" s="4"/>
      <c r="T28" s="4"/>
      <c r="U28" s="4"/>
      <c r="V28" s="4"/>
      <c r="W28" s="3" t="n">
        <f aca="false">IF(M28="",0,COUNT(M28:V28))</f>
        <v>0</v>
      </c>
      <c r="X28" s="3" t="str">
        <f aca="false"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3" t="str">
        <f aca="false">IF(AND(ISNUMBER(SEARCH("pass",L28)),ISNUMBER(X28)),COUNTIFS(L$2:L$90,"*pass*",X$2:X$90,"&gt;"&amp;X28)+1,"")</f>
        <v/>
      </c>
      <c r="Z28" s="3" t="s">
        <v>441</v>
      </c>
      <c r="AA28" s="1" t="s">
        <v>442</v>
      </c>
      <c r="AB28" s="1" t="s">
        <v>208</v>
      </c>
      <c r="AC28" s="1" t="s">
        <v>443</v>
      </c>
      <c r="AD28" s="1" t="s">
        <v>224</v>
      </c>
      <c r="AE28" s="9" t="n">
        <v>1500000</v>
      </c>
      <c r="AF28" s="7" t="s">
        <v>211</v>
      </c>
      <c r="AG28" s="7" t="s">
        <v>274</v>
      </c>
      <c r="AH28" s="7" t="s">
        <v>213</v>
      </c>
      <c r="AI28" s="7" t="s">
        <v>214</v>
      </c>
      <c r="AJ28" s="7" t="s">
        <v>275</v>
      </c>
    </row>
    <row r="29" customFormat="false" ht="15.75" hidden="false" customHeight="false" outlineLevel="0" collapsed="false">
      <c r="A29" s="3" t="s">
        <v>444</v>
      </c>
      <c r="B29" s="3" t="s">
        <v>445</v>
      </c>
      <c r="C29" s="3" t="s">
        <v>200</v>
      </c>
      <c r="D29" s="3" t="s">
        <v>446</v>
      </c>
      <c r="E29" s="3" t="s">
        <v>202</v>
      </c>
      <c r="F29" s="3" t="s">
        <v>447</v>
      </c>
      <c r="G29" s="3" t="n">
        <v>620000</v>
      </c>
      <c r="H29" s="3" t="s">
        <v>448</v>
      </c>
      <c r="I29" s="3" t="n">
        <v>657200</v>
      </c>
      <c r="J29" s="4" t="n">
        <v>58</v>
      </c>
      <c r="K29" s="4" t="n">
        <v>2</v>
      </c>
      <c r="L29" s="3" t="s">
        <v>220</v>
      </c>
      <c r="M29" s="4"/>
      <c r="N29" s="4"/>
      <c r="O29" s="4" t="n">
        <f aca="false">IF(K29="","",ROUND(MAX(0,10*(1-K29/Filters!$B$5)),1))</f>
        <v>9.8</v>
      </c>
      <c r="P29" s="4"/>
      <c r="Q29" s="4"/>
      <c r="R29" s="4"/>
      <c r="S29" s="4"/>
      <c r="T29" s="4"/>
      <c r="U29" s="4"/>
      <c r="V29" s="4"/>
      <c r="W29" s="3" t="n">
        <f aca="false">IF(M29="",0,COUNT(M29:V29))</f>
        <v>0</v>
      </c>
      <c r="X29" s="3" t="str">
        <f aca="false"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3" t="str">
        <f aca="false">IF(AND(ISNUMBER(SEARCH("pass",L29)),ISNUMBER(X29)),COUNTIFS(L$2:L$90,"*pass*",X$2:X$90,"&gt;"&amp;X29)+1,"")</f>
        <v/>
      </c>
      <c r="Z29" s="3" t="s">
        <v>449</v>
      </c>
      <c r="AA29" s="1" t="s">
        <v>450</v>
      </c>
      <c r="AB29" s="1" t="s">
        <v>208</v>
      </c>
      <c r="AC29" s="1" t="s">
        <v>451</v>
      </c>
      <c r="AD29" s="1" t="s">
        <v>452</v>
      </c>
      <c r="AE29" s="9" t="n">
        <v>1500000</v>
      </c>
      <c r="AF29" s="7" t="s">
        <v>211</v>
      </c>
      <c r="AG29" s="7" t="s">
        <v>212</v>
      </c>
      <c r="AH29" s="7" t="s">
        <v>213</v>
      </c>
      <c r="AI29" s="7" t="s">
        <v>225</v>
      </c>
      <c r="AJ29" s="7" t="s">
        <v>453</v>
      </c>
    </row>
    <row r="30" customFormat="false" ht="15.75" hidden="false" customHeight="false" outlineLevel="0" collapsed="false">
      <c r="A30" s="3" t="s">
        <v>454</v>
      </c>
      <c r="B30" s="3" t="s">
        <v>455</v>
      </c>
      <c r="C30" s="3" t="s">
        <v>200</v>
      </c>
      <c r="D30" s="3" t="s">
        <v>456</v>
      </c>
      <c r="E30" s="3" t="s">
        <v>457</v>
      </c>
      <c r="F30" s="3" t="s">
        <v>458</v>
      </c>
      <c r="G30" s="3"/>
      <c r="H30" s="3" t="s">
        <v>269</v>
      </c>
      <c r="I30" s="3" t="str">
        <v/>
      </c>
      <c r="J30" s="4" t="n">
        <v>34</v>
      </c>
      <c r="K30" s="4" t="n">
        <v>10</v>
      </c>
      <c r="L30" s="3" t="s">
        <v>214</v>
      </c>
      <c r="M30" s="4"/>
      <c r="N30" s="4"/>
      <c r="O30" s="4" t="n">
        <f aca="false">IF(K30="","",ROUND(MAX(0,10*(1-K30/Filters!$B$5)),1))</f>
        <v>8.9</v>
      </c>
      <c r="P30" s="4"/>
      <c r="Q30" s="4"/>
      <c r="R30" s="4"/>
      <c r="S30" s="4"/>
      <c r="T30" s="4"/>
      <c r="U30" s="4"/>
      <c r="V30" s="4"/>
      <c r="W30" s="3" t="n">
        <f aca="false">IF(M30="",0,COUNT(M30:V30))</f>
        <v>0</v>
      </c>
      <c r="X30" s="3" t="str">
        <f aca="false"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3" t="str">
        <f aca="false">IF(AND(ISNUMBER(SEARCH("pass",L30)),ISNUMBER(X30)),COUNTIFS(L$2:L$90,"*pass*",X$2:X$90,"&gt;"&amp;X30)+1,"")</f>
        <v/>
      </c>
      <c r="Z30" s="3" t="s">
        <v>459</v>
      </c>
      <c r="AA30" s="1" t="s">
        <v>460</v>
      </c>
      <c r="AB30" s="1" t="s">
        <v>272</v>
      </c>
      <c r="AC30" s="1" t="s">
        <v>461</v>
      </c>
      <c r="AD30" s="1" t="s">
        <v>303</v>
      </c>
      <c r="AE30" s="9" t="n">
        <v>1500000</v>
      </c>
      <c r="AF30" s="7" t="s">
        <v>211</v>
      </c>
      <c r="AG30" s="7" t="s">
        <v>274</v>
      </c>
      <c r="AH30" s="7" t="s">
        <v>213</v>
      </c>
      <c r="AI30" s="7" t="s">
        <v>214</v>
      </c>
      <c r="AJ30" s="7" t="s">
        <v>275</v>
      </c>
    </row>
    <row r="31" customFormat="false" ht="15.75" hidden="false" customHeight="false" outlineLevel="0" collapsed="false">
      <c r="A31" s="3" t="s">
        <v>462</v>
      </c>
      <c r="B31" s="3" t="s">
        <v>455</v>
      </c>
      <c r="C31" s="3" t="s">
        <v>200</v>
      </c>
      <c r="D31" s="3" t="s">
        <v>463</v>
      </c>
      <c r="E31" s="3" t="s">
        <v>464</v>
      </c>
      <c r="F31" s="3" t="s">
        <v>465</v>
      </c>
      <c r="G31" s="3"/>
      <c r="H31" s="3" t="s">
        <v>269</v>
      </c>
      <c r="I31" s="3" t="str">
        <v/>
      </c>
      <c r="J31" s="4" t="n">
        <v>40</v>
      </c>
      <c r="K31" s="4" t="n">
        <v>15</v>
      </c>
      <c r="L31" s="3" t="s">
        <v>214</v>
      </c>
      <c r="M31" s="4"/>
      <c r="N31" s="4"/>
      <c r="O31" s="4" t="n">
        <f aca="false">IF(K31="","",ROUND(MAX(0,10*(1-K31/Filters!$B$5)),1))</f>
        <v>8.3</v>
      </c>
      <c r="P31" s="4"/>
      <c r="Q31" s="4"/>
      <c r="R31" s="4"/>
      <c r="S31" s="4"/>
      <c r="T31" s="4"/>
      <c r="U31" s="4"/>
      <c r="V31" s="4"/>
      <c r="W31" s="3" t="n">
        <f aca="false">IF(M31="",0,COUNT(M31:V31))</f>
        <v>0</v>
      </c>
      <c r="X31" s="3" t="str">
        <f aca="false"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3" t="str">
        <f aca="false">IF(AND(ISNUMBER(SEARCH("pass",L31)),ISNUMBER(X31)),COUNTIFS(L$2:L$90,"*pass*",X$2:X$90,"&gt;"&amp;X31)+1,"")</f>
        <v/>
      </c>
      <c r="Z31" s="3" t="s">
        <v>466</v>
      </c>
      <c r="AA31" s="1" t="s">
        <v>467</v>
      </c>
      <c r="AB31" s="1" t="s">
        <v>272</v>
      </c>
      <c r="AC31" s="1" t="s">
        <v>468</v>
      </c>
      <c r="AD31" s="1" t="s">
        <v>303</v>
      </c>
      <c r="AE31" s="9" t="n">
        <v>1500000</v>
      </c>
      <c r="AF31" s="7" t="s">
        <v>211</v>
      </c>
      <c r="AG31" s="7" t="s">
        <v>274</v>
      </c>
      <c r="AH31" s="7" t="s">
        <v>213</v>
      </c>
      <c r="AI31" s="7" t="s">
        <v>214</v>
      </c>
      <c r="AJ31" s="7" t="s">
        <v>275</v>
      </c>
    </row>
    <row r="32" customFormat="false" ht="15.75" hidden="false" customHeight="false" outlineLevel="0" collapsed="false">
      <c r="A32" s="3" t="s">
        <v>469</v>
      </c>
      <c r="B32" s="3" t="s">
        <v>371</v>
      </c>
      <c r="C32" s="3" t="s">
        <v>200</v>
      </c>
      <c r="D32" s="3" t="s">
        <v>470</v>
      </c>
      <c r="E32" s="3" t="s">
        <v>471</v>
      </c>
      <c r="F32" s="3" t="s">
        <v>472</v>
      </c>
      <c r="G32" s="3" t="n">
        <v>715000</v>
      </c>
      <c r="H32" s="3" t="s">
        <v>473</v>
      </c>
      <c r="I32" s="3" t="n">
        <v>757900</v>
      </c>
      <c r="J32" s="4" t="n">
        <v>95</v>
      </c>
      <c r="K32" s="4" t="n">
        <v>23</v>
      </c>
      <c r="L32" s="3" t="s">
        <v>376</v>
      </c>
      <c r="M32" s="4"/>
      <c r="N32" s="4"/>
      <c r="O32" s="4" t="n">
        <f aca="false">IF(K32="","",ROUND(MAX(0,10*(1-K32/Filters!$B$5)),1))</f>
        <v>7.4</v>
      </c>
      <c r="P32" s="4"/>
      <c r="Q32" s="4"/>
      <c r="R32" s="4"/>
      <c r="S32" s="4"/>
      <c r="T32" s="4"/>
      <c r="U32" s="4"/>
      <c r="V32" s="4"/>
      <c r="W32" s="3" t="n">
        <f aca="false">IF(M32="",0,COUNT(M32:V32))</f>
        <v>0</v>
      </c>
      <c r="X32" s="3" t="str">
        <f aca="false"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3" t="str">
        <f aca="false">IF(AND(ISNUMBER(SEARCH("pass",L32)),ISNUMBER(X32)),COUNTIFS(L$2:L$90,"*pass*",X$2:X$90,"&gt;"&amp;X32)+1,"")</f>
        <v/>
      </c>
      <c r="Z32" s="3" t="s">
        <v>474</v>
      </c>
      <c r="AA32" s="1" t="s">
        <v>475</v>
      </c>
      <c r="AB32" s="1" t="s">
        <v>272</v>
      </c>
      <c r="AC32" s="1" t="s">
        <v>476</v>
      </c>
      <c r="AD32" s="1" t="s">
        <v>368</v>
      </c>
      <c r="AE32" s="9" t="n">
        <v>1500000</v>
      </c>
      <c r="AF32" s="7" t="s">
        <v>211</v>
      </c>
      <c r="AG32" s="7" t="s">
        <v>212</v>
      </c>
      <c r="AH32" s="7" t="s">
        <v>213</v>
      </c>
      <c r="AI32" s="7" t="s">
        <v>225</v>
      </c>
      <c r="AJ32" s="7" t="s">
        <v>477</v>
      </c>
    </row>
    <row r="33" customFormat="false" ht="15.75" hidden="false" customHeight="false" outlineLevel="0" collapsed="false">
      <c r="A33" s="3" t="s">
        <v>478</v>
      </c>
      <c r="B33" s="3" t="s">
        <v>326</v>
      </c>
      <c r="C33" s="3" t="s">
        <v>479</v>
      </c>
      <c r="D33" s="3" t="s">
        <v>480</v>
      </c>
      <c r="E33" s="3" t="s">
        <v>267</v>
      </c>
      <c r="F33" s="3" t="s">
        <v>481</v>
      </c>
      <c r="G33" s="3" t="n">
        <v>717500</v>
      </c>
      <c r="H33" s="3" t="s">
        <v>482</v>
      </c>
      <c r="I33" s="3" t="n">
        <v>760550</v>
      </c>
      <c r="J33" s="4" t="n">
        <v>65</v>
      </c>
      <c r="K33" s="4" t="n">
        <v>53</v>
      </c>
      <c r="L33" s="3" t="s">
        <v>214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3" t="n">
        <f aca="false">IF(M33="",0,COUNT(M33:V33))</f>
        <v>0</v>
      </c>
      <c r="X33" s="3" t="str">
        <f aca="false"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3" t="str">
        <f aca="false">IF(AND(ISNUMBER(SEARCH("pass",L33)),ISNUMBER(X33)),COUNTIFS(L$2:L$90,"*pass*",X$2:X$90,"&gt;"&amp;X33)+1,"")</f>
        <v/>
      </c>
      <c r="Z33" s="3" t="s">
        <v>483</v>
      </c>
      <c r="AA33" s="1" t="s">
        <v>484</v>
      </c>
      <c r="AB33" s="7" t="s">
        <v>272</v>
      </c>
      <c r="AC33" s="7" t="s">
        <v>485</v>
      </c>
      <c r="AD33" s="7" t="s">
        <v>486</v>
      </c>
      <c r="AE33" s="9" t="n">
        <v>1500000</v>
      </c>
      <c r="AF33" s="7" t="s">
        <v>211</v>
      </c>
      <c r="AG33" s="7" t="s">
        <v>212</v>
      </c>
      <c r="AH33" s="7" t="s">
        <v>213</v>
      </c>
      <c r="AI33" s="7" t="s">
        <v>225</v>
      </c>
      <c r="AJ33" s="7" t="s">
        <v>487</v>
      </c>
    </row>
    <row r="34" customFormat="false" ht="15.75" hidden="false" customHeight="false" outlineLevel="0" collapsed="false">
      <c r="A34" s="3" t="s">
        <v>488</v>
      </c>
      <c r="B34" s="3" t="s">
        <v>334</v>
      </c>
      <c r="C34" s="3" t="s">
        <v>479</v>
      </c>
      <c r="D34" s="3" t="s">
        <v>489</v>
      </c>
      <c r="E34" s="3" t="s">
        <v>202</v>
      </c>
      <c r="F34" s="3" t="s">
        <v>490</v>
      </c>
      <c r="G34" s="3" t="n">
        <v>978750</v>
      </c>
      <c r="H34" s="3" t="s">
        <v>491</v>
      </c>
      <c r="I34" s="3" t="n">
        <v>1037475</v>
      </c>
      <c r="J34" s="4"/>
      <c r="K34" s="4"/>
      <c r="L34" s="3" t="s">
        <v>214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3" t="n">
        <f aca="false">IF(M34="",0,COUNT(M34:V34))</f>
        <v>0</v>
      </c>
      <c r="X34" s="3" t="str">
        <f aca="false"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3" t="str">
        <f aca="false">IF(AND(ISNUMBER(SEARCH("pass",L34)),ISNUMBER(X34)),COUNTIFS(L$2:L$90,"*pass*",X$2:X$90,"&gt;"&amp;X34)+1,"")</f>
        <v/>
      </c>
      <c r="Z34" s="3" t="s">
        <v>492</v>
      </c>
      <c r="AA34" s="1" t="s">
        <v>493</v>
      </c>
      <c r="AE34" s="9" t="n">
        <v>1500000</v>
      </c>
      <c r="AF34" s="7" t="s">
        <v>211</v>
      </c>
      <c r="AG34" s="7" t="s">
        <v>212</v>
      </c>
      <c r="AH34" s="7" t="s">
        <v>213</v>
      </c>
      <c r="AI34" s="7" t="s">
        <v>225</v>
      </c>
      <c r="AJ34" s="7" t="s">
        <v>494</v>
      </c>
    </row>
    <row r="35" customFormat="false" ht="15.75" hidden="false" customHeight="false" outlineLevel="0" collapsed="false">
      <c r="A35" s="3" t="s">
        <v>495</v>
      </c>
      <c r="B35" s="3" t="s">
        <v>496</v>
      </c>
      <c r="C35" s="3" t="s">
        <v>479</v>
      </c>
      <c r="D35" s="3" t="s">
        <v>497</v>
      </c>
      <c r="E35" s="3" t="s">
        <v>202</v>
      </c>
      <c r="F35" s="3" t="s">
        <v>498</v>
      </c>
      <c r="G35" s="3"/>
      <c r="H35" s="3" t="s">
        <v>269</v>
      </c>
      <c r="I35" s="3" t="str">
        <v/>
      </c>
      <c r="J35" s="4"/>
      <c r="K35" s="4"/>
      <c r="L35" s="3" t="s">
        <v>214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3" t="n">
        <f aca="false">IF(M35="",0,COUNT(M35:V35))</f>
        <v>0</v>
      </c>
      <c r="X35" s="3" t="str">
        <f aca="false"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3" t="str">
        <f aca="false">IF(AND(ISNUMBER(SEARCH("pass",L35)),ISNUMBER(X35)),COUNTIFS(L$2:L$90,"*pass*",X$2:X$90,"&gt;"&amp;X35)+1,"")</f>
        <v/>
      </c>
      <c r="Z35" s="3" t="s">
        <v>499</v>
      </c>
      <c r="AA35" s="1" t="s">
        <v>500</v>
      </c>
      <c r="AE35" s="9" t="n">
        <v>1500000</v>
      </c>
      <c r="AF35" s="7" t="s">
        <v>211</v>
      </c>
      <c r="AG35" s="7" t="s">
        <v>274</v>
      </c>
      <c r="AH35" s="7" t="s">
        <v>213</v>
      </c>
      <c r="AI35" s="7" t="s">
        <v>214</v>
      </c>
      <c r="AJ35" s="7" t="s">
        <v>275</v>
      </c>
    </row>
    <row r="36" customFormat="false" ht="15.75" hidden="false" customHeight="false" outlineLevel="0" collapsed="false">
      <c r="A36" s="3" t="s">
        <v>501</v>
      </c>
      <c r="B36" s="3" t="s">
        <v>496</v>
      </c>
      <c r="C36" s="3" t="s">
        <v>479</v>
      </c>
      <c r="D36" s="3" t="s">
        <v>502</v>
      </c>
      <c r="E36" s="3" t="s">
        <v>202</v>
      </c>
      <c r="F36" s="3" t="s">
        <v>503</v>
      </c>
      <c r="G36" s="3"/>
      <c r="H36" s="3" t="s">
        <v>269</v>
      </c>
      <c r="I36" s="3" t="str">
        <v/>
      </c>
      <c r="J36" s="4"/>
      <c r="K36" s="4"/>
      <c r="L36" s="3" t="s">
        <v>214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3" t="n">
        <f aca="false">IF(M36="",0,COUNT(M36:V36))</f>
        <v>0</v>
      </c>
      <c r="X36" s="3" t="str">
        <f aca="false"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3" t="str">
        <f aca="false">IF(AND(ISNUMBER(SEARCH("pass",L36)),ISNUMBER(X36)),COUNTIFS(L$2:L$90,"*pass*",X$2:X$90,"&gt;"&amp;X36)+1,"")</f>
        <v/>
      </c>
      <c r="Z36" s="3" t="s">
        <v>504</v>
      </c>
      <c r="AA36" s="1" t="s">
        <v>505</v>
      </c>
      <c r="AE36" s="9" t="n">
        <v>1500000</v>
      </c>
      <c r="AF36" s="7" t="s">
        <v>211</v>
      </c>
      <c r="AG36" s="7" t="s">
        <v>274</v>
      </c>
      <c r="AH36" s="7" t="s">
        <v>213</v>
      </c>
      <c r="AI36" s="7" t="s">
        <v>214</v>
      </c>
      <c r="AJ36" s="7" t="s">
        <v>275</v>
      </c>
    </row>
    <row r="37" customFormat="false" ht="15.75" hidden="false" customHeight="false" outlineLevel="0" collapsed="false">
      <c r="A37" s="3" t="s">
        <v>506</v>
      </c>
      <c r="B37" s="3" t="s">
        <v>496</v>
      </c>
      <c r="C37" s="3" t="s">
        <v>479</v>
      </c>
      <c r="D37" s="3" t="s">
        <v>507</v>
      </c>
      <c r="E37" s="3" t="s">
        <v>202</v>
      </c>
      <c r="F37" s="3" t="s">
        <v>508</v>
      </c>
      <c r="G37" s="3"/>
      <c r="H37" s="3" t="s">
        <v>269</v>
      </c>
      <c r="I37" s="3" t="str">
        <v/>
      </c>
      <c r="J37" s="4"/>
      <c r="K37" s="4"/>
      <c r="L37" s="3" t="s">
        <v>214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3" t="n">
        <f aca="false">IF(M37="",0,COUNT(M37:V37))</f>
        <v>0</v>
      </c>
      <c r="X37" s="3" t="str">
        <f aca="false"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3" t="str">
        <f aca="false">IF(AND(ISNUMBER(SEARCH("pass",L37)),ISNUMBER(X37)),COUNTIFS(L$2:L$90,"*pass*",X$2:X$90,"&gt;"&amp;X37)+1,"")</f>
        <v/>
      </c>
      <c r="Z37" s="3" t="s">
        <v>509</v>
      </c>
      <c r="AA37" s="1" t="s">
        <v>510</v>
      </c>
      <c r="AE37" s="9" t="n">
        <v>1500000</v>
      </c>
      <c r="AF37" s="7" t="s">
        <v>211</v>
      </c>
      <c r="AG37" s="7" t="s">
        <v>274</v>
      </c>
      <c r="AH37" s="7" t="s">
        <v>213</v>
      </c>
      <c r="AI37" s="7" t="s">
        <v>214</v>
      </c>
      <c r="AJ37" s="7" t="s">
        <v>275</v>
      </c>
    </row>
    <row r="38" customFormat="false" ht="15.75" hidden="false" customHeight="false" outlineLevel="0" collapsed="false">
      <c r="A38" s="3" t="s">
        <v>511</v>
      </c>
      <c r="B38" s="3" t="s">
        <v>398</v>
      </c>
      <c r="C38" s="3" t="s">
        <v>479</v>
      </c>
      <c r="D38" s="3" t="s">
        <v>512</v>
      </c>
      <c r="E38" s="3" t="s">
        <v>202</v>
      </c>
      <c r="F38" s="3" t="s">
        <v>513</v>
      </c>
      <c r="G38" s="3"/>
      <c r="H38" s="3" t="s">
        <v>269</v>
      </c>
      <c r="I38" s="3" t="str">
        <v/>
      </c>
      <c r="J38" s="4"/>
      <c r="K38" s="4"/>
      <c r="L38" s="3" t="s">
        <v>214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3" t="n">
        <f aca="false">IF(M38="",0,COUNT(M38:V38))</f>
        <v>0</v>
      </c>
      <c r="X38" s="3" t="str">
        <f aca="false"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3" t="str">
        <f aca="false">IF(AND(ISNUMBER(SEARCH("pass",L38)),ISNUMBER(X38)),COUNTIFS(L$2:L$90,"*pass*",X$2:X$90,"&gt;"&amp;X38)+1,"")</f>
        <v/>
      </c>
      <c r="Z38" s="3" t="s">
        <v>514</v>
      </c>
      <c r="AA38" s="1" t="s">
        <v>515</v>
      </c>
      <c r="AE38" s="9" t="n">
        <v>1500000</v>
      </c>
      <c r="AF38" s="7" t="s">
        <v>211</v>
      </c>
      <c r="AG38" s="7" t="s">
        <v>274</v>
      </c>
      <c r="AH38" s="7" t="s">
        <v>213</v>
      </c>
      <c r="AI38" s="7" t="s">
        <v>214</v>
      </c>
      <c r="AJ38" s="7" t="s">
        <v>275</v>
      </c>
    </row>
    <row r="39" customFormat="false" ht="15.75" hidden="false" customHeight="false" outlineLevel="0" collapsed="false">
      <c r="A39" s="3" t="s">
        <v>516</v>
      </c>
      <c r="B39" s="3" t="s">
        <v>246</v>
      </c>
      <c r="C39" s="3" t="s">
        <v>479</v>
      </c>
      <c r="D39" s="3" t="s">
        <v>517</v>
      </c>
      <c r="E39" s="3" t="s">
        <v>202</v>
      </c>
      <c r="F39" s="3" t="s">
        <v>518</v>
      </c>
      <c r="G39" s="3"/>
      <c r="H39" s="3" t="s">
        <v>269</v>
      </c>
      <c r="I39" s="3" t="str">
        <v/>
      </c>
      <c r="J39" s="4"/>
      <c r="K39" s="4"/>
      <c r="L39" s="3" t="s">
        <v>214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3" t="n">
        <f aca="false">IF(M39="",0,COUNT(M39:V39))</f>
        <v>0</v>
      </c>
      <c r="X39" s="3" t="str">
        <f aca="false"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3" t="str">
        <f aca="false">IF(AND(ISNUMBER(SEARCH("pass",L39)),ISNUMBER(X39)),COUNTIFS(L$2:L$90,"*pass*",X$2:X$90,"&gt;"&amp;X39)+1,"")</f>
        <v/>
      </c>
      <c r="Z39" s="3" t="s">
        <v>519</v>
      </c>
      <c r="AA39" s="1" t="s">
        <v>520</v>
      </c>
      <c r="AE39" s="9" t="n">
        <v>1500000</v>
      </c>
      <c r="AF39" s="7" t="s">
        <v>211</v>
      </c>
      <c r="AG39" s="7" t="s">
        <v>274</v>
      </c>
      <c r="AH39" s="7" t="s">
        <v>213</v>
      </c>
      <c r="AI39" s="7" t="s">
        <v>214</v>
      </c>
      <c r="AJ39" s="7" t="s">
        <v>275</v>
      </c>
    </row>
    <row r="40" customFormat="false" ht="15.75" hidden="false" customHeight="false" outlineLevel="0" collapsed="false">
      <c r="A40" s="3" t="s">
        <v>521</v>
      </c>
      <c r="B40" s="3" t="s">
        <v>522</v>
      </c>
      <c r="C40" s="3" t="s">
        <v>479</v>
      </c>
      <c r="D40" s="3" t="s">
        <v>523</v>
      </c>
      <c r="E40" s="3" t="s">
        <v>202</v>
      </c>
      <c r="F40" s="3" t="s">
        <v>524</v>
      </c>
      <c r="G40" s="3"/>
      <c r="H40" s="3" t="s">
        <v>269</v>
      </c>
      <c r="I40" s="3" t="str">
        <v/>
      </c>
      <c r="J40" s="4"/>
      <c r="K40" s="4"/>
      <c r="L40" s="3" t="s">
        <v>214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3" t="n">
        <f aca="false">IF(M40="",0,COUNT(M40:V40))</f>
        <v>0</v>
      </c>
      <c r="X40" s="3" t="str">
        <f aca="false"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3" t="str">
        <f aca="false">IF(AND(ISNUMBER(SEARCH("pass",L40)),ISNUMBER(X40)),COUNTIFS(L$2:L$90,"*pass*",X$2:X$90,"&gt;"&amp;X40)+1,"")</f>
        <v/>
      </c>
      <c r="Z40" s="3" t="s">
        <v>525</v>
      </c>
      <c r="AA40" s="1" t="s">
        <v>526</v>
      </c>
      <c r="AE40" s="9" t="n">
        <v>1500000</v>
      </c>
      <c r="AF40" s="7" t="s">
        <v>211</v>
      </c>
      <c r="AG40" s="7" t="s">
        <v>274</v>
      </c>
      <c r="AH40" s="7" t="s">
        <v>213</v>
      </c>
      <c r="AI40" s="7" t="s">
        <v>214</v>
      </c>
      <c r="AJ40" s="7" t="s">
        <v>275</v>
      </c>
    </row>
    <row r="41" customFormat="false" ht="15.75" hidden="false" customHeight="false" outlineLevel="0" collapsed="false">
      <c r="A41" s="3" t="s">
        <v>527</v>
      </c>
      <c r="B41" s="3" t="s">
        <v>455</v>
      </c>
      <c r="C41" s="3" t="s">
        <v>200</v>
      </c>
      <c r="D41" s="3" t="s">
        <v>528</v>
      </c>
      <c r="E41" s="3" t="s">
        <v>529</v>
      </c>
      <c r="F41" s="3" t="s">
        <v>530</v>
      </c>
      <c r="G41" s="3"/>
      <c r="H41" s="3" t="s">
        <v>269</v>
      </c>
      <c r="I41" s="3" t="str">
        <v/>
      </c>
      <c r="J41" s="4" t="n">
        <v>31</v>
      </c>
      <c r="K41" s="4" t="n">
        <v>4</v>
      </c>
      <c r="L41" s="3" t="s">
        <v>214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3" t="n">
        <f aca="false">IF(M41="",0,COUNT(M41:V41))</f>
        <v>0</v>
      </c>
      <c r="X41" s="3" t="str">
        <f aca="false"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3" t="str">
        <f aca="false">IF(AND(ISNUMBER(SEARCH("pass",L41)),ISNUMBER(X41)),COUNTIFS(L$2:L$90,"*pass*",X$2:X$90,"&gt;"&amp;X41)+1,"")</f>
        <v/>
      </c>
      <c r="Z41" s="3" t="s">
        <v>531</v>
      </c>
      <c r="AA41" s="1" t="s">
        <v>532</v>
      </c>
      <c r="AB41" s="7" t="s">
        <v>272</v>
      </c>
      <c r="AC41" s="7" t="s">
        <v>533</v>
      </c>
      <c r="AD41" s="7" t="s">
        <v>534</v>
      </c>
      <c r="AE41" s="9" t="n">
        <v>1500000</v>
      </c>
      <c r="AF41" s="7" t="s">
        <v>211</v>
      </c>
      <c r="AG41" s="7" t="s">
        <v>274</v>
      </c>
      <c r="AH41" s="7" t="s">
        <v>213</v>
      </c>
      <c r="AI41" s="7" t="s">
        <v>214</v>
      </c>
      <c r="AJ41" s="7" t="s">
        <v>275</v>
      </c>
    </row>
    <row r="42" customFormat="false" ht="15.75" hidden="false" customHeight="false" outlineLevel="0" collapsed="false">
      <c r="A42" s="3" t="s">
        <v>535</v>
      </c>
      <c r="B42" s="3" t="s">
        <v>277</v>
      </c>
      <c r="C42" s="3" t="s">
        <v>479</v>
      </c>
      <c r="D42" s="3" t="s">
        <v>536</v>
      </c>
      <c r="E42" s="3" t="s">
        <v>202</v>
      </c>
      <c r="F42" s="3" t="s">
        <v>537</v>
      </c>
      <c r="G42" s="3"/>
      <c r="H42" s="3" t="s">
        <v>269</v>
      </c>
      <c r="I42" s="3" t="str">
        <v/>
      </c>
      <c r="J42" s="4"/>
      <c r="K42" s="4"/>
      <c r="L42" s="3" t="s">
        <v>214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3" t="n">
        <f aca="false">IF(M42="",0,COUNT(M42:V42))</f>
        <v>0</v>
      </c>
      <c r="X42" s="3" t="str">
        <f aca="false"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3" t="str">
        <f aca="false">IF(AND(ISNUMBER(SEARCH("pass",L42)),ISNUMBER(X42)),COUNTIFS(L$2:L$90,"*pass*",X$2:X$90,"&gt;"&amp;X42)+1,"")</f>
        <v/>
      </c>
      <c r="Z42" s="3" t="s">
        <v>538</v>
      </c>
      <c r="AA42" s="1" t="s">
        <v>539</v>
      </c>
      <c r="AE42" s="9" t="n">
        <v>1500000</v>
      </c>
      <c r="AF42" s="7" t="s">
        <v>211</v>
      </c>
      <c r="AG42" s="7" t="s">
        <v>274</v>
      </c>
      <c r="AH42" s="7" t="s">
        <v>213</v>
      </c>
      <c r="AI42" s="7" t="s">
        <v>214</v>
      </c>
      <c r="AJ42" s="7" t="s">
        <v>275</v>
      </c>
    </row>
    <row r="43" customFormat="false" ht="15.75" hidden="false" customHeight="false" outlineLevel="0" collapsed="false">
      <c r="A43" s="3" t="s">
        <v>540</v>
      </c>
      <c r="B43" s="3" t="s">
        <v>541</v>
      </c>
      <c r="C43" s="3" t="s">
        <v>479</v>
      </c>
      <c r="D43" s="3" t="s">
        <v>542</v>
      </c>
      <c r="E43" s="3" t="s">
        <v>543</v>
      </c>
      <c r="F43" s="3" t="s">
        <v>544</v>
      </c>
      <c r="G43" s="3"/>
      <c r="H43" s="3" t="s">
        <v>269</v>
      </c>
      <c r="I43" s="3" t="str">
        <v/>
      </c>
      <c r="J43" s="4"/>
      <c r="K43" s="4"/>
      <c r="L43" s="3" t="s">
        <v>214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3" t="n">
        <f aca="false">IF(M43="",0,COUNT(M43:V43))</f>
        <v>0</v>
      </c>
      <c r="X43" s="3" t="str">
        <f aca="false"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3" t="str">
        <f aca="false">IF(AND(ISNUMBER(SEARCH("pass",L43)),ISNUMBER(X43)),COUNTIFS(L$2:L$90,"*pass*",X$2:X$90,"&gt;"&amp;X43)+1,"")</f>
        <v/>
      </c>
      <c r="Z43" s="3" t="s">
        <v>545</v>
      </c>
      <c r="AA43" s="1" t="s">
        <v>546</v>
      </c>
      <c r="AE43" s="9" t="n">
        <v>1500000</v>
      </c>
      <c r="AF43" s="7" t="s">
        <v>211</v>
      </c>
      <c r="AG43" s="7" t="s">
        <v>274</v>
      </c>
      <c r="AH43" s="7" t="s">
        <v>213</v>
      </c>
      <c r="AI43" s="7" t="s">
        <v>214</v>
      </c>
      <c r="AJ43" s="7" t="s">
        <v>275</v>
      </c>
    </row>
    <row r="44" customFormat="false" ht="15.75" hidden="false" customHeight="false" outlineLevel="0" collapsed="false">
      <c r="A44" s="3" t="s">
        <v>547</v>
      </c>
      <c r="B44" s="3" t="s">
        <v>548</v>
      </c>
      <c r="C44" s="3" t="s">
        <v>479</v>
      </c>
      <c r="D44" s="3" t="s">
        <v>549</v>
      </c>
      <c r="E44" s="3" t="s">
        <v>202</v>
      </c>
      <c r="F44" s="3" t="s">
        <v>550</v>
      </c>
      <c r="G44" s="3"/>
      <c r="H44" s="3" t="s">
        <v>269</v>
      </c>
      <c r="I44" s="3" t="str">
        <v/>
      </c>
      <c r="J44" s="4"/>
      <c r="K44" s="4"/>
      <c r="L44" s="3" t="s">
        <v>214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3" t="n">
        <f aca="false">IF(M44="",0,COUNT(M44:V44))</f>
        <v>0</v>
      </c>
      <c r="X44" s="3" t="str">
        <f aca="false"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3" t="str">
        <f aca="false">IF(AND(ISNUMBER(SEARCH("pass",L44)),ISNUMBER(X44)),COUNTIFS(L$2:L$90,"*pass*",X$2:X$90,"&gt;"&amp;X44)+1,"")</f>
        <v/>
      </c>
      <c r="Z44" s="3" t="s">
        <v>551</v>
      </c>
      <c r="AA44" s="1" t="s">
        <v>552</v>
      </c>
      <c r="AE44" s="9" t="n">
        <v>1500000</v>
      </c>
      <c r="AF44" s="7" t="s">
        <v>211</v>
      </c>
      <c r="AG44" s="7" t="s">
        <v>274</v>
      </c>
      <c r="AH44" s="7" t="s">
        <v>213</v>
      </c>
      <c r="AI44" s="7" t="s">
        <v>214</v>
      </c>
      <c r="AJ44" s="7" t="s">
        <v>275</v>
      </c>
    </row>
    <row r="45" customFormat="false" ht="15.75" hidden="false" customHeight="false" outlineLevel="0" collapsed="false">
      <c r="A45" s="3" t="s">
        <v>553</v>
      </c>
      <c r="B45" s="3" t="s">
        <v>455</v>
      </c>
      <c r="C45" s="3" t="s">
        <v>479</v>
      </c>
      <c r="D45" s="3" t="s">
        <v>554</v>
      </c>
      <c r="E45" s="3" t="s">
        <v>288</v>
      </c>
      <c r="F45" s="3" t="s">
        <v>555</v>
      </c>
      <c r="G45" s="3"/>
      <c r="H45" s="3" t="s">
        <v>269</v>
      </c>
      <c r="I45" s="3" t="str">
        <v/>
      </c>
      <c r="J45" s="4"/>
      <c r="K45" s="4"/>
      <c r="L45" s="3" t="s">
        <v>214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3" t="n">
        <f aca="false">IF(M45="",0,COUNT(M45:V45))</f>
        <v>0</v>
      </c>
      <c r="X45" s="3" t="str">
        <f aca="false"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3" t="str">
        <f aca="false">IF(AND(ISNUMBER(SEARCH("pass",L45)),ISNUMBER(X45)),COUNTIFS(L$2:L$90,"*pass*",X$2:X$90,"&gt;"&amp;X45)+1,"")</f>
        <v/>
      </c>
      <c r="Z45" s="3" t="s">
        <v>556</v>
      </c>
      <c r="AA45" s="1" t="s">
        <v>557</v>
      </c>
      <c r="AE45" s="9" t="n">
        <v>1500000</v>
      </c>
      <c r="AF45" s="7" t="s">
        <v>211</v>
      </c>
      <c r="AG45" s="7" t="s">
        <v>274</v>
      </c>
      <c r="AH45" s="7" t="s">
        <v>213</v>
      </c>
      <c r="AI45" s="7" t="s">
        <v>214</v>
      </c>
      <c r="AJ45" s="7" t="s">
        <v>275</v>
      </c>
    </row>
    <row r="46" customFormat="false" ht="15.75" hidden="false" customHeight="false" outlineLevel="0" collapsed="false">
      <c r="A46" s="3" t="s">
        <v>558</v>
      </c>
      <c r="B46" s="3" t="s">
        <v>548</v>
      </c>
      <c r="C46" s="3" t="s">
        <v>479</v>
      </c>
      <c r="D46" s="3" t="s">
        <v>559</v>
      </c>
      <c r="E46" s="3" t="s">
        <v>202</v>
      </c>
      <c r="F46" s="3" t="s">
        <v>560</v>
      </c>
      <c r="G46" s="3"/>
      <c r="H46" s="3" t="s">
        <v>269</v>
      </c>
      <c r="I46" s="3" t="str">
        <v/>
      </c>
      <c r="J46" s="4"/>
      <c r="K46" s="4"/>
      <c r="L46" s="3" t="s">
        <v>214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3" t="n">
        <f aca="false">IF(M46="",0,COUNT(M46:V46))</f>
        <v>0</v>
      </c>
      <c r="X46" s="3" t="str">
        <f aca="false"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3" t="str">
        <f aca="false">IF(AND(ISNUMBER(SEARCH("pass",L46)),ISNUMBER(X46)),COUNTIFS(L$2:L$90,"*pass*",X$2:X$90,"&gt;"&amp;X46)+1,"")</f>
        <v/>
      </c>
      <c r="Z46" s="3" t="s">
        <v>561</v>
      </c>
      <c r="AA46" s="1" t="s">
        <v>562</v>
      </c>
      <c r="AE46" s="9" t="n">
        <v>1500000</v>
      </c>
      <c r="AF46" s="7" t="s">
        <v>211</v>
      </c>
      <c r="AG46" s="7" t="s">
        <v>274</v>
      </c>
      <c r="AH46" s="7" t="s">
        <v>213</v>
      </c>
      <c r="AI46" s="7" t="s">
        <v>214</v>
      </c>
      <c r="AJ46" s="7" t="s">
        <v>275</v>
      </c>
    </row>
    <row r="47" customFormat="false" ht="15.75" hidden="false" customHeight="false" outlineLevel="0" collapsed="false">
      <c r="A47" s="3" t="s">
        <v>563</v>
      </c>
      <c r="B47" s="3" t="s">
        <v>564</v>
      </c>
      <c r="C47" s="3" t="s">
        <v>479</v>
      </c>
      <c r="D47" s="3" t="s">
        <v>565</v>
      </c>
      <c r="E47" s="3" t="s">
        <v>566</v>
      </c>
      <c r="F47" s="3" t="s">
        <v>567</v>
      </c>
      <c r="G47" s="3"/>
      <c r="H47" s="3" t="s">
        <v>269</v>
      </c>
      <c r="I47" s="3" t="str">
        <v/>
      </c>
      <c r="J47" s="4"/>
      <c r="K47" s="4"/>
      <c r="L47" s="3" t="s">
        <v>214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3" t="n">
        <f aca="false">IF(M47="",0,COUNT(M47:V47))</f>
        <v>0</v>
      </c>
      <c r="X47" s="3" t="str">
        <f aca="false"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3" t="str">
        <f aca="false">IF(AND(ISNUMBER(SEARCH("pass",L47)),ISNUMBER(X47)),COUNTIFS(L$2:L$90,"*pass*",X$2:X$90,"&gt;"&amp;X47)+1,"")</f>
        <v/>
      </c>
      <c r="Z47" s="3" t="s">
        <v>568</v>
      </c>
      <c r="AA47" s="1" t="s">
        <v>569</v>
      </c>
      <c r="AE47" s="9" t="n">
        <v>1500000</v>
      </c>
      <c r="AF47" s="7" t="s">
        <v>211</v>
      </c>
      <c r="AG47" s="7" t="s">
        <v>274</v>
      </c>
      <c r="AH47" s="7" t="s">
        <v>213</v>
      </c>
      <c r="AI47" s="7" t="s">
        <v>214</v>
      </c>
      <c r="AJ47" s="7" t="s">
        <v>275</v>
      </c>
    </row>
    <row r="48" customFormat="false" ht="15.75" hidden="false" customHeight="false" outlineLevel="0" collapsed="false">
      <c r="A48" s="3" t="s">
        <v>570</v>
      </c>
      <c r="B48" s="3" t="s">
        <v>564</v>
      </c>
      <c r="C48" s="3" t="s">
        <v>479</v>
      </c>
      <c r="D48" s="3" t="s">
        <v>571</v>
      </c>
      <c r="E48" s="3" t="s">
        <v>572</v>
      </c>
      <c r="F48" s="3" t="s">
        <v>573</v>
      </c>
      <c r="G48" s="3"/>
      <c r="H48" s="3" t="s">
        <v>269</v>
      </c>
      <c r="I48" s="3" t="str">
        <v/>
      </c>
      <c r="J48" s="4"/>
      <c r="K48" s="4"/>
      <c r="L48" s="3" t="s">
        <v>214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3" t="n">
        <f aca="false">IF(M48="",0,COUNT(M48:V48))</f>
        <v>0</v>
      </c>
      <c r="X48" s="3" t="str">
        <f aca="false"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3" t="str">
        <f aca="false">IF(AND(ISNUMBER(SEARCH("pass",L48)),ISNUMBER(X48)),COUNTIFS(L$2:L$90,"*pass*",X$2:X$90,"&gt;"&amp;X48)+1,"")</f>
        <v/>
      </c>
      <c r="Z48" s="3" t="s">
        <v>574</v>
      </c>
      <c r="AA48" s="1" t="s">
        <v>575</v>
      </c>
      <c r="AE48" s="9" t="n">
        <v>1500000</v>
      </c>
      <c r="AF48" s="7" t="s">
        <v>211</v>
      </c>
      <c r="AG48" s="7" t="s">
        <v>274</v>
      </c>
      <c r="AH48" s="7" t="s">
        <v>213</v>
      </c>
      <c r="AI48" s="7" t="s">
        <v>214</v>
      </c>
      <c r="AJ48" s="7" t="s">
        <v>275</v>
      </c>
    </row>
    <row r="49" customFormat="false" ht="15.75" hidden="false" customHeight="false" outlineLevel="0" collapsed="false">
      <c r="A49" s="3" t="s">
        <v>576</v>
      </c>
      <c r="B49" s="3" t="s">
        <v>199</v>
      </c>
      <c r="C49" s="3" t="s">
        <v>577</v>
      </c>
      <c r="D49" s="3" t="s">
        <v>578</v>
      </c>
      <c r="E49" s="3" t="s">
        <v>579</v>
      </c>
      <c r="F49" s="3" t="s">
        <v>580</v>
      </c>
      <c r="G49" s="3" t="n">
        <v>1045000</v>
      </c>
      <c r="H49" s="3" t="s">
        <v>581</v>
      </c>
      <c r="I49" s="3" t="n">
        <v>1107700</v>
      </c>
      <c r="J49" s="4" t="n">
        <v>18</v>
      </c>
      <c r="K49" s="4" t="n">
        <v>12</v>
      </c>
      <c r="L49" s="3" t="s">
        <v>582</v>
      </c>
      <c r="M49" s="4" t="n">
        <v>7</v>
      </c>
      <c r="N49" s="4" t="n">
        <v>8</v>
      </c>
      <c r="O49" s="4" t="n">
        <v>7</v>
      </c>
      <c r="P49" s="4" t="n">
        <v>2</v>
      </c>
      <c r="Q49" s="4" t="n">
        <v>9</v>
      </c>
      <c r="R49" s="4" t="n">
        <v>9</v>
      </c>
      <c r="S49" s="4" t="n">
        <v>8</v>
      </c>
      <c r="T49" s="4" t="n">
        <v>6</v>
      </c>
      <c r="U49" s="4" t="n">
        <v>8</v>
      </c>
      <c r="V49" s="4" t="n">
        <v>8</v>
      </c>
      <c r="W49" s="3" t="n">
        <f aca="false">IF(M49="",0,COUNT(M49:V49))</f>
        <v>10</v>
      </c>
      <c r="X49" s="3" t="n">
        <f aca="false"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>7.046</v>
      </c>
      <c r="Y49" s="3" t="str">
        <f aca="false">IF(AND(ISNUMBER(SEARCH("pass",L49)),ISNUMBER(X49)),COUNTIFS(L$2:L$90,"*pass*",X$2:X$90,"&gt;"&amp;X49)+1,"")</f>
        <v/>
      </c>
      <c r="Z49" s="3" t="s">
        <v>583</v>
      </c>
      <c r="AA49" s="1" t="s">
        <v>584</v>
      </c>
      <c r="AE49" s="9" t="n">
        <v>1500000</v>
      </c>
      <c r="AF49" s="7" t="s">
        <v>211</v>
      </c>
      <c r="AG49" s="7" t="s">
        <v>585</v>
      </c>
      <c r="AH49" s="7" t="s">
        <v>213</v>
      </c>
      <c r="AI49" s="7" t="s">
        <v>225</v>
      </c>
      <c r="AJ49" s="7" t="s">
        <v>586</v>
      </c>
    </row>
    <row r="50" customFormat="false" ht="15.75" hidden="false" customHeight="false" outlineLevel="0" collapsed="false">
      <c r="A50" s="3" t="s">
        <v>587</v>
      </c>
      <c r="B50" s="3" t="s">
        <v>371</v>
      </c>
      <c r="C50" s="3" t="s">
        <v>577</v>
      </c>
      <c r="D50" s="3" t="s">
        <v>578</v>
      </c>
      <c r="E50" s="3" t="s">
        <v>588</v>
      </c>
      <c r="F50" s="3" t="s">
        <v>589</v>
      </c>
      <c r="G50" s="3" t="n">
        <v>980000</v>
      </c>
      <c r="H50" s="3" t="s">
        <v>581</v>
      </c>
      <c r="I50" s="3" t="n">
        <v>1038800</v>
      </c>
      <c r="J50" s="4" t="n">
        <v>24</v>
      </c>
      <c r="K50" s="4" t="n">
        <v>19</v>
      </c>
      <c r="L50" s="3" t="s">
        <v>582</v>
      </c>
      <c r="M50" s="4" t="n">
        <v>9</v>
      </c>
      <c r="N50" s="4" t="n">
        <v>5</v>
      </c>
      <c r="O50" s="4" t="n">
        <v>4</v>
      </c>
      <c r="P50" s="4" t="n">
        <v>10</v>
      </c>
      <c r="Q50" s="4" t="n">
        <v>7</v>
      </c>
      <c r="R50" s="4" t="n">
        <v>5</v>
      </c>
      <c r="S50" s="4" t="n">
        <v>7</v>
      </c>
      <c r="T50" s="4" t="n">
        <v>8</v>
      </c>
      <c r="U50" s="4" t="n">
        <v>9</v>
      </c>
      <c r="V50" s="4" t="n">
        <v>5</v>
      </c>
      <c r="W50" s="3" t="n">
        <f aca="false">IF(M50="",0,COUNT(M50:V50))</f>
        <v>10</v>
      </c>
      <c r="X50" s="3" t="n">
        <f aca="false"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>6.929</v>
      </c>
      <c r="Y50" s="3" t="str">
        <f aca="false">IF(AND(ISNUMBER(SEARCH("pass",L50)),ISNUMBER(X50)),COUNTIFS(L$2:L$90,"*pass*",X$2:X$90,"&gt;"&amp;X50)+1,"")</f>
        <v/>
      </c>
      <c r="Z50" s="3" t="s">
        <v>590</v>
      </c>
      <c r="AA50" s="1" t="s">
        <v>591</v>
      </c>
      <c r="AE50" s="9" t="n">
        <v>1500000</v>
      </c>
      <c r="AF50" s="7" t="s">
        <v>211</v>
      </c>
      <c r="AG50" s="7" t="s">
        <v>585</v>
      </c>
      <c r="AH50" s="7" t="s">
        <v>213</v>
      </c>
      <c r="AI50" s="7" t="s">
        <v>225</v>
      </c>
      <c r="AJ50" s="7" t="s">
        <v>586</v>
      </c>
    </row>
    <row r="51" customFormat="false" ht="15.75" hidden="false" customHeight="false" outlineLevel="0" collapsed="false">
      <c r="A51" s="1" t="s">
        <v>592</v>
      </c>
      <c r="B51" s="1" t="s">
        <v>455</v>
      </c>
      <c r="C51" s="1" t="s">
        <v>593</v>
      </c>
      <c r="D51" s="1" t="s">
        <v>594</v>
      </c>
      <c r="E51" s="1" t="s">
        <v>288</v>
      </c>
      <c r="F51" s="1" t="s">
        <v>595</v>
      </c>
      <c r="G51" s="1"/>
      <c r="H51" s="1" t="s">
        <v>596</v>
      </c>
      <c r="I51" s="1" t="str">
        <v/>
      </c>
      <c r="L51" s="1" t="s">
        <v>214</v>
      </c>
      <c r="O51" s="1" t="str">
        <f aca="false">IF(K51="","",ROUND(MAX(0,10*(1-K51/Filters!$B$5)),1))</f>
        <v/>
      </c>
      <c r="W51" s="1" t="n">
        <f aca="false">IF(M51="",0,COUNT(M51:V51))</f>
        <v>0</v>
      </c>
      <c r="X51" s="1" t="str">
        <f aca="false"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" t="str">
        <f aca="false">IF(AND(ISNUMBER(SEARCH("pass",L51)),ISNUMBER(X51)),COUNTIFS(L$2:L$90,"*pass*",X$2:X$90,"&gt;"&amp;X51)+1,"")</f>
        <v/>
      </c>
      <c r="Z51" s="1" t="s">
        <v>597</v>
      </c>
      <c r="AA51" s="1" t="s">
        <v>598</v>
      </c>
      <c r="AB51" s="1" t="s">
        <v>272</v>
      </c>
      <c r="AC51" s="1" t="s">
        <v>599</v>
      </c>
      <c r="AD51" s="1" t="s">
        <v>600</v>
      </c>
      <c r="AE51" s="9" t="n">
        <v>1500000</v>
      </c>
      <c r="AF51" s="7" t="s">
        <v>211</v>
      </c>
      <c r="AG51" s="7" t="s">
        <v>274</v>
      </c>
      <c r="AH51" s="7" t="s">
        <v>213</v>
      </c>
      <c r="AI51" s="7" t="s">
        <v>214</v>
      </c>
      <c r="AJ51" s="7" t="s">
        <v>275</v>
      </c>
    </row>
    <row r="52" customFormat="false" ht="15.75" hidden="false" customHeight="false" outlineLevel="0" collapsed="false">
      <c r="A52" s="1" t="s">
        <v>601</v>
      </c>
      <c r="B52" s="1" t="s">
        <v>455</v>
      </c>
      <c r="C52" s="1" t="s">
        <v>593</v>
      </c>
      <c r="D52" s="1" t="s">
        <v>594</v>
      </c>
      <c r="E52" s="1" t="s">
        <v>602</v>
      </c>
      <c r="F52" s="1" t="s">
        <v>595</v>
      </c>
      <c r="G52" s="1"/>
      <c r="H52" s="1" t="s">
        <v>596</v>
      </c>
      <c r="I52" s="1" t="str">
        <v/>
      </c>
      <c r="L52" s="1" t="s">
        <v>214</v>
      </c>
      <c r="O52" s="1" t="str">
        <f aca="false">IF(K52="","",ROUND(MAX(0,10*(1-K52/Filters!$B$5)),1))</f>
        <v/>
      </c>
      <c r="W52" s="1" t="n">
        <f aca="false">IF(M52="",0,COUNT(M52:V52))</f>
        <v>0</v>
      </c>
      <c r="X52" s="1" t="str">
        <f aca="false"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" t="str">
        <f aca="false">IF(AND(ISNUMBER(SEARCH("pass",L52)),ISNUMBER(X52)),COUNTIFS(L$2:L$90,"*pass*",X$2:X$90,"&gt;"&amp;X52)+1,"")</f>
        <v/>
      </c>
      <c r="Z52" s="1" t="s">
        <v>603</v>
      </c>
      <c r="AA52" s="1" t="s">
        <v>604</v>
      </c>
      <c r="AB52" s="1" t="s">
        <v>272</v>
      </c>
      <c r="AC52" s="1" t="s">
        <v>599</v>
      </c>
      <c r="AD52" s="1" t="s">
        <v>600</v>
      </c>
      <c r="AE52" s="9" t="n">
        <v>1500000</v>
      </c>
      <c r="AF52" s="7" t="s">
        <v>211</v>
      </c>
      <c r="AG52" s="7" t="s">
        <v>274</v>
      </c>
      <c r="AH52" s="7" t="s">
        <v>213</v>
      </c>
      <c r="AI52" s="7" t="s">
        <v>214</v>
      </c>
      <c r="AJ52" s="7" t="s">
        <v>275</v>
      </c>
    </row>
    <row r="53" customFormat="false" ht="15.75" hidden="false" customHeight="false" outlineLevel="0" collapsed="false">
      <c r="A53" s="1" t="s">
        <v>605</v>
      </c>
      <c r="B53" s="1" t="s">
        <v>334</v>
      </c>
      <c r="C53" s="1" t="s">
        <v>479</v>
      </c>
      <c r="D53" s="1" t="s">
        <v>606</v>
      </c>
      <c r="E53" s="1" t="s">
        <v>202</v>
      </c>
      <c r="F53" s="1" t="s">
        <v>607</v>
      </c>
      <c r="G53" s="1"/>
      <c r="H53" s="1" t="s">
        <v>596</v>
      </c>
      <c r="I53" s="1" t="str">
        <v/>
      </c>
      <c r="L53" s="1" t="s">
        <v>214</v>
      </c>
      <c r="O53" s="1" t="str">
        <f aca="false">IF(K53="","",ROUND(MAX(0,10*(1-K53/Filters!$B$5)),1))</f>
        <v/>
      </c>
      <c r="W53" s="1" t="n">
        <f aca="false">IF(M53="",0,COUNT(M53:V53))</f>
        <v>0</v>
      </c>
      <c r="X53" s="1" t="str">
        <f aca="false"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" t="str">
        <f aca="false">IF(AND(ISNUMBER(SEARCH("pass",L53)),ISNUMBER(X53)),COUNTIFS(L$2:L$90,"*pass*",X$2:X$90,"&gt;"&amp;X53)+1,"")</f>
        <v/>
      </c>
      <c r="Z53" s="1" t="s">
        <v>608</v>
      </c>
      <c r="AA53" s="1" t="s">
        <v>609</v>
      </c>
      <c r="AC53" s="1" t="s">
        <v>214</v>
      </c>
      <c r="AD53" s="1" t="s">
        <v>214</v>
      </c>
      <c r="AE53" s="9" t="n">
        <v>1500000</v>
      </c>
      <c r="AF53" s="7" t="s">
        <v>211</v>
      </c>
      <c r="AG53" s="7" t="s">
        <v>274</v>
      </c>
      <c r="AH53" s="7" t="s">
        <v>213</v>
      </c>
      <c r="AI53" s="7" t="s">
        <v>214</v>
      </c>
      <c r="AJ53" s="7" t="s">
        <v>275</v>
      </c>
    </row>
    <row r="54" customFormat="false" ht="15.75" hidden="false" customHeight="false" outlineLevel="0" collapsed="false">
      <c r="A54" s="1" t="s">
        <v>610</v>
      </c>
      <c r="B54" s="1" t="s">
        <v>334</v>
      </c>
      <c r="C54" s="1" t="s">
        <v>479</v>
      </c>
      <c r="D54" s="1" t="s">
        <v>611</v>
      </c>
      <c r="E54" s="1" t="s">
        <v>202</v>
      </c>
      <c r="F54" s="1" t="s">
        <v>612</v>
      </c>
      <c r="G54" s="1"/>
      <c r="H54" s="1" t="s">
        <v>596</v>
      </c>
      <c r="I54" s="1" t="str">
        <v/>
      </c>
      <c r="L54" s="1" t="s">
        <v>214</v>
      </c>
      <c r="O54" s="1" t="str">
        <f aca="false">IF(K54="","",ROUND(MAX(0,10*(1-K54/Filters!$B$5)),1))</f>
        <v/>
      </c>
      <c r="W54" s="1" t="n">
        <f aca="false">IF(M54="",0,COUNT(M54:V54))</f>
        <v>0</v>
      </c>
      <c r="X54" s="1" t="str">
        <f aca="false"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" t="str">
        <f aca="false">IF(AND(ISNUMBER(SEARCH("pass",L54)),ISNUMBER(X54)),COUNTIFS(L$2:L$90,"*pass*",X$2:X$90,"&gt;"&amp;X54)+1,"")</f>
        <v/>
      </c>
      <c r="Z54" s="1" t="s">
        <v>613</v>
      </c>
      <c r="AA54" s="1" t="s">
        <v>614</v>
      </c>
      <c r="AC54" s="1" t="s">
        <v>214</v>
      </c>
      <c r="AD54" s="1" t="s">
        <v>214</v>
      </c>
      <c r="AE54" s="9" t="n">
        <v>1500000</v>
      </c>
      <c r="AF54" s="7" t="s">
        <v>211</v>
      </c>
      <c r="AG54" s="7" t="s">
        <v>274</v>
      </c>
      <c r="AH54" s="7" t="s">
        <v>213</v>
      </c>
      <c r="AI54" s="7" t="s">
        <v>214</v>
      </c>
      <c r="AJ54" s="7" t="s">
        <v>275</v>
      </c>
    </row>
    <row r="55" customFormat="false" ht="15.75" hidden="false" customHeight="false" outlineLevel="0" collapsed="false">
      <c r="A55" s="1" t="s">
        <v>615</v>
      </c>
      <c r="B55" s="1" t="s">
        <v>326</v>
      </c>
      <c r="C55" s="1" t="s">
        <v>479</v>
      </c>
      <c r="D55" s="1" t="s">
        <v>616</v>
      </c>
      <c r="E55" s="1" t="s">
        <v>202</v>
      </c>
      <c r="F55" s="1" t="s">
        <v>617</v>
      </c>
      <c r="G55" s="1"/>
      <c r="H55" s="1" t="s">
        <v>596</v>
      </c>
      <c r="I55" s="1" t="str">
        <v/>
      </c>
      <c r="L55" s="1" t="s">
        <v>214</v>
      </c>
      <c r="O55" s="1" t="str">
        <f aca="false">IF(K55="","",ROUND(MAX(0,10*(1-K55/Filters!$B$5)),1))</f>
        <v/>
      </c>
      <c r="W55" s="1" t="n">
        <f aca="false">IF(M55="",0,COUNT(M55:V55))</f>
        <v>0</v>
      </c>
      <c r="X55" s="1" t="str">
        <f aca="false"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" t="str">
        <f aca="false">IF(AND(ISNUMBER(SEARCH("pass",L55)),ISNUMBER(X55)),COUNTIFS(L$2:L$90,"*pass*",X$2:X$90,"&gt;"&amp;X55)+1,"")</f>
        <v/>
      </c>
      <c r="Z55" s="1" t="s">
        <v>618</v>
      </c>
      <c r="AA55" s="1" t="s">
        <v>619</v>
      </c>
      <c r="AC55" s="1" t="s">
        <v>214</v>
      </c>
      <c r="AD55" s="1" t="s">
        <v>214</v>
      </c>
      <c r="AE55" s="9" t="n">
        <v>1500000</v>
      </c>
      <c r="AF55" s="7" t="s">
        <v>211</v>
      </c>
      <c r="AG55" s="7" t="s">
        <v>274</v>
      </c>
      <c r="AH55" s="7" t="s">
        <v>213</v>
      </c>
      <c r="AI55" s="7" t="s">
        <v>214</v>
      </c>
      <c r="AJ55" s="7" t="s">
        <v>275</v>
      </c>
    </row>
    <row r="56" customFormat="false" ht="15.75" hidden="false" customHeight="false" outlineLevel="0" collapsed="false">
      <c r="A56" s="1" t="s">
        <v>620</v>
      </c>
      <c r="B56" s="1" t="s">
        <v>445</v>
      </c>
      <c r="C56" s="1" t="s">
        <v>479</v>
      </c>
      <c r="D56" s="1" t="s">
        <v>621</v>
      </c>
      <c r="E56" s="1" t="s">
        <v>202</v>
      </c>
      <c r="F56" s="1" t="s">
        <v>622</v>
      </c>
      <c r="G56" s="1"/>
      <c r="H56" s="1" t="s">
        <v>596</v>
      </c>
      <c r="I56" s="1" t="str">
        <v/>
      </c>
      <c r="L56" s="1" t="s">
        <v>214</v>
      </c>
      <c r="O56" s="1" t="str">
        <f aca="false">IF(K56="","",ROUND(MAX(0,10*(1-K56/Filters!$B$5)),1))</f>
        <v/>
      </c>
      <c r="W56" s="1" t="n">
        <f aca="false">IF(M56="",0,COUNT(M56:V56))</f>
        <v>0</v>
      </c>
      <c r="X56" s="1" t="str">
        <f aca="false"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" t="str">
        <f aca="false">IF(AND(ISNUMBER(SEARCH("pass",L56)),ISNUMBER(X56)),COUNTIFS(L$2:L$90,"*pass*",X$2:X$90,"&gt;"&amp;X56)+1,"")</f>
        <v/>
      </c>
      <c r="Z56" s="1" t="s">
        <v>623</v>
      </c>
      <c r="AA56" s="1" t="s">
        <v>624</v>
      </c>
      <c r="AC56" s="1" t="s">
        <v>214</v>
      </c>
      <c r="AD56" s="1" t="s">
        <v>214</v>
      </c>
      <c r="AE56" s="9" t="n">
        <v>1500000</v>
      </c>
      <c r="AF56" s="7" t="s">
        <v>211</v>
      </c>
      <c r="AG56" s="7" t="s">
        <v>274</v>
      </c>
      <c r="AH56" s="7" t="s">
        <v>213</v>
      </c>
      <c r="AI56" s="7" t="s">
        <v>214</v>
      </c>
      <c r="AJ56" s="7" t="s">
        <v>275</v>
      </c>
    </row>
    <row r="57" customFormat="false" ht="15.7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 t="str">
        <v/>
      </c>
      <c r="L57" s="1"/>
      <c r="W57" s="1" t="n">
        <f aca="false">IF(M57="",0,COUNT(M57:V57))</f>
        <v>0</v>
      </c>
      <c r="X57" s="1" t="str">
        <f aca="false"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" t="str">
        <f aca="false">IF(AND(ISNUMBER(SEARCH("pass",L57)),ISNUMBER(X57)),COUNTIFS(L$2:L$90,"*pass*",X$2:X$90,"&gt;"&amp;X57)+1,"")</f>
        <v/>
      </c>
      <c r="Z57" s="1"/>
    </row>
    <row r="58" customFormat="false" ht="15.7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 t="str">
        <v/>
      </c>
      <c r="L58" s="1"/>
      <c r="W58" s="1" t="n">
        <f aca="false">IF(M58="",0,COUNT(M58:V58))</f>
        <v>0</v>
      </c>
      <c r="X58" s="1" t="str">
        <f aca="false"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" t="str">
        <f aca="false">IF(AND(ISNUMBER(SEARCH("pass",L58)),ISNUMBER(X58)),COUNTIFS(L$2:L$90,"*pass*",X$2:X$90,"&gt;"&amp;X58)+1,"")</f>
        <v/>
      </c>
      <c r="Z58" s="1"/>
    </row>
    <row r="59" customFormat="false" ht="15.7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 t="str">
        <v/>
      </c>
      <c r="L59" s="1"/>
      <c r="W59" s="1" t="n">
        <f aca="false">IF(M59="",0,COUNT(M59:V59))</f>
        <v>0</v>
      </c>
      <c r="X59" s="1" t="str">
        <f aca="false"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" t="str">
        <f aca="false">IF(AND(ISNUMBER(SEARCH("pass",L59)),ISNUMBER(X59)),COUNTIFS(L$2:L$90,"*pass*",X$2:X$90,"&gt;"&amp;X59)+1,"")</f>
        <v/>
      </c>
      <c r="Z59" s="1"/>
    </row>
    <row r="60" customFormat="false" ht="15.7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 t="str">
        <v/>
      </c>
      <c r="L60" s="1"/>
      <c r="W60" s="1" t="n">
        <f aca="false">IF(M60="",0,COUNT(M60:V60))</f>
        <v>0</v>
      </c>
      <c r="X60" s="1" t="str">
        <f aca="false"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" t="str">
        <f aca="false">IF(AND(ISNUMBER(SEARCH("pass",L60)),ISNUMBER(X60)),COUNTIFS(L$2:L$90,"*pass*",X$2:X$90,"&gt;"&amp;X60)+1,"")</f>
        <v/>
      </c>
      <c r="Z60" s="1"/>
    </row>
    <row r="61" customFormat="false" ht="15.7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 t="str">
        <v/>
      </c>
      <c r="L61" s="1"/>
      <c r="W61" s="1" t="n">
        <f aca="false">IF(M61="",0,COUNT(M61:V61))</f>
        <v>0</v>
      </c>
      <c r="X61" s="1" t="str">
        <f aca="false"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" t="str">
        <f aca="false">IF(AND(ISNUMBER(SEARCH("pass",L61)),ISNUMBER(X61)),COUNTIFS(L$2:L$90,"*pass*",X$2:X$90,"&gt;"&amp;X61)+1,"")</f>
        <v/>
      </c>
      <c r="Z61" s="1"/>
    </row>
    <row r="62" customFormat="false" ht="15.7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 t="str">
        <v/>
      </c>
      <c r="L62" s="1"/>
      <c r="W62" s="1" t="n">
        <f aca="false">IF(M62="",0,COUNT(M62:V62))</f>
        <v>0</v>
      </c>
      <c r="X62" s="1" t="str">
        <f aca="false"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" t="str">
        <f aca="false">IF(AND(ISNUMBER(SEARCH("pass",L62)),ISNUMBER(X62)),COUNTIFS(L$2:L$90,"*pass*",X$2:X$90,"&gt;"&amp;X62)+1,"")</f>
        <v/>
      </c>
      <c r="Z62" s="1"/>
    </row>
    <row r="63" customFormat="false" ht="15.7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 t="str">
        <v/>
      </c>
      <c r="L63" s="1"/>
      <c r="W63" s="1" t="n">
        <f aca="false">IF(M63="",0,COUNT(M63:V63))</f>
        <v>0</v>
      </c>
      <c r="X63" s="1" t="str">
        <f aca="false"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" t="str">
        <f aca="false">IF(AND(ISNUMBER(SEARCH("pass",L63)),ISNUMBER(X63)),COUNTIFS(L$2:L$90,"*pass*",X$2:X$90,"&gt;"&amp;X63)+1,"")</f>
        <v/>
      </c>
      <c r="Z63" s="1"/>
    </row>
    <row r="64" customFormat="false" ht="15.7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 t="str">
        <v/>
      </c>
      <c r="L64" s="1"/>
      <c r="W64" s="1" t="n">
        <f aca="false">IF(M64="",0,COUNT(M64:V64))</f>
        <v>0</v>
      </c>
      <c r="X64" s="1" t="str">
        <f aca="false"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" t="str">
        <f aca="false">IF(AND(ISNUMBER(SEARCH("pass",L64)),ISNUMBER(X64)),COUNTIFS(L$2:L$90,"*pass*",X$2:X$90,"&gt;"&amp;X64)+1,"")</f>
        <v/>
      </c>
      <c r="Z64" s="1"/>
    </row>
    <row r="65" customFormat="false" ht="15.7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 t="str">
        <v/>
      </c>
      <c r="L65" s="1"/>
      <c r="W65" s="1" t="n">
        <f aca="false">IF(M65="",0,COUNT(M65:V65))</f>
        <v>0</v>
      </c>
      <c r="X65" s="1" t="str">
        <f aca="false"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" t="str">
        <f aca="false">IF(AND(ISNUMBER(SEARCH("pass",L65)),ISNUMBER(X65)),COUNTIFS(L$2:L$90,"*pass*",X$2:X$90,"&gt;"&amp;X65)+1,"")</f>
        <v/>
      </c>
      <c r="Z65" s="1"/>
    </row>
    <row r="66" customFormat="false" ht="15.7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 t="str">
        <v/>
      </c>
      <c r="L66" s="1"/>
      <c r="W66" s="1" t="n">
        <f aca="false">IF(M66="",0,COUNT(M66:V66))</f>
        <v>0</v>
      </c>
      <c r="X66" s="1" t="str">
        <f aca="false"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" t="str">
        <f aca="false">IF(AND(ISNUMBER(SEARCH("pass",L66)),ISNUMBER(X66)),COUNTIFS(L$2:L$90,"*pass*",X$2:X$90,"&gt;"&amp;X66)+1,"")</f>
        <v/>
      </c>
      <c r="Z66" s="1"/>
    </row>
    <row r="67" customFormat="false" ht="15.7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 t="str">
        <v/>
      </c>
      <c r="L67" s="1"/>
      <c r="W67" s="1" t="n">
        <f aca="false">IF(M67="",0,COUNT(M67:V67))</f>
        <v>0</v>
      </c>
      <c r="X67" s="1" t="str">
        <f aca="false"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" t="str">
        <f aca="false">IF(AND(ISNUMBER(SEARCH("pass",L67)),ISNUMBER(X67)),COUNTIFS(L$2:L$90,"*pass*",X$2:X$90,"&gt;"&amp;X67)+1,"")</f>
        <v/>
      </c>
      <c r="Z67" s="1"/>
    </row>
    <row r="68" customFormat="false" ht="15.7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 t="str">
        <v/>
      </c>
      <c r="L68" s="1"/>
      <c r="W68" s="1" t="n">
        <f aca="false">IF(M68="",0,COUNT(M68:V68))</f>
        <v>0</v>
      </c>
      <c r="X68" s="1" t="str">
        <f aca="false"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" t="str">
        <f aca="false">IF(AND(ISNUMBER(SEARCH("pass",L68)),ISNUMBER(X68)),COUNTIFS(L$2:L$90,"*pass*",X$2:X$90,"&gt;"&amp;X68)+1,"")</f>
        <v/>
      </c>
      <c r="Z68" s="1"/>
    </row>
    <row r="69" customFormat="false" ht="15.7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 t="str">
        <v/>
      </c>
      <c r="L69" s="1"/>
      <c r="W69" s="1" t="n">
        <f aca="false">IF(M69="",0,COUNT(M69:V69))</f>
        <v>0</v>
      </c>
      <c r="X69" s="1" t="str">
        <f aca="false"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" t="str">
        <f aca="false">IF(AND(ISNUMBER(SEARCH("pass",L69)),ISNUMBER(X69)),COUNTIFS(L$2:L$90,"*pass*",X$2:X$90,"&gt;"&amp;X69)+1,"")</f>
        <v/>
      </c>
      <c r="Z69" s="1"/>
    </row>
    <row r="70" customFormat="false" ht="15.7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 t="str">
        <v/>
      </c>
      <c r="L70" s="1"/>
      <c r="W70" s="1" t="n">
        <f aca="false">IF(M70="",0,COUNT(M70:V70))</f>
        <v>0</v>
      </c>
      <c r="X70" s="1" t="str">
        <f aca="false"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" t="str">
        <f aca="false">IF(AND(ISNUMBER(SEARCH("pass",L70)),ISNUMBER(X70)),COUNTIFS(L$2:L$90,"*pass*",X$2:X$90,"&gt;"&amp;X70)+1,"")</f>
        <v/>
      </c>
      <c r="Z70" s="1"/>
    </row>
    <row r="71" customFormat="false" ht="15.7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 t="str">
        <v/>
      </c>
      <c r="L71" s="1"/>
      <c r="W71" s="1" t="n">
        <f aca="false">IF(M71="",0,COUNT(M71:V71))</f>
        <v>0</v>
      </c>
      <c r="X71" s="1" t="str">
        <f aca="false"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" t="str">
        <f aca="false">IF(AND(ISNUMBER(SEARCH("pass",L71)),ISNUMBER(X71)),COUNTIFS(L$2:L$90,"*pass*",X$2:X$90,"&gt;"&amp;X71)+1,"")</f>
        <v/>
      </c>
      <c r="Z71" s="1"/>
    </row>
    <row r="72" customFormat="false" ht="15.7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 t="str">
        <v/>
      </c>
      <c r="L72" s="1"/>
      <c r="W72" s="1" t="n">
        <f aca="false">IF(M72="",0,COUNT(M72:V72))</f>
        <v>0</v>
      </c>
      <c r="X72" s="1" t="str">
        <f aca="false"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" t="str">
        <f aca="false">IF(AND(ISNUMBER(SEARCH("pass",L72)),ISNUMBER(X72)),COUNTIFS(L$2:L$90,"*pass*",X$2:X$90,"&gt;"&amp;X72)+1,"")</f>
        <v/>
      </c>
      <c r="Z72" s="1"/>
    </row>
    <row r="73" customFormat="false" ht="15.7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 t="str">
        <v/>
      </c>
      <c r="L73" s="1"/>
      <c r="W73" s="1" t="n">
        <f aca="false">IF(M73="",0,COUNT(M73:V73))</f>
        <v>0</v>
      </c>
      <c r="X73" s="1" t="str">
        <f aca="false"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" t="str">
        <f aca="false">IF(AND(ISNUMBER(SEARCH("pass",L73)),ISNUMBER(X73)),COUNTIFS(L$2:L$90,"*pass*",X$2:X$90,"&gt;"&amp;X73)+1,"")</f>
        <v/>
      </c>
      <c r="Z73" s="1"/>
    </row>
    <row r="74" customFormat="false" ht="15.7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 t="str">
        <v/>
      </c>
      <c r="L74" s="1"/>
      <c r="W74" s="1" t="n">
        <f aca="false">IF(M74="",0,COUNT(M74:V74))</f>
        <v>0</v>
      </c>
      <c r="X74" s="1" t="str">
        <f aca="false"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" t="str">
        <f aca="false">IF(AND(ISNUMBER(SEARCH("pass",L74)),ISNUMBER(X74)),COUNTIFS(L$2:L$90,"*pass*",X$2:X$90,"&gt;"&amp;X74)+1,"")</f>
        <v/>
      </c>
      <c r="Z74" s="1"/>
    </row>
    <row r="75" customFormat="false" ht="15.7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 t="str">
        <v/>
      </c>
      <c r="L75" s="1"/>
      <c r="W75" s="1" t="n">
        <f aca="false">IF(M75="",0,COUNT(M75:V75))</f>
        <v>0</v>
      </c>
      <c r="X75" s="1" t="str">
        <f aca="false"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" t="str">
        <f aca="false">IF(AND(ISNUMBER(SEARCH("pass",L75)),ISNUMBER(X75)),COUNTIFS(L$2:L$90,"*pass*",X$2:X$90,"&gt;"&amp;X75)+1,"")</f>
        <v/>
      </c>
      <c r="Z75" s="1"/>
    </row>
    <row r="76" customFormat="false" ht="15.7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 t="str">
        <v/>
      </c>
      <c r="L76" s="1"/>
      <c r="W76" s="1" t="n">
        <f aca="false">IF(M76="",0,COUNT(M76:V76))</f>
        <v>0</v>
      </c>
      <c r="X76" s="1" t="str">
        <f aca="false"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" t="str">
        <f aca="false">IF(AND(ISNUMBER(SEARCH("pass",L76)),ISNUMBER(X76)),COUNTIFS(L$2:L$90,"*pass*",X$2:X$90,"&gt;"&amp;X76)+1,"")</f>
        <v/>
      </c>
      <c r="Z76" s="1"/>
    </row>
    <row r="77" customFormat="false" ht="15.7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 t="str">
        <v/>
      </c>
      <c r="L77" s="1"/>
      <c r="W77" s="1" t="n">
        <f aca="false">IF(M77="",0,COUNT(M77:V77))</f>
        <v>0</v>
      </c>
      <c r="X77" s="1" t="str">
        <f aca="false"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" t="str">
        <f aca="false">IF(AND(ISNUMBER(SEARCH("pass",L77)),ISNUMBER(X77)),COUNTIFS(L$2:L$90,"*pass*",X$2:X$90,"&gt;"&amp;X77)+1,"")</f>
        <v/>
      </c>
      <c r="Z77" s="1"/>
    </row>
    <row r="78" customFormat="false" ht="15.7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 t="str">
        <v/>
      </c>
      <c r="L78" s="1"/>
      <c r="W78" s="1" t="n">
        <f aca="false">IF(M78="",0,COUNT(M78:V78))</f>
        <v>0</v>
      </c>
      <c r="X78" s="1" t="str">
        <f aca="false"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" t="str">
        <f aca="false">IF(AND(ISNUMBER(SEARCH("pass",L78)),ISNUMBER(X78)),COUNTIFS(L$2:L$90,"*pass*",X$2:X$90,"&gt;"&amp;X78)+1,"")</f>
        <v/>
      </c>
      <c r="Z78" s="1"/>
    </row>
    <row r="79" customFormat="false" ht="15.7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 t="str">
        <v/>
      </c>
      <c r="L79" s="1"/>
      <c r="W79" s="1" t="n">
        <f aca="false">IF(M79="",0,COUNT(M79:V79))</f>
        <v>0</v>
      </c>
      <c r="X79" s="1" t="str">
        <f aca="false"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" t="str">
        <f aca="false">IF(AND(ISNUMBER(SEARCH("pass",L79)),ISNUMBER(X79)),COUNTIFS(L$2:L$90,"*pass*",X$2:X$90,"&gt;"&amp;X79)+1,"")</f>
        <v/>
      </c>
      <c r="Z79" s="1"/>
    </row>
    <row r="80" customFormat="false" ht="15.7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 t="str">
        <v/>
      </c>
      <c r="L80" s="1"/>
      <c r="W80" s="1" t="n">
        <f aca="false">IF(M80="",0,COUNT(M80:V80))</f>
        <v>0</v>
      </c>
      <c r="X80" s="1" t="str">
        <f aca="false"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" t="str">
        <f aca="false">IF(AND(ISNUMBER(SEARCH("pass",L80)),ISNUMBER(X80)),COUNTIFS(L$2:L$90,"*pass*",X$2:X$90,"&gt;"&amp;X80)+1,"")</f>
        <v/>
      </c>
      <c r="Z80" s="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 t="str">
        <v/>
      </c>
      <c r="L81" s="1"/>
      <c r="W81" s="1" t="n">
        <f aca="false">IF(M81="",0,COUNT(M81:V81))</f>
        <v>0</v>
      </c>
      <c r="X81" s="1" t="str">
        <f aca="false"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" t="str">
        <f aca="false">IF(AND(ISNUMBER(SEARCH("pass",L81)),ISNUMBER(X81)),COUNTIFS(L$2:L$90,"*pass*",X$2:X$90,"&gt;"&amp;X81)+1,"")</f>
        <v/>
      </c>
      <c r="Z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 t="str">
        <v/>
      </c>
      <c r="L82" s="1"/>
      <c r="W82" s="1" t="n">
        <f aca="false">IF(M82="",0,COUNT(M82:V82))</f>
        <v>0</v>
      </c>
      <c r="X82" s="1" t="str">
        <f aca="false"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" t="str">
        <f aca="false">IF(AND(ISNUMBER(SEARCH("pass",L82)),ISNUMBER(X82)),COUNTIFS(L$2:L$90,"*pass*",X$2:X$90,"&gt;"&amp;X82)+1,"")</f>
        <v/>
      </c>
      <c r="Z82" s="1"/>
    </row>
    <row r="83" customFormat="false" ht="15.7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 t="str">
        <v/>
      </c>
      <c r="L83" s="1"/>
      <c r="W83" s="1" t="n">
        <f aca="false">IF(M83="",0,COUNT(M83:V83))</f>
        <v>0</v>
      </c>
      <c r="X83" s="1" t="str">
        <f aca="false"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" t="str">
        <f aca="false">IF(AND(ISNUMBER(SEARCH("pass",L83)),ISNUMBER(X83)),COUNTIFS(L$2:L$90,"*pass*",X$2:X$90,"&gt;"&amp;X83)+1,"")</f>
        <v/>
      </c>
      <c r="Z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 t="str">
        <v/>
      </c>
      <c r="L84" s="1"/>
      <c r="W84" s="1" t="n">
        <f aca="false">IF(M84="",0,COUNT(M84:V84))</f>
        <v>0</v>
      </c>
      <c r="X84" s="1" t="str">
        <f aca="false"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" t="str">
        <f aca="false">IF(AND(ISNUMBER(SEARCH("pass",L84)),ISNUMBER(X84)),COUNTIFS(L$2:L$90,"*pass*",X$2:X$90,"&gt;"&amp;X84)+1,"")</f>
        <v/>
      </c>
      <c r="Z84" s="1"/>
    </row>
    <row r="85" customFormat="false" ht="15.7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 t="str">
        <v/>
      </c>
      <c r="L85" s="1"/>
      <c r="W85" s="1" t="n">
        <f aca="false">IF(M85="",0,COUNT(M85:V85))</f>
        <v>0</v>
      </c>
      <c r="X85" s="1" t="str">
        <f aca="false"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" t="str">
        <f aca="false">IF(AND(ISNUMBER(SEARCH("pass",L85)),ISNUMBER(X85)),COUNTIFS(L$2:L$90,"*pass*",X$2:X$90,"&gt;"&amp;X85)+1,"")</f>
        <v/>
      </c>
      <c r="Z85" s="1"/>
    </row>
    <row r="86" customFormat="false" ht="15.7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 t="str">
        <v/>
      </c>
      <c r="L86" s="1"/>
      <c r="W86" s="1" t="n">
        <f aca="false">IF(M86="",0,COUNT(M86:V86))</f>
        <v>0</v>
      </c>
      <c r="X86" s="1" t="str">
        <f aca="false"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" t="str">
        <f aca="false">IF(AND(ISNUMBER(SEARCH("pass",L86)),ISNUMBER(X86)),COUNTIFS(L$2:L$90,"*pass*",X$2:X$90,"&gt;"&amp;X86)+1,"")</f>
        <v/>
      </c>
      <c r="Z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 t="str">
        <v/>
      </c>
      <c r="L87" s="1"/>
      <c r="W87" s="1" t="n">
        <f aca="false">IF(M87="",0,COUNT(M87:V87))</f>
        <v>0</v>
      </c>
      <c r="X87" s="1" t="str">
        <f aca="false"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" t="str">
        <f aca="false">IF(AND(ISNUMBER(SEARCH("pass",L87)),ISNUMBER(X87)),COUNTIFS(L$2:L$90,"*pass*",X$2:X$90,"&gt;"&amp;X87)+1,"")</f>
        <v/>
      </c>
      <c r="Z87" s="1"/>
    </row>
    <row r="88" customFormat="false" ht="15.7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 t="str">
        <v/>
      </c>
      <c r="L88" s="1"/>
      <c r="W88" s="1" t="n">
        <f aca="false">IF(M88="",0,COUNT(M88:V88))</f>
        <v>0</v>
      </c>
      <c r="X88" s="1" t="str">
        <f aca="false"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" t="str">
        <f aca="false">IF(AND(ISNUMBER(SEARCH("pass",L88)),ISNUMBER(X88)),COUNTIFS(L$2:L$90,"*pass*",X$2:X$90,"&gt;"&amp;X88)+1,"")</f>
        <v/>
      </c>
      <c r="Z88" s="1"/>
    </row>
    <row r="89" customFormat="false" ht="15.7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 t="str">
        <v/>
      </c>
      <c r="L89" s="1"/>
      <c r="W89" s="1" t="n">
        <f aca="false">IF(M89="",0,COUNT(M89:V89))</f>
        <v>0</v>
      </c>
      <c r="X89" s="1" t="str">
        <f aca="false"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" t="str">
        <f aca="false">IF(AND(ISNUMBER(SEARCH("pass",L89)),ISNUMBER(X89)),COUNTIFS(L$2:L$90,"*pass*",X$2:X$90,"&gt;"&amp;X89)+1,"")</f>
        <v/>
      </c>
      <c r="Z89" s="1"/>
    </row>
    <row r="90" customFormat="false" ht="15.7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 t="str">
        <v/>
      </c>
      <c r="L90" s="1"/>
      <c r="W90" s="1" t="n">
        <f aca="false">IF(M90="",0,COUNT(M90:V90))</f>
        <v>0</v>
      </c>
      <c r="X90" s="1" t="str">
        <f aca="false"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" t="str">
        <f aca="false">IF(AND(ISNUMBER(SEARCH("pass",L90)),ISNUMBER(X90)),COUNTIFS(L$2:L$90,"*pass*",X$2:X$90,"&gt;"&amp;X90)+1,"")</f>
        <v/>
      </c>
      <c r="Z9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10" min="8" style="0" width="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4" min="14" style="0" width="17"/>
    <col collapsed="false" customWidth="true" hidden="false" outlineLevel="0" max="15" min="15" style="0" width="16"/>
    <col collapsed="false" customWidth="true" hidden="false" outlineLevel="0" max="16" min="16" style="0" width="18"/>
    <col collapsed="false" customWidth="true" hidden="false" outlineLevel="0" max="19" min="17" style="0" width="10"/>
    <col collapsed="false" customWidth="true" hidden="false" outlineLevel="0" max="20" min="20" style="0" width="24"/>
    <col collapsed="false" customWidth="true" hidden="false" outlineLevel="0" max="21" min="21" style="0" width="50"/>
    <col collapsed="false" customWidth="true" hidden="false" outlineLevel="0" max="23" min="23" style="0" width="60"/>
  </cols>
  <sheetData>
    <row r="1" customFormat="false" ht="79.85" hidden="false" customHeight="false" outlineLevel="0" collapsed="false">
      <c r="A1" s="10" t="s">
        <v>625</v>
      </c>
      <c r="B1" s="10" t="s">
        <v>626</v>
      </c>
      <c r="C1" s="10" t="s">
        <v>627</v>
      </c>
      <c r="D1" s="10" t="s">
        <v>628</v>
      </c>
      <c r="E1" s="10" t="s">
        <v>629</v>
      </c>
      <c r="F1" s="10" t="s">
        <v>630</v>
      </c>
      <c r="G1" s="10" t="s">
        <v>631</v>
      </c>
      <c r="H1" s="10" t="s">
        <v>632</v>
      </c>
      <c r="I1" s="10" t="s">
        <v>633</v>
      </c>
      <c r="J1" s="10" t="s">
        <v>634</v>
      </c>
      <c r="K1" s="10" t="s">
        <v>635</v>
      </c>
      <c r="L1" s="10" t="s">
        <v>636</v>
      </c>
      <c r="M1" s="10" t="s">
        <v>637</v>
      </c>
      <c r="N1" s="10" t="s">
        <v>638</v>
      </c>
      <c r="O1" s="10" t="s">
        <v>639</v>
      </c>
      <c r="P1" s="10" t="s">
        <v>640</v>
      </c>
      <c r="Q1" s="10" t="s">
        <v>641</v>
      </c>
      <c r="R1" s="10" t="s">
        <v>642</v>
      </c>
      <c r="S1" s="10" t="s">
        <v>643</v>
      </c>
      <c r="T1" s="10" t="s">
        <v>644</v>
      </c>
      <c r="U1" s="10" t="s">
        <v>15</v>
      </c>
      <c r="W1" s="11" t="s">
        <v>645</v>
      </c>
    </row>
    <row r="2" customFormat="false" ht="15" hidden="false" customHeight="false" outlineLevel="0" collapsed="false">
      <c r="A2" s="7" t="n">
        <v>1</v>
      </c>
      <c r="B2" s="7" t="s">
        <v>646</v>
      </c>
      <c r="C2" s="7" t="s">
        <v>359</v>
      </c>
      <c r="D2" s="7" t="s">
        <v>647</v>
      </c>
      <c r="E2" s="9" t="n">
        <v>1475000</v>
      </c>
      <c r="F2" s="9" t="n">
        <v>1575000</v>
      </c>
      <c r="G2" s="7" t="str">
        <f aca="false">IF(E2="","Needs data",IF(F2&lt;=Filters!$B$2,"Within cap",IF(E2&lt;=Filters!$B$2,"Straddles cap","Over cap")))</f>
        <v>Straddles cap</v>
      </c>
      <c r="H2" s="7" t="n">
        <v>4</v>
      </c>
      <c r="I2" s="7" t="n">
        <v>2</v>
      </c>
      <c r="J2" s="7" t="n">
        <v>2</v>
      </c>
      <c r="K2" s="7" t="n">
        <v>411</v>
      </c>
      <c r="L2" s="7" t="s">
        <v>648</v>
      </c>
      <c r="M2" s="7" t="s">
        <v>649</v>
      </c>
      <c r="N2" s="7" t="s">
        <v>650</v>
      </c>
      <c r="O2" s="7" t="s">
        <v>359</v>
      </c>
      <c r="P2" s="7" t="str">
        <f aca="false">IFERROR(INDEX(SuburbScorecard!$C:$C,MATCH($O2,SuburbScorecard!$A:$A,0)),"Not on scorecard")</f>
        <v>Active Shortlist</v>
      </c>
      <c r="Q2" s="7" t="n">
        <f aca="false">IFERROR(IF(INDEX(SuburbScorecard!$J:$J,MATCH($O2,SuburbScorecard!$A:$A,0))="","",INDEX(SuburbScorecard!$J:$J,MATCH($O2,SuburbScorecard!$A:$A,0))),"")</f>
        <v>88</v>
      </c>
      <c r="R2" s="7" t="n">
        <f aca="false">IFERROR(IF(INDEX(SuburbScorecard!$K:$K,MATCH($O2,SuburbScorecard!$A:$A,0))="","",INDEX(SuburbScorecard!$K:$K,MATCH($O2,SuburbScorecard!$A:$A,0))),"")</f>
        <v>23</v>
      </c>
      <c r="S2" s="7" t="str">
        <f aca="false">IFERROR(IF(INDEX(SuburbScorecard!$AB:$AB,MATCH($O2,SuburbScorecard!$A:$A,0))="","Needs data",INDEX(SuburbScorecard!$AB:$AB,MATCH($O2,SuburbScorecard!$A:$A,0))),"Needs data")</f>
        <v>No</v>
      </c>
      <c r="T2" s="7" t="str">
        <f aca="false">IF(L2="Under offer","Under offer",IF(G2="Over cap","Fails: budget",IF(NOT(AND(ISNUMBER(Q2),ISNUMBER(R2))),"Needs data",IF(Q2&gt;Filters!$B$4,"Fails: GW drive",IF(R2&gt;Filters!$B$5,"Fails: ED drive",IF(G2="Straddles cap","Pass if bought near low end","Pass"))))))</f>
        <v>Pass if bought near low end</v>
      </c>
    </row>
    <row r="3" customFormat="false" ht="15" hidden="false" customHeight="false" outlineLevel="0" collapsed="false">
      <c r="A3" s="7" t="n">
        <v>2</v>
      </c>
      <c r="B3" s="7" t="s">
        <v>651</v>
      </c>
      <c r="C3" s="7" t="s">
        <v>652</v>
      </c>
      <c r="D3" s="7" t="s">
        <v>653</v>
      </c>
      <c r="E3" s="9" t="n">
        <v>1200000</v>
      </c>
      <c r="F3" s="9" t="n">
        <v>1300000</v>
      </c>
      <c r="G3" s="7" t="str">
        <f aca="false">IF(E3="","Needs data",IF(F3&lt;=Filters!$B$2,"Within cap",IF(E3&lt;=Filters!$B$2,"Straddles cap","Over cap")))</f>
        <v>Within cap</v>
      </c>
      <c r="H3" s="7" t="n">
        <v>3</v>
      </c>
      <c r="I3" s="7" t="n">
        <v>2</v>
      </c>
      <c r="J3" s="7" t="n">
        <v>2</v>
      </c>
      <c r="L3" s="7" t="s">
        <v>648</v>
      </c>
      <c r="M3" s="7" t="s">
        <v>654</v>
      </c>
      <c r="N3" s="7" t="s">
        <v>655</v>
      </c>
      <c r="O3" s="7" t="s">
        <v>652</v>
      </c>
      <c r="P3" s="7" t="str">
        <f aca="false">IFERROR(INDEX(SuburbScorecard!$C:$C,MATCH($O3,SuburbScorecard!$A:$A,0)),"Not on scorecard")</f>
        <v>Not on scorecard</v>
      </c>
      <c r="Q3" s="7" t="str">
        <f aca="false">IFERROR(IF(INDEX(SuburbScorecard!$J:$J,MATCH($O3,SuburbScorecard!$A:$A,0))="","",INDEX(SuburbScorecard!$J:$J,MATCH($O3,SuburbScorecard!$A:$A,0))),"")</f>
        <v/>
      </c>
      <c r="R3" s="7" t="str">
        <f aca="false">IFERROR(IF(INDEX(SuburbScorecard!$K:$K,MATCH($O3,SuburbScorecard!$A:$A,0))="","",INDEX(SuburbScorecard!$K:$K,MATCH($O3,SuburbScorecard!$A:$A,0))),"")</f>
        <v/>
      </c>
      <c r="S3" s="7" t="str">
        <f aca="false">IFERROR(IF(INDEX(SuburbScorecard!$AB:$AB,MATCH($O3,SuburbScorecard!$A:$A,0))="","Needs data",INDEX(SuburbScorecard!$AB:$AB,MATCH($O3,SuburbScorecard!$A:$A,0))),"Needs data")</f>
        <v>Needs data</v>
      </c>
      <c r="T3" s="7" t="str">
        <f aca="false">IF(L3="Under offer","Under offer",IF(G3="Over cap","Fails: budget",IF(NOT(AND(ISNUMBER(Q3),ISNUMBER(R3))),"Needs data",IF(Q3&gt;Filters!$B$4,"Fails: GW drive",IF(R3&gt;Filters!$B$5,"Fails: ED drive",IF(G3="Straddles cap","Pass if bought near low end","Pass"))))))</f>
        <v>Needs data</v>
      </c>
      <c r="U3" s="7" t="s">
        <v>656</v>
      </c>
    </row>
    <row r="4" customFormat="false" ht="15" hidden="false" customHeight="false" outlineLevel="0" collapsed="false">
      <c r="A4" s="7" t="n">
        <v>3</v>
      </c>
      <c r="B4" s="7" t="s">
        <v>657</v>
      </c>
      <c r="C4" s="7" t="s">
        <v>478</v>
      </c>
      <c r="D4" s="7" t="s">
        <v>658</v>
      </c>
      <c r="E4" s="9" t="n">
        <v>900000</v>
      </c>
      <c r="F4" s="9" t="n">
        <v>990000</v>
      </c>
      <c r="G4" s="7" t="str">
        <f aca="false">IF(E4="","Needs data",IF(F4&lt;=Filters!$B$2,"Within cap",IF(E4&lt;=Filters!$B$2,"Straddles cap","Over cap")))</f>
        <v>Within cap</v>
      </c>
      <c r="H4" s="7" t="n">
        <v>5</v>
      </c>
      <c r="I4" s="7" t="n">
        <v>3</v>
      </c>
      <c r="J4" s="7" t="n">
        <v>4</v>
      </c>
      <c r="K4" s="7" t="n">
        <v>3235</v>
      </c>
      <c r="L4" s="7" t="s">
        <v>648</v>
      </c>
      <c r="M4" s="7" t="s">
        <v>659</v>
      </c>
      <c r="N4" s="7" t="s">
        <v>660</v>
      </c>
      <c r="O4" s="7" t="s">
        <v>478</v>
      </c>
      <c r="P4" s="7" t="str">
        <f aca="false">IFERROR(INDEX(SuburbScorecard!$C:$C,MATCH($O4,SuburbScorecard!$A:$A,0)),"Not on scorecard")</f>
        <v>Watchlist</v>
      </c>
      <c r="Q4" s="7" t="n">
        <f aca="false">IFERROR(IF(INDEX(SuburbScorecard!$J:$J,MATCH($O4,SuburbScorecard!$A:$A,0))="","",INDEX(SuburbScorecard!$J:$J,MATCH($O4,SuburbScorecard!$A:$A,0))),"")</f>
        <v>65</v>
      </c>
      <c r="R4" s="7" t="n">
        <f aca="false">IFERROR(IF(INDEX(SuburbScorecard!$K:$K,MATCH($O4,SuburbScorecard!$A:$A,0))="","",INDEX(SuburbScorecard!$K:$K,MATCH($O4,SuburbScorecard!$A:$A,0))),"")</f>
        <v>53</v>
      </c>
      <c r="S4" s="7" t="str">
        <f aca="false">IFERROR(IF(INDEX(SuburbScorecard!$AB:$AB,MATCH($O4,SuburbScorecard!$A:$A,0))="","Needs data",INDEX(SuburbScorecard!$AB:$AB,MATCH($O4,SuburbScorecard!$A:$A,0))),"Needs data")</f>
        <v>No</v>
      </c>
      <c r="T4" s="7" t="str">
        <f aca="false">IF(L4="Under offer","Under offer",IF(G4="Over cap","Fails: budget",IF(NOT(AND(ISNUMBER(Q4),ISNUMBER(R4))),"Needs data",IF(Q4&gt;Filters!$B$4,"Fails: GW drive",IF(R4&gt;Filters!$B$5,"Fails: ED drive",IF(G4="Straddles cap","Pass if bought near low end","Pass"))))))</f>
        <v>Pass</v>
      </c>
      <c r="U4" s="7" t="s">
        <v>661</v>
      </c>
    </row>
    <row r="5" customFormat="false" ht="15" hidden="false" customHeight="false" outlineLevel="0" collapsed="false">
      <c r="A5" s="7" t="n">
        <v>4</v>
      </c>
      <c r="B5" s="7" t="s">
        <v>662</v>
      </c>
      <c r="C5" s="7" t="s">
        <v>316</v>
      </c>
      <c r="D5" s="7" t="s">
        <v>663</v>
      </c>
      <c r="E5" s="9" t="n">
        <v>1700000</v>
      </c>
      <c r="F5" s="9" t="n">
        <v>1700000</v>
      </c>
      <c r="G5" s="7" t="str">
        <f aca="false">IF(E5="","Needs data",IF(F5&lt;=Filters!$B$2,"Within cap",IF(E5&lt;=Filters!$B$2,"Straddles cap","Over cap")))</f>
        <v>Over cap</v>
      </c>
      <c r="H5" s="7" t="n">
        <v>3</v>
      </c>
      <c r="I5" s="7" t="n">
        <v>2</v>
      </c>
      <c r="J5" s="7" t="n">
        <v>2</v>
      </c>
      <c r="L5" s="7" t="s">
        <v>648</v>
      </c>
      <c r="M5" s="7" t="s">
        <v>664</v>
      </c>
      <c r="N5" s="7" t="s">
        <v>665</v>
      </c>
      <c r="O5" s="7" t="s">
        <v>316</v>
      </c>
      <c r="P5" s="7" t="str">
        <f aca="false">IFERROR(INDEX(SuburbScorecard!$C:$C,MATCH($O5,SuburbScorecard!$A:$A,0)),"Not on scorecard")</f>
        <v>Active Shortlist</v>
      </c>
      <c r="Q5" s="7" t="n">
        <f aca="false">IFERROR(IF(INDEX(SuburbScorecard!$J:$J,MATCH($O5,SuburbScorecard!$A:$A,0))="","",INDEX(SuburbScorecard!$J:$J,MATCH($O5,SuburbScorecard!$A:$A,0))),"")</f>
        <v>31</v>
      </c>
      <c r="R5" s="7" t="n">
        <f aca="false">IFERROR(IF(INDEX(SuburbScorecard!$K:$K,MATCH($O5,SuburbScorecard!$A:$A,0))="","",INDEX(SuburbScorecard!$K:$K,MATCH($O5,SuburbScorecard!$A:$A,0))),"")</f>
        <v>13</v>
      </c>
      <c r="S5" s="7" t="str">
        <f aca="false">IFERROR(IF(INDEX(SuburbScorecard!$AB:$AB,MATCH($O5,SuburbScorecard!$A:$A,0))="","Needs data",INDEX(SuburbScorecard!$AB:$AB,MATCH($O5,SuburbScorecard!$A:$A,0))),"Needs data")</f>
        <v>Yes</v>
      </c>
      <c r="T5" s="7" t="str">
        <f aca="false">IF(L5="Under offer","Under offer",IF(G5="Over cap","Fails: budget",IF(NOT(AND(ISNUMBER(Q5),ISNUMBER(R5))),"Needs data",IF(Q5&gt;Filters!$B$4,"Fails: GW drive",IF(R5&gt;Filters!$B$5,"Fails: ED drive",IF(G5="Straddles cap","Pass if bought near low end","Pass"))))))</f>
        <v>Fails: budget</v>
      </c>
    </row>
    <row r="6" customFormat="false" ht="15" hidden="false" customHeight="false" outlineLevel="0" collapsed="false">
      <c r="A6" s="7" t="n">
        <v>5</v>
      </c>
      <c r="B6" s="7" t="s">
        <v>666</v>
      </c>
      <c r="C6" s="7" t="s">
        <v>667</v>
      </c>
      <c r="D6" s="7" t="s">
        <v>668</v>
      </c>
      <c r="E6" s="9" t="n">
        <v>1450000</v>
      </c>
      <c r="F6" s="9" t="n">
        <v>1550000</v>
      </c>
      <c r="G6" s="7" t="str">
        <f aca="false">IF(E6="","Needs data",IF(F6&lt;=Filters!$B$2,"Within cap",IF(E6&lt;=Filters!$B$2,"Straddles cap","Over cap")))</f>
        <v>Straddles cap</v>
      </c>
      <c r="H6" s="7" t="n">
        <v>4</v>
      </c>
      <c r="I6" s="7" t="n">
        <v>3</v>
      </c>
      <c r="J6" s="7" t="n">
        <v>2</v>
      </c>
      <c r="K6" s="7" t="n">
        <v>655</v>
      </c>
      <c r="L6" s="7" t="s">
        <v>648</v>
      </c>
      <c r="M6" s="7" t="s">
        <v>649</v>
      </c>
      <c r="N6" s="7" t="s">
        <v>669</v>
      </c>
      <c r="O6" s="7" t="s">
        <v>667</v>
      </c>
      <c r="P6" s="7" t="str">
        <f aca="false">IFERROR(INDEX(SuburbScorecard!$C:$C,MATCH($O6,SuburbScorecard!$A:$A,0)),"Not on scorecard")</f>
        <v>Not on scorecard</v>
      </c>
      <c r="Q6" s="7" t="str">
        <f aca="false">IFERROR(IF(INDEX(SuburbScorecard!$J:$J,MATCH($O6,SuburbScorecard!$A:$A,0))="","",INDEX(SuburbScorecard!$J:$J,MATCH($O6,SuburbScorecard!$A:$A,0))),"")</f>
        <v/>
      </c>
      <c r="R6" s="7" t="str">
        <f aca="false">IFERROR(IF(INDEX(SuburbScorecard!$K:$K,MATCH($O6,SuburbScorecard!$A:$A,0))="","",INDEX(SuburbScorecard!$K:$K,MATCH($O6,SuburbScorecard!$A:$A,0))),"")</f>
        <v/>
      </c>
      <c r="S6" s="7" t="str">
        <f aca="false">IFERROR(IF(INDEX(SuburbScorecard!$AB:$AB,MATCH($O6,SuburbScorecard!$A:$A,0))="","Needs data",INDEX(SuburbScorecard!$AB:$AB,MATCH($O6,SuburbScorecard!$A:$A,0))),"Needs data")</f>
        <v>Needs data</v>
      </c>
      <c r="T6" s="7" t="str">
        <f aca="false">IF(L6="Under offer","Under offer",IF(G6="Over cap","Fails: budget",IF(NOT(AND(ISNUMBER(Q6),ISNUMBER(R6))),"Needs data",IF(Q6&gt;Filters!$B$4,"Fails: GW drive",IF(R6&gt;Filters!$B$5,"Fails: ED drive",IF(G6="Straddles cap","Pass if bought near low end","Pass"))))))</f>
        <v>Needs data</v>
      </c>
      <c r="U6" s="7" t="s">
        <v>656</v>
      </c>
    </row>
    <row r="7" customFormat="false" ht="15" hidden="false" customHeight="false" outlineLevel="0" collapsed="false">
      <c r="A7" s="7" t="n">
        <v>6</v>
      </c>
      <c r="B7" s="7" t="s">
        <v>670</v>
      </c>
      <c r="C7" s="7" t="s">
        <v>276</v>
      </c>
      <c r="D7" s="7" t="s">
        <v>671</v>
      </c>
      <c r="E7" s="9" t="n">
        <v>1250000</v>
      </c>
      <c r="F7" s="9" t="n">
        <v>1250000</v>
      </c>
      <c r="G7" s="7" t="str">
        <f aca="false">IF(E7="","Needs data",IF(F7&lt;=Filters!$B$2,"Within cap",IF(E7&lt;=Filters!$B$2,"Straddles cap","Over cap")))</f>
        <v>Within cap</v>
      </c>
      <c r="H7" s="7" t="n">
        <v>4</v>
      </c>
      <c r="I7" s="7" t="n">
        <v>2</v>
      </c>
      <c r="J7" s="7" t="n">
        <v>2</v>
      </c>
      <c r="K7" s="7" t="n">
        <v>884</v>
      </c>
      <c r="L7" s="7" t="s">
        <v>648</v>
      </c>
      <c r="M7" s="7" t="s">
        <v>672</v>
      </c>
      <c r="N7" s="7" t="s">
        <v>673</v>
      </c>
      <c r="O7" s="7" t="s">
        <v>276</v>
      </c>
      <c r="P7" s="7" t="str">
        <f aca="false">IFERROR(INDEX(SuburbScorecard!$C:$C,MATCH($O7,SuburbScorecard!$A:$A,0)),"Not on scorecard")</f>
        <v>Active Shortlist</v>
      </c>
      <c r="Q7" s="7" t="n">
        <f aca="false">IFERROR(IF(INDEX(SuburbScorecard!$J:$J,MATCH($O7,SuburbScorecard!$A:$A,0))="","",INDEX(SuburbScorecard!$J:$J,MATCH($O7,SuburbScorecard!$A:$A,0))),"")</f>
        <v>33</v>
      </c>
      <c r="R7" s="7" t="n">
        <f aca="false">IFERROR(IF(INDEX(SuburbScorecard!$K:$K,MATCH($O7,SuburbScorecard!$A:$A,0))="","",INDEX(SuburbScorecard!$K:$K,MATCH($O7,SuburbScorecard!$A:$A,0))),"")</f>
        <v>19</v>
      </c>
      <c r="S7" s="7" t="str">
        <f aca="false">IFERROR(IF(INDEX(SuburbScorecard!$AB:$AB,MATCH($O7,SuburbScorecard!$A:$A,0))="","Needs data",INDEX(SuburbScorecard!$AB:$AB,MATCH($O7,SuburbScorecard!$A:$A,0))),"Needs data")</f>
        <v>Yes</v>
      </c>
      <c r="T7" s="7" t="str">
        <f aca="false">IF(L7="Under offer","Under offer",IF(G7="Over cap","Fails: budget",IF(NOT(AND(ISNUMBER(Q7),ISNUMBER(R7))),"Needs data",IF(Q7&gt;Filters!$B$4,"Fails: GW drive",IF(R7&gt;Filters!$B$5,"Fails: ED drive",IF(G7="Straddles cap","Pass if bought near low end","Pass"))))))</f>
        <v>Pass</v>
      </c>
    </row>
    <row r="8" customFormat="false" ht="15" hidden="false" customHeight="false" outlineLevel="0" collapsed="false">
      <c r="A8" s="7" t="n">
        <v>7</v>
      </c>
      <c r="B8" s="7" t="s">
        <v>674</v>
      </c>
      <c r="C8" s="7" t="s">
        <v>675</v>
      </c>
      <c r="D8" s="7" t="s">
        <v>676</v>
      </c>
      <c r="E8" s="9" t="n">
        <v>1750000</v>
      </c>
      <c r="F8" s="9" t="n">
        <v>1900000</v>
      </c>
      <c r="G8" s="7" t="str">
        <f aca="false">IF(E8="","Needs data",IF(F8&lt;=Filters!$B$2,"Within cap",IF(E8&lt;=Filters!$B$2,"Straddles cap","Over cap")))</f>
        <v>Over cap</v>
      </c>
      <c r="H8" s="7" t="n">
        <v>4</v>
      </c>
      <c r="I8" s="7" t="n">
        <v>2</v>
      </c>
      <c r="J8" s="7" t="n">
        <v>2</v>
      </c>
      <c r="K8" s="7" t="n">
        <v>613</v>
      </c>
      <c r="L8" s="7" t="s">
        <v>648</v>
      </c>
      <c r="M8" s="7" t="s">
        <v>677</v>
      </c>
      <c r="N8" s="7" t="s">
        <v>678</v>
      </c>
      <c r="O8" s="7" t="s">
        <v>675</v>
      </c>
      <c r="P8" s="7" t="str">
        <f aca="false">IFERROR(INDEX(SuburbScorecard!$C:$C,MATCH($O8,SuburbScorecard!$A:$A,0)),"Not on scorecard")</f>
        <v>Not on scorecard</v>
      </c>
      <c r="Q8" s="7" t="str">
        <f aca="false">IFERROR(IF(INDEX(SuburbScorecard!$J:$J,MATCH($O8,SuburbScorecard!$A:$A,0))="","",INDEX(SuburbScorecard!$J:$J,MATCH($O8,SuburbScorecard!$A:$A,0))),"")</f>
        <v/>
      </c>
      <c r="R8" s="7" t="str">
        <f aca="false">IFERROR(IF(INDEX(SuburbScorecard!$K:$K,MATCH($O8,SuburbScorecard!$A:$A,0))="","",INDEX(SuburbScorecard!$K:$K,MATCH($O8,SuburbScorecard!$A:$A,0))),"")</f>
        <v/>
      </c>
      <c r="S8" s="7" t="str">
        <f aca="false">IFERROR(IF(INDEX(SuburbScorecard!$AB:$AB,MATCH($O8,SuburbScorecard!$A:$A,0))="","Needs data",INDEX(SuburbScorecard!$AB:$AB,MATCH($O8,SuburbScorecard!$A:$A,0))),"Needs data")</f>
        <v>Needs data</v>
      </c>
      <c r="T8" s="7" t="str">
        <f aca="false">IF(L8="Under offer","Under offer",IF(G8="Over cap","Fails: budget",IF(NOT(AND(ISNUMBER(Q8),ISNUMBER(R8))),"Needs data",IF(Q8&gt;Filters!$B$4,"Fails: GW drive",IF(R8&gt;Filters!$B$5,"Fails: ED drive",IF(G8="Straddles cap","Pass if bought near low end","Pass"))))))</f>
        <v>Fails: budget</v>
      </c>
      <c r="U8" s="7" t="s">
        <v>656</v>
      </c>
    </row>
    <row r="9" customFormat="false" ht="15" hidden="false" customHeight="false" outlineLevel="0" collapsed="false">
      <c r="A9" s="7" t="n">
        <v>8</v>
      </c>
      <c r="B9" s="7" t="s">
        <v>679</v>
      </c>
      <c r="C9" s="7" t="s">
        <v>680</v>
      </c>
      <c r="D9" s="7" t="s">
        <v>681</v>
      </c>
      <c r="E9" s="9" t="n">
        <v>1690000</v>
      </c>
      <c r="F9" s="9" t="n">
        <v>1850000</v>
      </c>
      <c r="G9" s="7" t="str">
        <f aca="false">IF(E9="","Needs data",IF(F9&lt;=Filters!$B$2,"Within cap",IF(E9&lt;=Filters!$B$2,"Straddles cap","Over cap")))</f>
        <v>Over cap</v>
      </c>
      <c r="H9" s="7" t="n">
        <v>4</v>
      </c>
      <c r="I9" s="7" t="n">
        <v>2</v>
      </c>
      <c r="J9" s="7" t="n">
        <v>4</v>
      </c>
      <c r="K9" s="7" t="n">
        <v>319</v>
      </c>
      <c r="L9" s="7" t="s">
        <v>682</v>
      </c>
      <c r="M9" s="7" t="s">
        <v>659</v>
      </c>
      <c r="N9" s="7" t="s">
        <v>683</v>
      </c>
      <c r="O9" s="7" t="s">
        <v>680</v>
      </c>
      <c r="P9" s="7" t="str">
        <f aca="false">IFERROR(INDEX(SuburbScorecard!$C:$C,MATCH($O9,SuburbScorecard!$A:$A,0)),"Not on scorecard")</f>
        <v>Not on scorecard</v>
      </c>
      <c r="Q9" s="7" t="str">
        <f aca="false">IFERROR(IF(INDEX(SuburbScorecard!$J:$J,MATCH($O9,SuburbScorecard!$A:$A,0))="","",INDEX(SuburbScorecard!$J:$J,MATCH($O9,SuburbScorecard!$A:$A,0))),"")</f>
        <v/>
      </c>
      <c r="R9" s="7" t="str">
        <f aca="false">IFERROR(IF(INDEX(SuburbScorecard!$K:$K,MATCH($O9,SuburbScorecard!$A:$A,0))="","",INDEX(SuburbScorecard!$K:$K,MATCH($O9,SuburbScorecard!$A:$A,0))),"")</f>
        <v/>
      </c>
      <c r="S9" s="7" t="str">
        <f aca="false">IFERROR(IF(INDEX(SuburbScorecard!$AB:$AB,MATCH($O9,SuburbScorecard!$A:$A,0))="","Needs data",INDEX(SuburbScorecard!$AB:$AB,MATCH($O9,SuburbScorecard!$A:$A,0))),"Needs data")</f>
        <v>Needs data</v>
      </c>
      <c r="T9" s="7" t="str">
        <f aca="false">IF(L9="Under offer","Under offer",IF(G9="Over cap","Fails: budget",IF(NOT(AND(ISNUMBER(Q9),ISNUMBER(R9))),"Needs data",IF(Q9&gt;Filters!$B$4,"Fails: GW drive",IF(R9&gt;Filters!$B$5,"Fails: ED drive",IF(G9="Straddles cap","Pass if bought near low end","Pass"))))))</f>
        <v>Under offer</v>
      </c>
      <c r="U9" s="7" t="s">
        <v>656</v>
      </c>
    </row>
    <row r="10" customFormat="false" ht="15" hidden="false" customHeight="false" outlineLevel="0" collapsed="false">
      <c r="A10" s="7" t="n">
        <v>9</v>
      </c>
      <c r="B10" s="7" t="s">
        <v>684</v>
      </c>
      <c r="C10" s="7" t="s">
        <v>680</v>
      </c>
      <c r="D10" s="7" t="s">
        <v>685</v>
      </c>
      <c r="E10" s="9" t="n">
        <v>1450000</v>
      </c>
      <c r="F10" s="9" t="n">
        <v>1595000</v>
      </c>
      <c r="G10" s="7" t="str">
        <f aca="false">IF(E10="","Needs data",IF(F10&lt;=Filters!$B$2,"Within cap",IF(E10&lt;=Filters!$B$2,"Straddles cap","Over cap")))</f>
        <v>Straddles cap</v>
      </c>
      <c r="H10" s="7" t="n">
        <v>3</v>
      </c>
      <c r="I10" s="7" t="n">
        <v>2</v>
      </c>
      <c r="J10" s="7" t="n">
        <v>2</v>
      </c>
      <c r="K10" s="7" t="n">
        <v>1019</v>
      </c>
      <c r="L10" s="7" t="s">
        <v>648</v>
      </c>
      <c r="M10" s="7" t="s">
        <v>686</v>
      </c>
      <c r="N10" s="7" t="s">
        <v>687</v>
      </c>
      <c r="O10" s="7" t="s">
        <v>680</v>
      </c>
      <c r="P10" s="7" t="str">
        <f aca="false">IFERROR(INDEX(SuburbScorecard!$C:$C,MATCH($O10,SuburbScorecard!$A:$A,0)),"Not on scorecard")</f>
        <v>Not on scorecard</v>
      </c>
      <c r="Q10" s="7" t="str">
        <f aca="false">IFERROR(IF(INDEX(SuburbScorecard!$J:$J,MATCH($O10,SuburbScorecard!$A:$A,0))="","",INDEX(SuburbScorecard!$J:$J,MATCH($O10,SuburbScorecard!$A:$A,0))),"")</f>
        <v/>
      </c>
      <c r="R10" s="7" t="str">
        <f aca="false">IFERROR(IF(INDEX(SuburbScorecard!$K:$K,MATCH($O10,SuburbScorecard!$A:$A,0))="","",INDEX(SuburbScorecard!$K:$K,MATCH($O10,SuburbScorecard!$A:$A,0))),"")</f>
        <v/>
      </c>
      <c r="S10" s="7" t="str">
        <f aca="false">IFERROR(IF(INDEX(SuburbScorecard!$AB:$AB,MATCH($O10,SuburbScorecard!$A:$A,0))="","Needs data",INDEX(SuburbScorecard!$AB:$AB,MATCH($O10,SuburbScorecard!$A:$A,0))),"Needs data")</f>
        <v>Needs data</v>
      </c>
      <c r="T10" s="7" t="str">
        <f aca="false"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>Needs data</v>
      </c>
      <c r="U10" s="7" t="s">
        <v>656</v>
      </c>
    </row>
    <row r="11" customFormat="false" ht="15" hidden="false" customHeight="false" outlineLevel="0" collapsed="false">
      <c r="A11" s="7" t="n">
        <v>10</v>
      </c>
      <c r="B11" s="7" t="s">
        <v>688</v>
      </c>
      <c r="C11" s="7" t="s">
        <v>454</v>
      </c>
      <c r="D11" s="7" t="s">
        <v>689</v>
      </c>
      <c r="E11" s="9" t="n">
        <v>1799000</v>
      </c>
      <c r="F11" s="9" t="n">
        <v>1978000</v>
      </c>
      <c r="G11" s="7" t="str">
        <f aca="false">IF(E11="","Needs data",IF(F11&lt;=Filters!$B$2,"Within cap",IF(E11&lt;=Filters!$B$2,"Straddles cap","Over cap")))</f>
        <v>Over cap</v>
      </c>
      <c r="H11" s="7" t="n">
        <v>5</v>
      </c>
      <c r="I11" s="7" t="n">
        <v>2</v>
      </c>
      <c r="J11" s="7" t="n">
        <v>2</v>
      </c>
      <c r="K11" s="7" t="n">
        <v>976</v>
      </c>
      <c r="L11" s="7" t="s">
        <v>648</v>
      </c>
      <c r="M11" s="7" t="s">
        <v>686</v>
      </c>
      <c r="N11" s="7" t="s">
        <v>690</v>
      </c>
      <c r="O11" s="7" t="s">
        <v>454</v>
      </c>
      <c r="P11" s="7" t="str">
        <f aca="false">IFERROR(INDEX(SuburbScorecard!$C:$C,MATCH($O11,SuburbScorecard!$A:$A,0)),"Not on scorecard")</f>
        <v>Active Shortlist</v>
      </c>
      <c r="Q11" s="7" t="n">
        <f aca="false">IFERROR(IF(INDEX(SuburbScorecard!$J:$J,MATCH($O11,SuburbScorecard!$A:$A,0))="","",INDEX(SuburbScorecard!$J:$J,MATCH($O11,SuburbScorecard!$A:$A,0))),"")</f>
        <v>34</v>
      </c>
      <c r="R11" s="7" t="n">
        <f aca="false">IFERROR(IF(INDEX(SuburbScorecard!$K:$K,MATCH($O11,SuburbScorecard!$A:$A,0))="","",INDEX(SuburbScorecard!$K:$K,MATCH($O11,SuburbScorecard!$A:$A,0))),"")</f>
        <v>10</v>
      </c>
      <c r="S11" s="7" t="str">
        <f aca="false">IFERROR(IF(INDEX(SuburbScorecard!$AB:$AB,MATCH($O11,SuburbScorecard!$A:$A,0))="","Needs data",INDEX(SuburbScorecard!$AB:$AB,MATCH($O11,SuburbScorecard!$A:$A,0))),"Needs data")</f>
        <v>No</v>
      </c>
      <c r="T11" s="7" t="str">
        <f aca="false"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>Fails: budget</v>
      </c>
    </row>
    <row r="12" customFormat="false" ht="15" hidden="false" customHeight="false" outlineLevel="0" collapsed="false">
      <c r="A12" s="7" t="n">
        <v>11</v>
      </c>
      <c r="B12" s="7" t="s">
        <v>691</v>
      </c>
      <c r="C12" s="7" t="s">
        <v>454</v>
      </c>
      <c r="D12" s="7" t="s">
        <v>692</v>
      </c>
      <c r="E12" s="9" t="n">
        <v>1275000</v>
      </c>
      <c r="F12" s="9" t="n">
        <v>1375000</v>
      </c>
      <c r="G12" s="7" t="str">
        <f aca="false">IF(E12="","Needs data",IF(F12&lt;=Filters!$B$2,"Within cap",IF(E12&lt;=Filters!$B$2,"Straddles cap","Over cap")))</f>
        <v>Within cap</v>
      </c>
      <c r="H12" s="7" t="n">
        <v>3</v>
      </c>
      <c r="I12" s="7" t="n">
        <v>2</v>
      </c>
      <c r="J12" s="7" t="n">
        <v>2</v>
      </c>
      <c r="K12" s="7" t="n">
        <v>985</v>
      </c>
      <c r="L12" s="7" t="s">
        <v>648</v>
      </c>
      <c r="M12" s="7" t="s">
        <v>693</v>
      </c>
      <c r="N12" s="7" t="s">
        <v>694</v>
      </c>
      <c r="O12" s="7" t="s">
        <v>454</v>
      </c>
      <c r="P12" s="7" t="str">
        <f aca="false">IFERROR(INDEX(SuburbScorecard!$C:$C,MATCH($O12,SuburbScorecard!$A:$A,0)),"Not on scorecard")</f>
        <v>Active Shortlist</v>
      </c>
      <c r="Q12" s="7" t="n">
        <f aca="false">IFERROR(IF(INDEX(SuburbScorecard!$J:$J,MATCH($O12,SuburbScorecard!$A:$A,0))="","",INDEX(SuburbScorecard!$J:$J,MATCH($O12,SuburbScorecard!$A:$A,0))),"")</f>
        <v>34</v>
      </c>
      <c r="R12" s="7" t="n">
        <f aca="false">IFERROR(IF(INDEX(SuburbScorecard!$K:$K,MATCH($O12,SuburbScorecard!$A:$A,0))="","",INDEX(SuburbScorecard!$K:$K,MATCH($O12,SuburbScorecard!$A:$A,0))),"")</f>
        <v>10</v>
      </c>
      <c r="S12" s="7" t="str">
        <f aca="false">IFERROR(IF(INDEX(SuburbScorecard!$AB:$AB,MATCH($O12,SuburbScorecard!$A:$A,0))="","Needs data",INDEX(SuburbScorecard!$AB:$AB,MATCH($O12,SuburbScorecard!$A:$A,0))),"Needs data")</f>
        <v>No</v>
      </c>
      <c r="T12" s="7" t="str">
        <f aca="false"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>Pass</v>
      </c>
    </row>
    <row r="13" customFormat="false" ht="15" hidden="false" customHeight="false" outlineLevel="0" collapsed="false">
      <c r="A13" s="7" t="n">
        <v>12</v>
      </c>
      <c r="B13" s="7" t="s">
        <v>695</v>
      </c>
      <c r="C13" s="7" t="s">
        <v>454</v>
      </c>
      <c r="D13" s="7" t="s">
        <v>696</v>
      </c>
      <c r="E13" s="9" t="n">
        <v>1300000</v>
      </c>
      <c r="F13" s="9" t="n">
        <v>1430000</v>
      </c>
      <c r="G13" s="7" t="str">
        <f aca="false">IF(E13="","Needs data",IF(F13&lt;=Filters!$B$2,"Within cap",IF(E13&lt;=Filters!$B$2,"Straddles cap","Over cap")))</f>
        <v>Within cap</v>
      </c>
      <c r="H13" s="7" t="n">
        <v>4</v>
      </c>
      <c r="I13" s="7" t="n">
        <v>2</v>
      </c>
      <c r="J13" s="7" t="n">
        <v>2</v>
      </c>
      <c r="K13" s="7" t="n">
        <v>981</v>
      </c>
      <c r="L13" s="7" t="s">
        <v>648</v>
      </c>
      <c r="M13" s="7" t="s">
        <v>659</v>
      </c>
      <c r="N13" s="7" t="s">
        <v>697</v>
      </c>
      <c r="O13" s="7" t="s">
        <v>454</v>
      </c>
      <c r="P13" s="7" t="str">
        <f aca="false">IFERROR(INDEX(SuburbScorecard!$C:$C,MATCH($O13,SuburbScorecard!$A:$A,0)),"Not on scorecard")</f>
        <v>Active Shortlist</v>
      </c>
      <c r="Q13" s="7" t="n">
        <f aca="false">IFERROR(IF(INDEX(SuburbScorecard!$J:$J,MATCH($O13,SuburbScorecard!$A:$A,0))="","",INDEX(SuburbScorecard!$J:$J,MATCH($O13,SuburbScorecard!$A:$A,0))),"")</f>
        <v>34</v>
      </c>
      <c r="R13" s="7" t="n">
        <f aca="false">IFERROR(IF(INDEX(SuburbScorecard!$K:$K,MATCH($O13,SuburbScorecard!$A:$A,0))="","",INDEX(SuburbScorecard!$K:$K,MATCH($O13,SuburbScorecard!$A:$A,0))),"")</f>
        <v>10</v>
      </c>
      <c r="S13" s="7" t="str">
        <f aca="false">IFERROR(IF(INDEX(SuburbScorecard!$AB:$AB,MATCH($O13,SuburbScorecard!$A:$A,0))="","Needs data",INDEX(SuburbScorecard!$AB:$AB,MATCH($O13,SuburbScorecard!$A:$A,0))),"Needs data")</f>
        <v>No</v>
      </c>
      <c r="T13" s="7" t="str">
        <f aca="false"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>Pass</v>
      </c>
    </row>
    <row r="14" customFormat="false" ht="15" hidden="false" customHeight="false" outlineLevel="0" collapsed="false">
      <c r="A14" s="7" t="n">
        <v>13</v>
      </c>
      <c r="B14" s="7" t="s">
        <v>698</v>
      </c>
      <c r="C14" s="7" t="s">
        <v>454</v>
      </c>
      <c r="D14" s="7" t="s">
        <v>699</v>
      </c>
      <c r="E14" s="9" t="n">
        <v>890000</v>
      </c>
      <c r="F14" s="9" t="n">
        <v>970000</v>
      </c>
      <c r="G14" s="7" t="str">
        <f aca="false">IF(E14="","Needs data",IF(F14&lt;=Filters!$B$2,"Within cap",IF(E14&lt;=Filters!$B$2,"Straddles cap","Over cap")))</f>
        <v>Within cap</v>
      </c>
      <c r="H14" s="7" t="n">
        <v>4</v>
      </c>
      <c r="I14" s="7" t="n">
        <v>2</v>
      </c>
      <c r="J14" s="7" t="n">
        <v>2</v>
      </c>
      <c r="K14" s="7" t="n">
        <v>790</v>
      </c>
      <c r="L14" s="7" t="s">
        <v>648</v>
      </c>
      <c r="M14" s="7" t="s">
        <v>700</v>
      </c>
      <c r="N14" s="7" t="s">
        <v>701</v>
      </c>
      <c r="O14" s="7" t="s">
        <v>454</v>
      </c>
      <c r="P14" s="7" t="str">
        <f aca="false">IFERROR(INDEX(SuburbScorecard!$C:$C,MATCH($O14,SuburbScorecard!$A:$A,0)),"Not on scorecard")</f>
        <v>Active Shortlist</v>
      </c>
      <c r="Q14" s="7" t="n">
        <f aca="false">IFERROR(IF(INDEX(SuburbScorecard!$J:$J,MATCH($O14,SuburbScorecard!$A:$A,0))="","",INDEX(SuburbScorecard!$J:$J,MATCH($O14,SuburbScorecard!$A:$A,0))),"")</f>
        <v>34</v>
      </c>
      <c r="R14" s="7" t="n">
        <f aca="false">IFERROR(IF(INDEX(SuburbScorecard!$K:$K,MATCH($O14,SuburbScorecard!$A:$A,0))="","",INDEX(SuburbScorecard!$K:$K,MATCH($O14,SuburbScorecard!$A:$A,0))),"")</f>
        <v>10</v>
      </c>
      <c r="S14" s="7" t="str">
        <f aca="false">IFERROR(IF(INDEX(SuburbScorecard!$AB:$AB,MATCH($O14,SuburbScorecard!$A:$A,0))="","Needs data",INDEX(SuburbScorecard!$AB:$AB,MATCH($O14,SuburbScorecard!$A:$A,0))),"Needs data")</f>
        <v>No</v>
      </c>
      <c r="T14" s="7" t="str">
        <f aca="false"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>Pass</v>
      </c>
    </row>
    <row r="15" customFormat="false" ht="15" hidden="false" customHeight="false" outlineLevel="0" collapsed="false">
      <c r="A15" s="7" t="n">
        <v>14</v>
      </c>
      <c r="B15" s="7" t="s">
        <v>702</v>
      </c>
      <c r="C15" s="7" t="s">
        <v>703</v>
      </c>
      <c r="D15" s="7" t="s">
        <v>704</v>
      </c>
      <c r="E15" s="9" t="n">
        <v>1650000</v>
      </c>
      <c r="F15" s="9" t="n">
        <v>1750000</v>
      </c>
      <c r="G15" s="7" t="str">
        <f aca="false">IF(E15="","Needs data",IF(F15&lt;=Filters!$B$2,"Within cap",IF(E15&lt;=Filters!$B$2,"Straddles cap","Over cap")))</f>
        <v>Over cap</v>
      </c>
      <c r="H15" s="7" t="n">
        <v>4</v>
      </c>
      <c r="I15" s="7" t="n">
        <v>2</v>
      </c>
      <c r="J15" s="7" t="n">
        <v>4</v>
      </c>
      <c r="K15" s="7" t="n">
        <v>819</v>
      </c>
      <c r="L15" s="7" t="s">
        <v>648</v>
      </c>
      <c r="M15" s="7" t="s">
        <v>659</v>
      </c>
      <c r="N15" s="7" t="s">
        <v>705</v>
      </c>
      <c r="O15" s="7" t="s">
        <v>703</v>
      </c>
      <c r="P15" s="7" t="str">
        <f aca="false">IFERROR(INDEX(SuburbScorecard!$C:$C,MATCH($O15,SuburbScorecard!$A:$A,0)),"Not on scorecard")</f>
        <v>Not on scorecard</v>
      </c>
      <c r="Q15" s="7" t="str">
        <f aca="false">IFERROR(IF(INDEX(SuburbScorecard!$J:$J,MATCH($O15,SuburbScorecard!$A:$A,0))="","",INDEX(SuburbScorecard!$J:$J,MATCH($O15,SuburbScorecard!$A:$A,0))),"")</f>
        <v/>
      </c>
      <c r="R15" s="7" t="str">
        <f aca="false">IFERROR(IF(INDEX(SuburbScorecard!$K:$K,MATCH($O15,SuburbScorecard!$A:$A,0))="","",INDEX(SuburbScorecard!$K:$K,MATCH($O15,SuburbScorecard!$A:$A,0))),"")</f>
        <v/>
      </c>
      <c r="S15" s="7" t="str">
        <f aca="false">IFERROR(IF(INDEX(SuburbScorecard!$AB:$AB,MATCH($O15,SuburbScorecard!$A:$A,0))="","Needs data",INDEX(SuburbScorecard!$AB:$AB,MATCH($O15,SuburbScorecard!$A:$A,0))),"Needs data")</f>
        <v>Needs data</v>
      </c>
      <c r="T15" s="7" t="str">
        <f aca="false"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>Fails: budget</v>
      </c>
      <c r="U15" s="7" t="s">
        <v>706</v>
      </c>
    </row>
    <row r="16" customFormat="false" ht="15" hidden="false" customHeight="false" outlineLevel="0" collapsed="false">
      <c r="A16" s="7" t="n">
        <v>15</v>
      </c>
      <c r="B16" s="7" t="s">
        <v>707</v>
      </c>
      <c r="C16" s="7" t="s">
        <v>553</v>
      </c>
      <c r="D16" s="7" t="s">
        <v>708</v>
      </c>
      <c r="E16" s="9" t="n">
        <v>1349000</v>
      </c>
      <c r="F16" s="9" t="n">
        <v>1349000</v>
      </c>
      <c r="G16" s="7" t="str">
        <f aca="false">IF(E16="","Needs data",IF(F16&lt;=Filters!$B$2,"Within cap",IF(E16&lt;=Filters!$B$2,"Straddles cap","Over cap")))</f>
        <v>Within cap</v>
      </c>
      <c r="H16" s="7" t="n">
        <v>3</v>
      </c>
      <c r="I16" s="7" t="n">
        <v>2</v>
      </c>
      <c r="J16" s="7" t="n">
        <v>2</v>
      </c>
      <c r="K16" s="7" t="n">
        <v>675</v>
      </c>
      <c r="L16" s="7" t="s">
        <v>648</v>
      </c>
      <c r="M16" s="7" t="s">
        <v>659</v>
      </c>
      <c r="N16" s="7" t="s">
        <v>709</v>
      </c>
      <c r="O16" s="7" t="s">
        <v>553</v>
      </c>
      <c r="P16" s="7" t="str">
        <f aca="false">IFERROR(INDEX(SuburbScorecard!$C:$C,MATCH($O16,SuburbScorecard!$A:$A,0)),"Not on scorecard")</f>
        <v>Watchlist</v>
      </c>
      <c r="Q16" s="7" t="str">
        <f aca="false">IFERROR(IF(INDEX(SuburbScorecard!$J:$J,MATCH($O16,SuburbScorecard!$A:$A,0))="","",INDEX(SuburbScorecard!$J:$J,MATCH($O16,SuburbScorecard!$A:$A,0))),"")</f>
        <v/>
      </c>
      <c r="R16" s="7" t="str">
        <f aca="false">IFERROR(IF(INDEX(SuburbScorecard!$K:$K,MATCH($O16,SuburbScorecard!$A:$A,0))="","",INDEX(SuburbScorecard!$K:$K,MATCH($O16,SuburbScorecard!$A:$A,0))),"")</f>
        <v/>
      </c>
      <c r="S16" s="7" t="str">
        <f aca="false">IFERROR(IF(INDEX(SuburbScorecard!$AB:$AB,MATCH($O16,SuburbScorecard!$A:$A,0))="","Needs data",INDEX(SuburbScorecard!$AB:$AB,MATCH($O16,SuburbScorecard!$A:$A,0))),"Needs data")</f>
        <v>Needs data</v>
      </c>
      <c r="T16" s="7" t="str">
        <f aca="false"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>Needs data</v>
      </c>
      <c r="U16" s="7" t="s">
        <v>710</v>
      </c>
    </row>
    <row r="17" customFormat="false" ht="15" hidden="false" customHeight="false" outlineLevel="0" collapsed="false">
      <c r="A17" s="7" t="n">
        <v>16</v>
      </c>
      <c r="B17" s="7" t="s">
        <v>711</v>
      </c>
      <c r="C17" s="7" t="s">
        <v>712</v>
      </c>
      <c r="D17" s="7" t="s">
        <v>713</v>
      </c>
      <c r="E17" s="9" t="n">
        <v>1350000</v>
      </c>
      <c r="F17" s="9" t="n">
        <v>1450000</v>
      </c>
      <c r="G17" s="7" t="str">
        <f aca="false">IF(E17="","Needs data",IF(F17&lt;=Filters!$B$2,"Within cap",IF(E17&lt;=Filters!$B$2,"Straddles cap","Over cap")))</f>
        <v>Within cap</v>
      </c>
      <c r="H17" s="7" t="n">
        <v>5</v>
      </c>
      <c r="I17" s="7" t="n">
        <v>3</v>
      </c>
      <c r="J17" s="7" t="n">
        <v>5</v>
      </c>
      <c r="K17" s="7" t="n">
        <v>580</v>
      </c>
      <c r="L17" s="7" t="s">
        <v>648</v>
      </c>
      <c r="M17" s="7" t="s">
        <v>714</v>
      </c>
      <c r="N17" s="7" t="s">
        <v>715</v>
      </c>
      <c r="O17" s="7" t="s">
        <v>712</v>
      </c>
      <c r="P17" s="7" t="str">
        <f aca="false">IFERROR(INDEX(SuburbScorecard!$C:$C,MATCH($O17,SuburbScorecard!$A:$A,0)),"Not on scorecard")</f>
        <v>Not on scorecard</v>
      </c>
      <c r="Q17" s="7" t="str">
        <f aca="false">IFERROR(IF(INDEX(SuburbScorecard!$J:$J,MATCH($O17,SuburbScorecard!$A:$A,0))="","",INDEX(SuburbScorecard!$J:$J,MATCH($O17,SuburbScorecard!$A:$A,0))),"")</f>
        <v/>
      </c>
      <c r="R17" s="7" t="str">
        <f aca="false">IFERROR(IF(INDEX(SuburbScorecard!$K:$K,MATCH($O17,SuburbScorecard!$A:$A,0))="","",INDEX(SuburbScorecard!$K:$K,MATCH($O17,SuburbScorecard!$A:$A,0))),"")</f>
        <v/>
      </c>
      <c r="S17" s="7" t="str">
        <f aca="false">IFERROR(IF(INDEX(SuburbScorecard!$AB:$AB,MATCH($O17,SuburbScorecard!$A:$A,0))="","Needs data",INDEX(SuburbScorecard!$AB:$AB,MATCH($O17,SuburbScorecard!$A:$A,0))),"Needs data")</f>
        <v>Needs data</v>
      </c>
      <c r="T17" s="7" t="str">
        <f aca="false"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>Needs data</v>
      </c>
      <c r="U17" s="7" t="s">
        <v>656</v>
      </c>
    </row>
    <row r="18" customFormat="false" ht="15" hidden="false" customHeight="false" outlineLevel="0" collapsed="false">
      <c r="A18" s="7" t="n">
        <v>17</v>
      </c>
      <c r="B18" s="7" t="s">
        <v>716</v>
      </c>
      <c r="C18" s="7" t="s">
        <v>717</v>
      </c>
      <c r="D18" s="7" t="s">
        <v>718</v>
      </c>
      <c r="E18" s="9" t="n">
        <v>1500000</v>
      </c>
      <c r="F18" s="9" t="n">
        <v>1650000</v>
      </c>
      <c r="G18" s="7" t="str">
        <f aca="false">IF(E18="","Needs data",IF(F18&lt;=Filters!$B$2,"Within cap",IF(E18&lt;=Filters!$B$2,"Straddles cap","Over cap")))</f>
        <v>Straddles cap</v>
      </c>
      <c r="H18" s="7" t="n">
        <v>5</v>
      </c>
      <c r="I18" s="7" t="n">
        <v>3</v>
      </c>
      <c r="J18" s="7" t="n">
        <v>6</v>
      </c>
      <c r="K18" s="7" t="n">
        <v>913</v>
      </c>
      <c r="L18" s="7" t="s">
        <v>648</v>
      </c>
      <c r="M18" s="7" t="s">
        <v>700</v>
      </c>
      <c r="N18" s="7" t="s">
        <v>719</v>
      </c>
      <c r="O18" s="7" t="s">
        <v>717</v>
      </c>
      <c r="P18" s="7" t="str">
        <f aca="false">IFERROR(INDEX(SuburbScorecard!$C:$C,MATCH($O18,SuburbScorecard!$A:$A,0)),"Not on scorecard")</f>
        <v>Not on scorecard</v>
      </c>
      <c r="Q18" s="7" t="str">
        <f aca="false">IFERROR(IF(INDEX(SuburbScorecard!$J:$J,MATCH($O18,SuburbScorecard!$A:$A,0))="","",INDEX(SuburbScorecard!$J:$J,MATCH($O18,SuburbScorecard!$A:$A,0))),"")</f>
        <v/>
      </c>
      <c r="R18" s="7" t="str">
        <f aca="false">IFERROR(IF(INDEX(SuburbScorecard!$K:$K,MATCH($O18,SuburbScorecard!$A:$A,0))="","",INDEX(SuburbScorecard!$K:$K,MATCH($O18,SuburbScorecard!$A:$A,0))),"")</f>
        <v/>
      </c>
      <c r="S18" s="7" t="str">
        <f aca="false">IFERROR(IF(INDEX(SuburbScorecard!$AB:$AB,MATCH($O18,SuburbScorecard!$A:$A,0))="","Needs data",INDEX(SuburbScorecard!$AB:$AB,MATCH($O18,SuburbScorecard!$A:$A,0))),"Needs data")</f>
        <v>Needs data</v>
      </c>
      <c r="T18" s="7" t="str">
        <f aca="false"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>Needs data</v>
      </c>
      <c r="U18" s="7" t="s">
        <v>656</v>
      </c>
    </row>
    <row r="19" customFormat="false" ht="15" hidden="false" customHeight="false" outlineLevel="0" collapsed="false">
      <c r="A19" s="7" t="n">
        <v>18</v>
      </c>
      <c r="B19" s="7" t="s">
        <v>720</v>
      </c>
      <c r="C19" s="7" t="s">
        <v>721</v>
      </c>
      <c r="D19" s="7" t="s">
        <v>722</v>
      </c>
      <c r="E19" s="9" t="n">
        <v>1400000</v>
      </c>
      <c r="F19" s="9" t="n">
        <v>1540000</v>
      </c>
      <c r="G19" s="7" t="str">
        <f aca="false">IF(E19="","Needs data",IF(F19&lt;=Filters!$B$2,"Within cap",IF(E19&lt;=Filters!$B$2,"Straddles cap","Over cap")))</f>
        <v>Straddles cap</v>
      </c>
      <c r="H19" s="7" t="n">
        <v>5</v>
      </c>
      <c r="I19" s="7" t="n">
        <v>3</v>
      </c>
      <c r="J19" s="7" t="n">
        <v>3</v>
      </c>
      <c r="K19" s="7" t="n">
        <v>688</v>
      </c>
      <c r="L19" s="7" t="s">
        <v>648</v>
      </c>
      <c r="M19" s="7" t="s">
        <v>723</v>
      </c>
      <c r="N19" s="7" t="s">
        <v>724</v>
      </c>
      <c r="O19" s="7" t="s">
        <v>721</v>
      </c>
      <c r="P19" s="7" t="str">
        <f aca="false">IFERROR(INDEX(SuburbScorecard!$C:$C,MATCH($O19,SuburbScorecard!$A:$A,0)),"Not on scorecard")</f>
        <v>Not on scorecard</v>
      </c>
      <c r="Q19" s="7" t="str">
        <f aca="false">IFERROR(IF(INDEX(SuburbScorecard!$J:$J,MATCH($O19,SuburbScorecard!$A:$A,0))="","",INDEX(SuburbScorecard!$J:$J,MATCH($O19,SuburbScorecard!$A:$A,0))),"")</f>
        <v/>
      </c>
      <c r="R19" s="7" t="str">
        <f aca="false">IFERROR(IF(INDEX(SuburbScorecard!$K:$K,MATCH($O19,SuburbScorecard!$A:$A,0))="","",INDEX(SuburbScorecard!$K:$K,MATCH($O19,SuburbScorecard!$A:$A,0))),"")</f>
        <v/>
      </c>
      <c r="S19" s="7" t="str">
        <f aca="false">IFERROR(IF(INDEX(SuburbScorecard!$AB:$AB,MATCH($O19,SuburbScorecard!$A:$A,0))="","Needs data",INDEX(SuburbScorecard!$AB:$AB,MATCH($O19,SuburbScorecard!$A:$A,0))),"Needs data")</f>
        <v>Needs data</v>
      </c>
      <c r="T19" s="7" t="str">
        <f aca="false"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>Needs data</v>
      </c>
      <c r="U19" s="7" t="s">
        <v>656</v>
      </c>
    </row>
    <row r="20" customFormat="false" ht="15" hidden="false" customHeight="false" outlineLevel="0" collapsed="false">
      <c r="A20" s="7" t="n">
        <v>19</v>
      </c>
      <c r="B20" s="7" t="s">
        <v>725</v>
      </c>
      <c r="C20" s="7" t="s">
        <v>359</v>
      </c>
      <c r="D20" s="7" t="s">
        <v>653</v>
      </c>
      <c r="E20" s="9" t="n">
        <v>1200000</v>
      </c>
      <c r="F20" s="9" t="n">
        <v>1300000</v>
      </c>
      <c r="G20" s="7" t="str">
        <f aca="false">IF(E20="","Needs data",IF(F20&lt;=Filters!$B$2,"Within cap",IF(E20&lt;=Filters!$B$2,"Straddles cap","Over cap")))</f>
        <v>Within cap</v>
      </c>
      <c r="H20" s="7" t="n">
        <v>4</v>
      </c>
      <c r="I20" s="7" t="n">
        <v>2</v>
      </c>
      <c r="J20" s="7" t="n">
        <v>2</v>
      </c>
      <c r="K20" s="7" t="n">
        <v>392</v>
      </c>
      <c r="L20" s="7" t="s">
        <v>648</v>
      </c>
      <c r="M20" s="7" t="s">
        <v>659</v>
      </c>
      <c r="N20" s="7" t="s">
        <v>650</v>
      </c>
      <c r="O20" s="7" t="s">
        <v>359</v>
      </c>
      <c r="P20" s="7" t="str">
        <f aca="false">IFERROR(INDEX(SuburbScorecard!$C:$C,MATCH($O20,SuburbScorecard!$A:$A,0)),"Not on scorecard")</f>
        <v>Active Shortlist</v>
      </c>
      <c r="Q20" s="7" t="n">
        <f aca="false">IFERROR(IF(INDEX(SuburbScorecard!$J:$J,MATCH($O20,SuburbScorecard!$A:$A,0))="","",INDEX(SuburbScorecard!$J:$J,MATCH($O20,SuburbScorecard!$A:$A,0))),"")</f>
        <v>88</v>
      </c>
      <c r="R20" s="7" t="n">
        <f aca="false">IFERROR(IF(INDEX(SuburbScorecard!$K:$K,MATCH($O20,SuburbScorecard!$A:$A,0))="","",INDEX(SuburbScorecard!$K:$K,MATCH($O20,SuburbScorecard!$A:$A,0))),"")</f>
        <v>23</v>
      </c>
      <c r="S20" s="7" t="str">
        <f aca="false">IFERROR(IF(INDEX(SuburbScorecard!$AB:$AB,MATCH($O20,SuburbScorecard!$A:$A,0))="","Needs data",INDEX(SuburbScorecard!$AB:$AB,MATCH($O20,SuburbScorecard!$A:$A,0))),"Needs data")</f>
        <v>No</v>
      </c>
      <c r="T20" s="7" t="str">
        <f aca="false"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>Pass</v>
      </c>
    </row>
    <row r="21" customFormat="false" ht="15" hidden="false" customHeight="false" outlineLevel="0" collapsed="false">
      <c r="A21" s="7" t="n">
        <v>20</v>
      </c>
      <c r="B21" s="7" t="s">
        <v>726</v>
      </c>
      <c r="C21" s="7" t="s">
        <v>727</v>
      </c>
      <c r="D21" s="7" t="s">
        <v>728</v>
      </c>
      <c r="E21" s="9" t="n">
        <v>1790000</v>
      </c>
      <c r="F21" s="9" t="n">
        <v>1790000</v>
      </c>
      <c r="G21" s="7" t="str">
        <f aca="false">IF(E21="","Needs data",IF(F21&lt;=Filters!$B$2,"Within cap",IF(E21&lt;=Filters!$B$2,"Straddles cap","Over cap")))</f>
        <v>Over cap</v>
      </c>
      <c r="H21" s="7" t="n">
        <v>4</v>
      </c>
      <c r="I21" s="7" t="n">
        <v>2</v>
      </c>
      <c r="J21" s="7" t="n">
        <v>4</v>
      </c>
      <c r="K21" s="7" t="n">
        <v>417</v>
      </c>
      <c r="L21" s="7" t="s">
        <v>648</v>
      </c>
      <c r="M21" s="7" t="s">
        <v>649</v>
      </c>
      <c r="N21" s="7" t="s">
        <v>729</v>
      </c>
      <c r="O21" s="7" t="s">
        <v>727</v>
      </c>
      <c r="P21" s="7" t="str">
        <f aca="false">IFERROR(INDEX(SuburbScorecard!$C:$C,MATCH($O21,SuburbScorecard!$A:$A,0)),"Not on scorecard")</f>
        <v>Not on scorecard</v>
      </c>
      <c r="Q21" s="7" t="str">
        <f aca="false">IFERROR(IF(INDEX(SuburbScorecard!$J:$J,MATCH($O21,SuburbScorecard!$A:$A,0))="","",INDEX(SuburbScorecard!$J:$J,MATCH($O21,SuburbScorecard!$A:$A,0))),"")</f>
        <v/>
      </c>
      <c r="R21" s="7" t="str">
        <f aca="false">IFERROR(IF(INDEX(SuburbScorecard!$K:$K,MATCH($O21,SuburbScorecard!$A:$A,0))="","",INDEX(SuburbScorecard!$K:$K,MATCH($O21,SuburbScorecard!$A:$A,0))),"")</f>
        <v/>
      </c>
      <c r="S21" s="7" t="str">
        <f aca="false">IFERROR(IF(INDEX(SuburbScorecard!$AB:$AB,MATCH($O21,SuburbScorecard!$A:$A,0))="","Needs data",INDEX(SuburbScorecard!$AB:$AB,MATCH($O21,SuburbScorecard!$A:$A,0))),"Needs data")</f>
        <v>Needs data</v>
      </c>
      <c r="T21" s="7" t="str">
        <f aca="false"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>Fails: budget</v>
      </c>
      <c r="U21" s="7" t="s">
        <v>656</v>
      </c>
    </row>
    <row r="22" customFormat="false" ht="15" hidden="false" customHeight="false" outlineLevel="0" collapsed="false">
      <c r="A22" s="7" t="n">
        <v>21</v>
      </c>
      <c r="B22" s="7" t="s">
        <v>730</v>
      </c>
      <c r="C22" s="7" t="s">
        <v>527</v>
      </c>
      <c r="D22" s="7" t="s">
        <v>731</v>
      </c>
      <c r="E22" s="9" t="n">
        <v>940000</v>
      </c>
      <c r="F22" s="9" t="n">
        <v>940000</v>
      </c>
      <c r="G22" s="7" t="str">
        <f aca="false">IF(E22="","Needs data",IF(F22&lt;=Filters!$B$2,"Within cap",IF(E22&lt;=Filters!$B$2,"Straddles cap","Over cap")))</f>
        <v>Within cap</v>
      </c>
      <c r="H22" s="7" t="n">
        <v>4</v>
      </c>
      <c r="I22" s="7" t="n">
        <v>2</v>
      </c>
      <c r="J22" s="7" t="n">
        <v>1</v>
      </c>
      <c r="K22" s="7" t="n">
        <v>551</v>
      </c>
      <c r="L22" s="7" t="s">
        <v>648</v>
      </c>
      <c r="M22" s="7" t="s">
        <v>732</v>
      </c>
      <c r="N22" s="7" t="s">
        <v>733</v>
      </c>
      <c r="O22" s="7" t="s">
        <v>527</v>
      </c>
      <c r="P22" s="7" t="str">
        <f aca="false">IFERROR(INDEX(SuburbScorecard!$C:$C,MATCH($O22,SuburbScorecard!$A:$A,0)),"Not on scorecard")</f>
        <v>Active Shortlist</v>
      </c>
      <c r="Q22" s="7" t="n">
        <f aca="false">IFERROR(IF(INDEX(SuburbScorecard!$J:$J,MATCH($O22,SuburbScorecard!$A:$A,0))="","",INDEX(SuburbScorecard!$J:$J,MATCH($O22,SuburbScorecard!$A:$A,0))),"")</f>
        <v>31</v>
      </c>
      <c r="R22" s="7" t="n">
        <f aca="false">IFERROR(IF(INDEX(SuburbScorecard!$K:$K,MATCH($O22,SuburbScorecard!$A:$A,0))="","",INDEX(SuburbScorecard!$K:$K,MATCH($O22,SuburbScorecard!$A:$A,0))),"")</f>
        <v>4</v>
      </c>
      <c r="S22" s="7" t="str">
        <f aca="false">IFERROR(IF(INDEX(SuburbScorecard!$AB:$AB,MATCH($O22,SuburbScorecard!$A:$A,0))="","Needs data",INDEX(SuburbScorecard!$AB:$AB,MATCH($O22,SuburbScorecard!$A:$A,0))),"Needs data")</f>
        <v>No</v>
      </c>
      <c r="T22" s="7" t="str">
        <f aca="false"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>Pass</v>
      </c>
      <c r="U22" s="7" t="s">
        <v>734</v>
      </c>
    </row>
    <row r="23" customFormat="false" ht="15" hidden="false" customHeight="false" outlineLevel="0" collapsed="false">
      <c r="A23" s="7" t="n">
        <v>22</v>
      </c>
      <c r="B23" s="7" t="s">
        <v>735</v>
      </c>
      <c r="C23" s="7" t="s">
        <v>412</v>
      </c>
      <c r="D23" s="7" t="s">
        <v>736</v>
      </c>
      <c r="E23" s="9" t="n">
        <v>1300000</v>
      </c>
      <c r="F23" s="9" t="n">
        <v>1400000</v>
      </c>
      <c r="G23" s="7" t="str">
        <f aca="false">IF(E23="","Needs data",IF(F23&lt;=Filters!$B$2,"Within cap",IF(E23&lt;=Filters!$B$2,"Straddles cap","Over cap")))</f>
        <v>Within cap</v>
      </c>
      <c r="H23" s="7" t="n">
        <v>4</v>
      </c>
      <c r="I23" s="7" t="n">
        <v>2</v>
      </c>
      <c r="J23" s="7" t="n">
        <v>2</v>
      </c>
      <c r="K23" s="7" t="n">
        <v>1120</v>
      </c>
      <c r="L23" s="7" t="s">
        <v>682</v>
      </c>
      <c r="M23" s="7" t="s">
        <v>659</v>
      </c>
      <c r="N23" s="7" t="s">
        <v>737</v>
      </c>
      <c r="O23" s="7" t="s">
        <v>412</v>
      </c>
      <c r="P23" s="7" t="str">
        <f aca="false">IFERROR(INDEX(SuburbScorecard!$C:$C,MATCH($O23,SuburbScorecard!$A:$A,0)),"Not on scorecard")</f>
        <v>Active Shortlist</v>
      </c>
      <c r="Q23" s="7" t="n">
        <f aca="false">IFERROR(IF(INDEX(SuburbScorecard!$J:$J,MATCH($O23,SuburbScorecard!$A:$A,0))="","",INDEX(SuburbScorecard!$J:$J,MATCH($O23,SuburbScorecard!$A:$A,0))),"")</f>
        <v>19</v>
      </c>
      <c r="R23" s="7" t="n">
        <f aca="false">IFERROR(IF(INDEX(SuburbScorecard!$K:$K,MATCH($O23,SuburbScorecard!$A:$A,0))="","",INDEX(SuburbScorecard!$K:$K,MATCH($O23,SuburbScorecard!$A:$A,0))),"")</f>
        <v>5</v>
      </c>
      <c r="S23" s="7" t="str">
        <f aca="false">IFERROR(IF(INDEX(SuburbScorecard!$AB:$AB,MATCH($O23,SuburbScorecard!$A:$A,0))="","Needs data",INDEX(SuburbScorecard!$AB:$AB,MATCH($O23,SuburbScorecard!$A:$A,0))),"Needs data")</f>
        <v>Yes</v>
      </c>
      <c r="T23" s="7" t="str">
        <f aca="false"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>Under offer</v>
      </c>
    </row>
    <row r="24" customFormat="false" ht="15" hidden="false" customHeight="false" outlineLevel="0" collapsed="false">
      <c r="A24" s="7" t="n">
        <v>23</v>
      </c>
      <c r="B24" s="7" t="s">
        <v>738</v>
      </c>
      <c r="C24" s="7" t="s">
        <v>397</v>
      </c>
      <c r="D24" s="7" t="s">
        <v>739</v>
      </c>
      <c r="E24" s="9" t="n">
        <v>850000</v>
      </c>
      <c r="F24" s="9" t="n">
        <v>920000</v>
      </c>
      <c r="G24" s="7" t="str">
        <f aca="false">IF(E24="","Needs data",IF(F24&lt;=Filters!$B$2,"Within cap",IF(E24&lt;=Filters!$B$2,"Straddles cap","Over cap")))</f>
        <v>Within cap</v>
      </c>
      <c r="H24" s="7" t="n">
        <v>4</v>
      </c>
      <c r="I24" s="7" t="n">
        <v>2</v>
      </c>
      <c r="J24" s="7" t="n">
        <v>4</v>
      </c>
      <c r="K24" s="7" t="n">
        <v>3492</v>
      </c>
      <c r="L24" s="7" t="s">
        <v>648</v>
      </c>
      <c r="M24" s="7" t="s">
        <v>740</v>
      </c>
      <c r="N24" s="7" t="s">
        <v>741</v>
      </c>
      <c r="O24" s="7" t="s">
        <v>397</v>
      </c>
      <c r="P24" s="7" t="str">
        <f aca="false">IFERROR(INDEX(SuburbScorecard!$C:$C,MATCH($O24,SuburbScorecard!$A:$A,0)),"Not on scorecard")</f>
        <v>Active Shortlist</v>
      </c>
      <c r="Q24" s="7" t="n">
        <f aca="false">IFERROR(IF(INDEX(SuburbScorecard!$J:$J,MATCH($O24,SuburbScorecard!$A:$A,0))="","",INDEX(SuburbScorecard!$J:$J,MATCH($O24,SuburbScorecard!$A:$A,0))),"")</f>
        <v>21</v>
      </c>
      <c r="R24" s="7" t="n">
        <f aca="false">IFERROR(IF(INDEX(SuburbScorecard!$K:$K,MATCH($O24,SuburbScorecard!$A:$A,0))="","",INDEX(SuburbScorecard!$K:$K,MATCH($O24,SuburbScorecard!$A:$A,0))),"")</f>
        <v>7</v>
      </c>
      <c r="S24" s="7" t="str">
        <f aca="false">IFERROR(IF(INDEX(SuburbScorecard!$AB:$AB,MATCH($O24,SuburbScorecard!$A:$A,0))="","Needs data",INDEX(SuburbScorecard!$AB:$AB,MATCH($O24,SuburbScorecard!$A:$A,0))),"Needs data")</f>
        <v>Yes</v>
      </c>
      <c r="T24" s="7" t="str">
        <f aca="false"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>Pass</v>
      </c>
      <c r="U24" s="7" t="s">
        <v>742</v>
      </c>
    </row>
    <row r="25" customFormat="false" ht="15" hidden="false" customHeight="false" outlineLevel="0" collapsed="false">
      <c r="A25" s="7" t="n">
        <v>24</v>
      </c>
      <c r="B25" s="7" t="s">
        <v>743</v>
      </c>
      <c r="C25" s="7" t="s">
        <v>397</v>
      </c>
      <c r="D25" s="7" t="s">
        <v>744</v>
      </c>
      <c r="E25" s="9" t="n">
        <v>1035000</v>
      </c>
      <c r="F25" s="9" t="n">
        <v>1035000</v>
      </c>
      <c r="G25" s="7" t="str">
        <f aca="false">IF(E25="","Needs data",IF(F25&lt;=Filters!$B$2,"Within cap",IF(E25&lt;=Filters!$B$2,"Straddles cap","Over cap")))</f>
        <v>Within cap</v>
      </c>
      <c r="H25" s="7" t="n">
        <v>4</v>
      </c>
      <c r="I25" s="7" t="n">
        <v>2</v>
      </c>
      <c r="K25" s="7" t="n">
        <v>2070</v>
      </c>
      <c r="L25" s="7" t="s">
        <v>648</v>
      </c>
      <c r="M25" s="7" t="s">
        <v>745</v>
      </c>
      <c r="N25" s="7" t="s">
        <v>746</v>
      </c>
      <c r="O25" s="7" t="s">
        <v>397</v>
      </c>
      <c r="P25" s="7" t="str">
        <f aca="false">IFERROR(INDEX(SuburbScorecard!$C:$C,MATCH($O25,SuburbScorecard!$A:$A,0)),"Not on scorecard")</f>
        <v>Active Shortlist</v>
      </c>
      <c r="Q25" s="7" t="n">
        <f aca="false">IFERROR(IF(INDEX(SuburbScorecard!$J:$J,MATCH($O25,SuburbScorecard!$A:$A,0))="","",INDEX(SuburbScorecard!$J:$J,MATCH($O25,SuburbScorecard!$A:$A,0))),"")</f>
        <v>21</v>
      </c>
      <c r="R25" s="7" t="n">
        <f aca="false">IFERROR(IF(INDEX(SuburbScorecard!$K:$K,MATCH($O25,SuburbScorecard!$A:$A,0))="","",INDEX(SuburbScorecard!$K:$K,MATCH($O25,SuburbScorecard!$A:$A,0))),"")</f>
        <v>7</v>
      </c>
      <c r="S25" s="7" t="str">
        <f aca="false">IFERROR(IF(INDEX(SuburbScorecard!$AB:$AB,MATCH($O25,SuburbScorecard!$A:$A,0))="","Needs data",INDEX(SuburbScorecard!$AB:$AB,MATCH($O25,SuburbScorecard!$A:$A,0))),"Needs data")</f>
        <v>Yes</v>
      </c>
      <c r="T25" s="7" t="str">
        <f aca="false"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>Pass</v>
      </c>
      <c r="U25" s="7" t="s">
        <v>747</v>
      </c>
    </row>
    <row r="26" customFormat="false" ht="15" hidden="false" customHeight="false" outlineLevel="0" collapsed="false">
      <c r="A26" s="7" t="n">
        <v>25</v>
      </c>
      <c r="B26" s="7" t="s">
        <v>748</v>
      </c>
      <c r="C26" s="7" t="s">
        <v>397</v>
      </c>
      <c r="D26" s="7" t="s">
        <v>749</v>
      </c>
      <c r="E26" s="9" t="n">
        <v>1150000</v>
      </c>
      <c r="F26" s="9" t="n">
        <v>1250000</v>
      </c>
      <c r="G26" s="7" t="str">
        <f aca="false">IF(E26="","Needs data",IF(F26&lt;=Filters!$B$2,"Within cap",IF(E26&lt;=Filters!$B$2,"Straddles cap","Over cap")))</f>
        <v>Within cap</v>
      </c>
      <c r="H26" s="7" t="n">
        <v>4</v>
      </c>
      <c r="I26" s="7" t="n">
        <v>2</v>
      </c>
      <c r="J26" s="7" t="n">
        <v>2</v>
      </c>
      <c r="K26" s="7" t="n">
        <v>1432</v>
      </c>
      <c r="L26" s="7" t="s">
        <v>648</v>
      </c>
      <c r="M26" s="7" t="s">
        <v>659</v>
      </c>
      <c r="N26" s="7" t="s">
        <v>750</v>
      </c>
      <c r="O26" s="7" t="s">
        <v>397</v>
      </c>
      <c r="P26" s="7" t="str">
        <f aca="false">IFERROR(INDEX(SuburbScorecard!$C:$C,MATCH($O26,SuburbScorecard!$A:$A,0)),"Not on scorecard")</f>
        <v>Active Shortlist</v>
      </c>
      <c r="Q26" s="7" t="n">
        <f aca="false">IFERROR(IF(INDEX(SuburbScorecard!$J:$J,MATCH($O26,SuburbScorecard!$A:$A,0))="","",INDEX(SuburbScorecard!$J:$J,MATCH($O26,SuburbScorecard!$A:$A,0))),"")</f>
        <v>21</v>
      </c>
      <c r="R26" s="7" t="n">
        <f aca="false">IFERROR(IF(INDEX(SuburbScorecard!$K:$K,MATCH($O26,SuburbScorecard!$A:$A,0))="","",INDEX(SuburbScorecard!$K:$K,MATCH($O26,SuburbScorecard!$A:$A,0))),"")</f>
        <v>7</v>
      </c>
      <c r="S26" s="7" t="str">
        <f aca="false">IFERROR(IF(INDEX(SuburbScorecard!$AB:$AB,MATCH($O26,SuburbScorecard!$A:$A,0))="","Needs data",INDEX(SuburbScorecard!$AB:$AB,MATCH($O26,SuburbScorecard!$A:$A,0))),"Needs data")</f>
        <v>Yes</v>
      </c>
      <c r="T26" s="7" t="str">
        <f aca="false"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>Pass</v>
      </c>
    </row>
    <row r="27" customFormat="false" ht="15" hidden="false" customHeight="false" outlineLevel="0" collapsed="false">
      <c r="A27" s="7" t="n">
        <v>26</v>
      </c>
      <c r="B27" s="7" t="s">
        <v>751</v>
      </c>
      <c r="C27" s="7" t="s">
        <v>397</v>
      </c>
      <c r="D27" s="7" t="s">
        <v>752</v>
      </c>
      <c r="E27" s="9" t="n">
        <v>870000</v>
      </c>
      <c r="F27" s="9" t="n">
        <v>946000</v>
      </c>
      <c r="G27" s="7" t="str">
        <f aca="false">IF(E27="","Needs data",IF(F27&lt;=Filters!$B$2,"Within cap",IF(E27&lt;=Filters!$B$2,"Straddles cap","Over cap")))</f>
        <v>Within cap</v>
      </c>
      <c r="H27" s="7" t="n">
        <v>5</v>
      </c>
      <c r="I27" s="7" t="n">
        <v>2</v>
      </c>
      <c r="J27" s="7" t="n">
        <v>2</v>
      </c>
      <c r="K27" s="7" t="n">
        <v>1066</v>
      </c>
      <c r="L27" s="7" t="s">
        <v>648</v>
      </c>
      <c r="M27" s="7" t="s">
        <v>649</v>
      </c>
      <c r="N27" s="7" t="s">
        <v>753</v>
      </c>
      <c r="O27" s="7" t="s">
        <v>397</v>
      </c>
      <c r="P27" s="7" t="str">
        <f aca="false">IFERROR(INDEX(SuburbScorecard!$C:$C,MATCH($O27,SuburbScorecard!$A:$A,0)),"Not on scorecard")</f>
        <v>Active Shortlist</v>
      </c>
      <c r="Q27" s="7" t="n">
        <f aca="false">IFERROR(IF(INDEX(SuburbScorecard!$J:$J,MATCH($O27,SuburbScorecard!$A:$A,0))="","",INDEX(SuburbScorecard!$J:$J,MATCH($O27,SuburbScorecard!$A:$A,0))),"")</f>
        <v>21</v>
      </c>
      <c r="R27" s="7" t="n">
        <f aca="false">IFERROR(IF(INDEX(SuburbScorecard!$K:$K,MATCH($O27,SuburbScorecard!$A:$A,0))="","",INDEX(SuburbScorecard!$K:$K,MATCH($O27,SuburbScorecard!$A:$A,0))),"")</f>
        <v>7</v>
      </c>
      <c r="S27" s="7" t="str">
        <f aca="false">IFERROR(IF(INDEX(SuburbScorecard!$AB:$AB,MATCH($O27,SuburbScorecard!$A:$A,0))="","Needs data",INDEX(SuburbScorecard!$AB:$AB,MATCH($O27,SuburbScorecard!$A:$A,0))),"Needs data")</f>
        <v>Yes</v>
      </c>
      <c r="T27" s="7" t="str">
        <f aca="false"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>Pass</v>
      </c>
    </row>
    <row r="28" customFormat="false" ht="15" hidden="false" customHeight="false" outlineLevel="0" collapsed="false">
      <c r="A28" s="7" t="n">
        <v>27</v>
      </c>
      <c r="B28" s="7" t="s">
        <v>754</v>
      </c>
      <c r="C28" s="7" t="s">
        <v>755</v>
      </c>
      <c r="D28" s="7" t="s">
        <v>756</v>
      </c>
      <c r="E28" s="9" t="n">
        <v>1390000</v>
      </c>
      <c r="F28" s="9" t="n">
        <v>1490000</v>
      </c>
      <c r="G28" s="7" t="str">
        <f aca="false">IF(E28="","Needs data",IF(F28&lt;=Filters!$B$2,"Within cap",IF(E28&lt;=Filters!$B$2,"Straddles cap","Over cap")))</f>
        <v>Within cap</v>
      </c>
      <c r="H28" s="7" t="n">
        <v>5</v>
      </c>
      <c r="I28" s="7" t="n">
        <v>3</v>
      </c>
      <c r="J28" s="7" t="n">
        <v>2</v>
      </c>
      <c r="K28" s="7" t="n">
        <v>920</v>
      </c>
      <c r="L28" s="7" t="s">
        <v>648</v>
      </c>
      <c r="M28" s="7" t="s">
        <v>659</v>
      </c>
      <c r="N28" s="7" t="s">
        <v>757</v>
      </c>
      <c r="O28" s="7" t="s">
        <v>755</v>
      </c>
      <c r="P28" s="7" t="str">
        <f aca="false">IFERROR(INDEX(SuburbScorecard!$C:$C,MATCH($O28,SuburbScorecard!$A:$A,0)),"Not on scorecard")</f>
        <v>Not on scorecard</v>
      </c>
      <c r="Q28" s="7" t="str">
        <f aca="false">IFERROR(IF(INDEX(SuburbScorecard!$J:$J,MATCH($O28,SuburbScorecard!$A:$A,0))="","",INDEX(SuburbScorecard!$J:$J,MATCH($O28,SuburbScorecard!$A:$A,0))),"")</f>
        <v/>
      </c>
      <c r="R28" s="7" t="str">
        <f aca="false">IFERROR(IF(INDEX(SuburbScorecard!$K:$K,MATCH($O28,SuburbScorecard!$A:$A,0))="","",INDEX(SuburbScorecard!$K:$K,MATCH($O28,SuburbScorecard!$A:$A,0))),"")</f>
        <v/>
      </c>
      <c r="S28" s="7" t="str">
        <f aca="false">IFERROR(IF(INDEX(SuburbScorecard!$AB:$AB,MATCH($O28,SuburbScorecard!$A:$A,0))="","Needs data",INDEX(SuburbScorecard!$AB:$AB,MATCH($O28,SuburbScorecard!$A:$A,0))),"Needs data")</f>
        <v>Needs data</v>
      </c>
      <c r="T28" s="7" t="str">
        <f aca="false"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>Needs data</v>
      </c>
      <c r="U28" s="7" t="s">
        <v>656</v>
      </c>
    </row>
    <row r="29" customFormat="false" ht="15" hidden="false" customHeight="false" outlineLevel="0" collapsed="false">
      <c r="A29" s="7" t="n">
        <v>28</v>
      </c>
      <c r="B29" s="7" t="s">
        <v>758</v>
      </c>
      <c r="C29" s="7" t="s">
        <v>412</v>
      </c>
      <c r="D29" s="7" t="s">
        <v>759</v>
      </c>
      <c r="E29" s="9" t="n">
        <v>1250000</v>
      </c>
      <c r="F29" s="9" t="n">
        <v>1340000</v>
      </c>
      <c r="G29" s="7" t="str">
        <f aca="false">IF(E29="","Needs data",IF(F29&lt;=Filters!$B$2,"Within cap",IF(E29&lt;=Filters!$B$2,"Straddles cap","Over cap")))</f>
        <v>Within cap</v>
      </c>
      <c r="H29" s="7" t="n">
        <v>5</v>
      </c>
      <c r="I29" s="7" t="n">
        <v>2</v>
      </c>
      <c r="J29" s="7" t="n">
        <v>4</v>
      </c>
      <c r="K29" s="7" t="n">
        <v>1354</v>
      </c>
      <c r="L29" s="7" t="s">
        <v>648</v>
      </c>
      <c r="M29" s="7" t="s">
        <v>760</v>
      </c>
      <c r="N29" s="7" t="s">
        <v>761</v>
      </c>
      <c r="O29" s="7" t="s">
        <v>412</v>
      </c>
      <c r="P29" s="7" t="str">
        <f aca="false">IFERROR(INDEX(SuburbScorecard!$C:$C,MATCH($O29,SuburbScorecard!$A:$A,0)),"Not on scorecard")</f>
        <v>Active Shortlist</v>
      </c>
      <c r="Q29" s="7" t="n">
        <f aca="false">IFERROR(IF(INDEX(SuburbScorecard!$J:$J,MATCH($O29,SuburbScorecard!$A:$A,0))="","",INDEX(SuburbScorecard!$J:$J,MATCH($O29,SuburbScorecard!$A:$A,0))),"")</f>
        <v>19</v>
      </c>
      <c r="R29" s="7" t="n">
        <f aca="false">IFERROR(IF(INDEX(SuburbScorecard!$K:$K,MATCH($O29,SuburbScorecard!$A:$A,0))="","",INDEX(SuburbScorecard!$K:$K,MATCH($O29,SuburbScorecard!$A:$A,0))),"")</f>
        <v>5</v>
      </c>
      <c r="S29" s="7" t="str">
        <f aca="false">IFERROR(IF(INDEX(SuburbScorecard!$AB:$AB,MATCH($O29,SuburbScorecard!$A:$A,0))="","Needs data",INDEX(SuburbScorecard!$AB:$AB,MATCH($O29,SuburbScorecard!$A:$A,0))),"Needs data")</f>
        <v>Yes</v>
      </c>
      <c r="T29" s="7" t="str">
        <f aca="false"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>Pass</v>
      </c>
    </row>
    <row r="30" customFormat="false" ht="15" hidden="false" customHeight="false" outlineLevel="0" collapsed="false">
      <c r="A30" s="7" t="n">
        <v>29</v>
      </c>
      <c r="B30" s="7" t="s">
        <v>762</v>
      </c>
      <c r="C30" s="7" t="s">
        <v>397</v>
      </c>
      <c r="D30" s="7" t="s">
        <v>763</v>
      </c>
      <c r="E30" s="9" t="n">
        <v>945000</v>
      </c>
      <c r="F30" s="9" t="n">
        <v>1035000</v>
      </c>
      <c r="G30" s="7" t="str">
        <f aca="false">IF(E30="","Needs data",IF(F30&lt;=Filters!$B$2,"Within cap",IF(E30&lt;=Filters!$B$2,"Straddles cap","Over cap")))</f>
        <v>Within cap</v>
      </c>
      <c r="H30" s="7" t="n">
        <v>5</v>
      </c>
      <c r="I30" s="7" t="n">
        <v>2</v>
      </c>
      <c r="J30" s="7" t="n">
        <v>2</v>
      </c>
      <c r="K30" s="7" t="n">
        <v>4089</v>
      </c>
      <c r="L30" s="7" t="s">
        <v>648</v>
      </c>
      <c r="M30" s="7" t="s">
        <v>764</v>
      </c>
      <c r="N30" s="7" t="s">
        <v>765</v>
      </c>
      <c r="O30" s="7" t="s">
        <v>397</v>
      </c>
      <c r="P30" s="7" t="str">
        <f aca="false">IFERROR(INDEX(SuburbScorecard!$C:$C,MATCH($O30,SuburbScorecard!$A:$A,0)),"Not on scorecard")</f>
        <v>Active Shortlist</v>
      </c>
      <c r="Q30" s="7" t="n">
        <f aca="false">IFERROR(IF(INDEX(SuburbScorecard!$J:$J,MATCH($O30,SuburbScorecard!$A:$A,0))="","",INDEX(SuburbScorecard!$J:$J,MATCH($O30,SuburbScorecard!$A:$A,0))),"")</f>
        <v>21</v>
      </c>
      <c r="R30" s="7" t="n">
        <f aca="false">IFERROR(IF(INDEX(SuburbScorecard!$K:$K,MATCH($O30,SuburbScorecard!$A:$A,0))="","",INDEX(SuburbScorecard!$K:$K,MATCH($O30,SuburbScorecard!$A:$A,0))),"")</f>
        <v>7</v>
      </c>
      <c r="S30" s="7" t="str">
        <f aca="false">IFERROR(IF(INDEX(SuburbScorecard!$AB:$AB,MATCH($O30,SuburbScorecard!$A:$A,0))="","Needs data",INDEX(SuburbScorecard!$AB:$AB,MATCH($O30,SuburbScorecard!$A:$A,0))),"Needs data")</f>
        <v>Yes</v>
      </c>
      <c r="T30" s="7" t="str">
        <f aca="false"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>Pass</v>
      </c>
    </row>
    <row r="31" customFormat="false" ht="15" hidden="false" customHeight="false" outlineLevel="0" collapsed="false">
      <c r="A31" s="7" t="n">
        <v>30</v>
      </c>
      <c r="B31" s="7" t="s">
        <v>766</v>
      </c>
      <c r="C31" s="7" t="s">
        <v>295</v>
      </c>
      <c r="D31" s="7" t="s">
        <v>713</v>
      </c>
      <c r="E31" s="9" t="n">
        <v>1350000</v>
      </c>
      <c r="F31" s="9" t="n">
        <v>1450000</v>
      </c>
      <c r="G31" s="7" t="str">
        <f aca="false">IF(E31="","Needs data",IF(F31&lt;=Filters!$B$2,"Within cap",IF(E31&lt;=Filters!$B$2,"Straddles cap","Over cap")))</f>
        <v>Within cap</v>
      </c>
      <c r="H31" s="7" t="n">
        <v>4</v>
      </c>
      <c r="I31" s="7" t="n">
        <v>3</v>
      </c>
      <c r="J31" s="7" t="n">
        <v>2</v>
      </c>
      <c r="K31" s="7" t="n">
        <v>781</v>
      </c>
      <c r="L31" s="7" t="s">
        <v>648</v>
      </c>
      <c r="M31" s="7" t="s">
        <v>659</v>
      </c>
      <c r="N31" s="7" t="s">
        <v>767</v>
      </c>
      <c r="O31" s="7" t="s">
        <v>295</v>
      </c>
      <c r="P31" s="7" t="str">
        <f aca="false">IFERROR(INDEX(SuburbScorecard!$C:$C,MATCH($O31,SuburbScorecard!$A:$A,0)),"Not on scorecard")</f>
        <v>Active Shortlist</v>
      </c>
      <c r="Q31" s="7" t="n">
        <f aca="false">IFERROR(IF(INDEX(SuburbScorecard!$J:$J,MATCH($O31,SuburbScorecard!$A:$A,0))="","",INDEX(SuburbScorecard!$J:$J,MATCH($O31,SuburbScorecard!$A:$A,0))),"")</f>
        <v>25</v>
      </c>
      <c r="R31" s="7" t="n">
        <f aca="false">IFERROR(IF(INDEX(SuburbScorecard!$K:$K,MATCH($O31,SuburbScorecard!$A:$A,0))="","",INDEX(SuburbScorecard!$K:$K,MATCH($O31,SuburbScorecard!$A:$A,0))),"")</f>
        <v>4</v>
      </c>
      <c r="S31" s="7" t="str">
        <f aca="false">IFERROR(IF(INDEX(SuburbScorecard!$AB:$AB,MATCH($O31,SuburbScorecard!$A:$A,0))="","Needs data",INDEX(SuburbScorecard!$AB:$AB,MATCH($O31,SuburbScorecard!$A:$A,0))),"Needs data")</f>
        <v>Yes</v>
      </c>
      <c r="T31" s="7" t="str">
        <f aca="false"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>Pass</v>
      </c>
      <c r="U31" s="7" t="s">
        <v>768</v>
      </c>
    </row>
    <row r="32" customFormat="false" ht="15" hidden="false" customHeight="false" outlineLevel="0" collapsed="false">
      <c r="A32" s="7" t="n">
        <v>31</v>
      </c>
      <c r="B32" s="7" t="s">
        <v>769</v>
      </c>
      <c r="C32" s="7" t="s">
        <v>527</v>
      </c>
      <c r="D32" s="7" t="s">
        <v>770</v>
      </c>
      <c r="E32" s="9" t="n">
        <v>1500000</v>
      </c>
      <c r="F32" s="9" t="n">
        <v>1650000</v>
      </c>
      <c r="G32" s="7" t="str">
        <f aca="false">IF(E32="","Needs data",IF(F32&lt;=Filters!$B$2,"Within cap",IF(E32&lt;=Filters!$B$2,"Straddles cap","Over cap")))</f>
        <v>Straddles cap</v>
      </c>
      <c r="H32" s="7" t="n">
        <v>4</v>
      </c>
      <c r="I32" s="7" t="n">
        <v>2</v>
      </c>
      <c r="J32" s="7" t="n">
        <v>4</v>
      </c>
      <c r="K32" s="7" t="n">
        <v>430</v>
      </c>
      <c r="L32" s="7" t="s">
        <v>648</v>
      </c>
      <c r="M32" s="7" t="s">
        <v>771</v>
      </c>
      <c r="N32" s="7" t="s">
        <v>772</v>
      </c>
      <c r="O32" s="7" t="s">
        <v>527</v>
      </c>
      <c r="P32" s="7" t="str">
        <f aca="false">IFERROR(INDEX(SuburbScorecard!$C:$C,MATCH($O32,SuburbScorecard!$A:$A,0)),"Not on scorecard")</f>
        <v>Active Shortlist</v>
      </c>
      <c r="Q32" s="7" t="n">
        <f aca="false">IFERROR(IF(INDEX(SuburbScorecard!$J:$J,MATCH($O32,SuburbScorecard!$A:$A,0))="","",INDEX(SuburbScorecard!$J:$J,MATCH($O32,SuburbScorecard!$A:$A,0))),"")</f>
        <v>31</v>
      </c>
      <c r="R32" s="7" t="n">
        <f aca="false">IFERROR(IF(INDEX(SuburbScorecard!$K:$K,MATCH($O32,SuburbScorecard!$A:$A,0))="","",INDEX(SuburbScorecard!$K:$K,MATCH($O32,SuburbScorecard!$A:$A,0))),"")</f>
        <v>4</v>
      </c>
      <c r="S32" s="7" t="str">
        <f aca="false">IFERROR(IF(INDEX(SuburbScorecard!$AB:$AB,MATCH($O32,SuburbScorecard!$A:$A,0))="","Needs data",INDEX(SuburbScorecard!$AB:$AB,MATCH($O32,SuburbScorecard!$A:$A,0))),"Needs data")</f>
        <v>No</v>
      </c>
      <c r="T32" s="7" t="str">
        <f aca="false"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>Pass if bought near low end</v>
      </c>
    </row>
    <row r="33" customFormat="false" ht="15" hidden="false" customHeight="false" outlineLevel="0" collapsed="false">
      <c r="A33" s="7" t="n">
        <v>32</v>
      </c>
      <c r="B33" s="7" t="s">
        <v>773</v>
      </c>
      <c r="C33" s="7" t="s">
        <v>527</v>
      </c>
      <c r="D33" s="7" t="s">
        <v>749</v>
      </c>
      <c r="E33" s="9" t="n">
        <v>1150000</v>
      </c>
      <c r="F33" s="9" t="n">
        <v>1250000</v>
      </c>
      <c r="G33" s="7" t="str">
        <f aca="false">IF(E33="","Needs data",IF(F33&lt;=Filters!$B$2,"Within cap",IF(E33&lt;=Filters!$B$2,"Straddles cap","Over cap")))</f>
        <v>Within cap</v>
      </c>
      <c r="H33" s="7" t="n">
        <v>3</v>
      </c>
      <c r="I33" s="7" t="n">
        <v>2</v>
      </c>
      <c r="J33" s="7" t="n">
        <v>6</v>
      </c>
      <c r="K33" s="7" t="n">
        <v>2502</v>
      </c>
      <c r="L33" s="7" t="s">
        <v>648</v>
      </c>
      <c r="M33" s="7" t="s">
        <v>774</v>
      </c>
      <c r="N33" s="7" t="s">
        <v>775</v>
      </c>
      <c r="O33" s="7" t="s">
        <v>527</v>
      </c>
      <c r="P33" s="7" t="str">
        <f aca="false">IFERROR(INDEX(SuburbScorecard!$C:$C,MATCH($O33,SuburbScorecard!$A:$A,0)),"Not on scorecard")</f>
        <v>Active Shortlist</v>
      </c>
      <c r="Q33" s="7" t="n">
        <f aca="false">IFERROR(IF(INDEX(SuburbScorecard!$J:$J,MATCH($O33,SuburbScorecard!$A:$A,0))="","",INDEX(SuburbScorecard!$J:$J,MATCH($O33,SuburbScorecard!$A:$A,0))),"")</f>
        <v>31</v>
      </c>
      <c r="R33" s="7" t="n">
        <f aca="false">IFERROR(IF(INDEX(SuburbScorecard!$K:$K,MATCH($O33,SuburbScorecard!$A:$A,0))="","",INDEX(SuburbScorecard!$K:$K,MATCH($O33,SuburbScorecard!$A:$A,0))),"")</f>
        <v>4</v>
      </c>
      <c r="S33" s="7" t="str">
        <f aca="false">IFERROR(IF(INDEX(SuburbScorecard!$AB:$AB,MATCH($O33,SuburbScorecard!$A:$A,0))="","Needs data",INDEX(SuburbScorecard!$AB:$AB,MATCH($O33,SuburbScorecard!$A:$A,0))),"Needs data")</f>
        <v>No</v>
      </c>
      <c r="T33" s="7" t="str">
        <f aca="false"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>Pass</v>
      </c>
    </row>
  </sheetData>
  <autoFilter ref="A1:U33"/>
  <conditionalFormatting sqref="T2:T33">
    <cfRule type="expression" priority="2" aboveAverage="0" equalAverage="0" bottom="0" percent="0" rank="0" text="" dxfId="10">
      <formula>LEFT($T2,4)="Pass"</formula>
    </cfRule>
    <cfRule type="expression" priority="3" aboveAverage="0" equalAverage="0" bottom="0" percent="0" rank="0" text="" dxfId="11">
      <formula>LEFT($T2,5)="Fails"</formula>
    </cfRule>
    <cfRule type="expression" priority="4" aboveAverage="0" equalAverage="0" bottom="0" percent="0" rank="0" text="" dxfId="12">
      <formula>$T2="Needs data"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776</v>
      </c>
    </row>
    <row r="3" customFormat="false" ht="15.75" hidden="false" customHeight="false" outlineLevel="0" collapsed="false">
      <c r="A3" s="1" t="s">
        <v>777</v>
      </c>
      <c r="D3" s="1" t="s">
        <v>778</v>
      </c>
    </row>
    <row r="4" customFormat="false" ht="15.75" hidden="false" customHeight="false" outlineLevel="0" collapsed="false">
      <c r="A4" s="1" t="s">
        <v>97</v>
      </c>
      <c r="B4" s="1" t="n">
        <f aca="false">CleanedAnswers!B2</f>
        <v>4</v>
      </c>
      <c r="D4" s="1" t="s">
        <v>779</v>
      </c>
      <c r="E4" s="1" t="s">
        <v>780</v>
      </c>
      <c r="F4" s="1" t="s">
        <v>781</v>
      </c>
    </row>
    <row r="5" customFormat="false" ht="15.75" hidden="false" customHeight="false" outlineLevel="0" collapsed="false">
      <c r="A5" s="1" t="s">
        <v>84</v>
      </c>
      <c r="B5" s="1" t="n">
        <f aca="false">CleanedAnswers!B3</f>
        <v>5</v>
      </c>
      <c r="D5" s="1" t="s">
        <v>100</v>
      </c>
      <c r="E5" s="12" t="n">
        <v>0</v>
      </c>
      <c r="F5" s="13" t="n">
        <v>0.153</v>
      </c>
    </row>
    <row r="6" customFormat="false" ht="15.75" hidden="false" customHeight="false" outlineLevel="0" collapsed="false">
      <c r="A6" s="1" t="s">
        <v>92</v>
      </c>
      <c r="B6" s="1" t="n">
        <f aca="false">CleanedAnswers!B4</f>
        <v>3</v>
      </c>
      <c r="D6" s="1" t="s">
        <v>89</v>
      </c>
      <c r="E6" s="12" t="n">
        <v>0.18</v>
      </c>
      <c r="F6" s="13" t="n">
        <v>0.133</v>
      </c>
    </row>
    <row r="7" customFormat="false" ht="15.75" hidden="false" customHeight="false" outlineLevel="0" collapsed="false">
      <c r="D7" s="1" t="s">
        <v>149</v>
      </c>
      <c r="E7" s="12" t="n">
        <v>0.15</v>
      </c>
      <c r="F7" s="13" t="n">
        <v>0.133</v>
      </c>
    </row>
    <row r="8" customFormat="false" ht="15.75" hidden="false" customHeight="false" outlineLevel="0" collapsed="false">
      <c r="A8" s="1" t="s">
        <v>782</v>
      </c>
      <c r="D8" s="1" t="s">
        <v>147</v>
      </c>
      <c r="E8" s="12" t="n">
        <v>0.18</v>
      </c>
      <c r="F8" s="13" t="n">
        <v>0.117</v>
      </c>
    </row>
    <row r="9" customFormat="false" ht="15.75" hidden="false" customHeight="false" outlineLevel="0" collapsed="false">
      <c r="A9" s="1" t="s">
        <v>783</v>
      </c>
      <c r="B9" s="14" t="n">
        <v>1500000</v>
      </c>
      <c r="D9" s="1" t="s">
        <v>91</v>
      </c>
      <c r="E9" s="12" t="n">
        <v>0.09</v>
      </c>
      <c r="F9" s="13" t="n">
        <v>0.108</v>
      </c>
    </row>
    <row r="10" customFormat="false" ht="15.75" hidden="false" customHeight="false" outlineLevel="0" collapsed="false">
      <c r="A10" s="1" t="s">
        <v>784</v>
      </c>
      <c r="B10" s="1" t="n">
        <f aca="false">Filters!B4</f>
        <v>90</v>
      </c>
      <c r="D10" s="1" t="s">
        <v>90</v>
      </c>
      <c r="E10" s="12" t="n">
        <v>0.07</v>
      </c>
      <c r="F10" s="13" t="n">
        <v>0.088</v>
      </c>
    </row>
    <row r="11" customFormat="false" ht="15.75" hidden="false" customHeight="false" outlineLevel="0" collapsed="false">
      <c r="A11" s="1" t="s">
        <v>785</v>
      </c>
      <c r="B11" s="1" t="n">
        <f aca="false">Filters!B5</f>
        <v>90</v>
      </c>
      <c r="D11" s="1" t="s">
        <v>150</v>
      </c>
      <c r="E11" s="12" t="n">
        <v>0.15</v>
      </c>
      <c r="F11" s="13" t="n">
        <v>0.081</v>
      </c>
    </row>
    <row r="12" customFormat="false" ht="15.75" hidden="false" customHeight="false" outlineLevel="0" collapsed="false">
      <c r="A12" s="1" t="s">
        <v>786</v>
      </c>
      <c r="B12" s="1" t="str">
        <f aca="false">Filters!B6</f>
        <v>Stairs allowed (single-level not required)</v>
      </c>
      <c r="D12" s="1" t="s">
        <v>152</v>
      </c>
      <c r="E12" s="12" t="n">
        <v>0.08</v>
      </c>
      <c r="F12" s="13" t="n">
        <v>0.081</v>
      </c>
    </row>
    <row r="13" customFormat="false" ht="15.75" hidden="false" customHeight="false" outlineLevel="0" collapsed="false">
      <c r="D13" s="1" t="s">
        <v>148</v>
      </c>
      <c r="E13" s="12" t="n">
        <v>0.1</v>
      </c>
      <c r="F13" s="13" t="n">
        <v>0.061</v>
      </c>
    </row>
    <row r="14" customFormat="false" ht="15.75" hidden="false" customHeight="false" outlineLevel="0" collapsed="false">
      <c r="A14" s="1" t="s">
        <v>787</v>
      </c>
      <c r="D14" s="1" t="s">
        <v>161</v>
      </c>
      <c r="E14" s="12" t="n">
        <v>0</v>
      </c>
      <c r="F14" s="13" t="n">
        <v>0.045</v>
      </c>
    </row>
    <row r="15" customFormat="false" ht="15.75" hidden="false" customHeight="false" outlineLevel="0" collapsed="false">
      <c r="A15" s="1" t="s">
        <v>788</v>
      </c>
      <c r="B15" s="1" t="n">
        <f aca="false">COUNTIF(SuburbScorecard!L:L, "*Pass*")</f>
        <v>13</v>
      </c>
    </row>
    <row r="16" customFormat="false" ht="15.75" hidden="false" customHeight="false" outlineLevel="0" collapsed="false">
      <c r="A16" s="1" t="s">
        <v>789</v>
      </c>
      <c r="B16" s="1" t="n">
        <f aca="false">COUNTIF(SuburbScorecard!L:L, "*Needs data*")</f>
        <v>38</v>
      </c>
      <c r="D16" s="1" t="s">
        <v>790</v>
      </c>
    </row>
    <row r="17" customFormat="false" ht="15.75" hidden="false" customHeight="false" outlineLevel="0" collapsed="false">
      <c r="A17" s="1" t="s">
        <v>791</v>
      </c>
      <c r="B17" s="1" t="n">
        <f aca="false">COUNTIF(SuburbScorecard!L:L, "Fails: budget")</f>
        <v>0</v>
      </c>
      <c r="D17" s="1" t="s">
        <v>129</v>
      </c>
      <c r="E17" s="1" t="s">
        <v>130</v>
      </c>
    </row>
    <row r="18" customFormat="false" ht="15.75" hidden="false" customHeight="false" outlineLevel="0" collapsed="false">
      <c r="A18" s="1" t="s">
        <v>376</v>
      </c>
      <c r="B18" s="1" t="n">
        <f aca="false">COUNTIF(SuburbScorecard!L:L, "Fails: GW drive")</f>
        <v>2</v>
      </c>
      <c r="D18" s="1" t="s">
        <v>131</v>
      </c>
      <c r="E18" s="1" t="s">
        <v>132</v>
      </c>
    </row>
    <row r="19" customFormat="false" ht="15.75" hidden="false" customHeight="false" outlineLevel="0" collapsed="false">
      <c r="A19" s="1" t="s">
        <v>792</v>
      </c>
      <c r="B19" s="1" t="n">
        <f aca="false">COUNTIF(SuburbScorecard!L:L, "Fails: ED drive")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2026-10-27T00:51:13Z</dcterms:created>
  <dc:creator>openpyxl</dc:creator>
  <dc:description/>
  <dc:language>en-US</dc:language>
  <cp:lastModifiedBy/>
  <dcterms:modified xsi:type="dcterms:W3CDTF">2026-10-27T01:52:38Z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