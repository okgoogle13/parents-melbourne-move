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hh:mm"/>
    <numFmt numFmtId="165" formatCode="\$#,##0"/>
    <numFmt numFmtId="166" formatCode="yyyy-mm-dd hh:mm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5">
      <c r="A15" s="29" t="n">
        <v>46322.27782407407</v>
      </c>
      <c r="B15" s="16" t="inlineStr">
        <is>
          <t>Mum</t>
        </is>
      </c>
      <c r="C15" s="22" t="inlineStr">
        <is>
          <t>A — Green views and quiet</t>
        </is>
      </c>
      <c r="D15" s="22" t="inlineStr">
        <is>
          <t>E — None of these / depends (see notes)</t>
        </is>
      </c>
      <c r="E15" s="21" t="n">
        <v>1250000</v>
      </c>
      <c r="F15" s="16" t="inlineStr">
        <is>
          <t>B - 25m</t>
        </is>
      </c>
      <c r="H15" s="16" t="inlineStr">
        <is>
          <t>B - 20m</t>
        </is>
      </c>
      <c r="I15" s="16" t="inlineStr">
        <is>
          <t>A - None at all (Single-level only)</t>
        </is>
      </c>
      <c r="J15" s="16" t="inlineStr">
        <is>
          <t>C - Courtyard</t>
        </is>
      </c>
      <c r="K15" s="16" t="inlineStr">
        <is>
          <t>A — Yes, living together</t>
        </is>
      </c>
      <c r="L15" s="22" t="inlineStr">
        <is>
          <t>E — Not decided / depends (see notes)</t>
        </is>
      </c>
      <c r="M15" s="22" t="inlineStr">
        <is>
          <t>A — A green outlook from the house</t>
        </is>
      </c>
      <c r="N15" s="22" t="inlineStr">
        <is>
          <t>A — A church or place of worship nearby</t>
        </is>
      </c>
      <c r="O15" s="16" t="inlineStr">
        <is>
          <t>B — A leafy suburban street, 15 min from Glen Waverley</t>
        </is>
      </c>
      <c r="P15" s="16" t="inlineStr">
        <is>
          <t>A — Flat suburban streets, beach 10 min away</t>
        </is>
      </c>
      <c r="Q15" s="16" t="inlineStr">
        <is>
          <t>A — A quiet street, driving 15 min to the shops and doctor</t>
        </is>
      </c>
      <c r="R15" s="22" t="inlineStr">
        <is>
          <t>A — Indian shops and community in your own suburb, less green</t>
        </is>
      </c>
      <c r="S15" s="22" t="inlineStr">
        <is>
          <t>B — Leafy metropolitan suburb within 35 min of family</t>
        </is>
      </c>
      <c r="T15" s="22" t="inlineStr">
        <is>
          <t>B — Coastal or bay town with greenery and water walks</t>
        </is>
      </c>
      <c r="U15" s="22" t="inlineStr">
        <is>
          <t>A — Stay put and rely on taxis or family</t>
        </is>
      </c>
      <c r="V15" s="16" t="inlineStr">
        <is>
          <t>B</t>
        </is>
      </c>
      <c r="W15" s="16" t="inlineStr">
        <is>
          <t>C</t>
        </is>
      </c>
      <c r="X15" s="16" t="inlineStr">
        <is>
          <t>C</t>
        </is>
      </c>
      <c r="Y15" s="16" t="inlineStr">
        <is>
          <t>B</t>
        </is>
      </c>
      <c r="Z15" s="16" t="inlineStr">
        <is>
          <t>D</t>
        </is>
      </c>
      <c r="AA15" s="16" t="inlineStr">
        <is>
          <t>C</t>
        </is>
      </c>
      <c r="AB15" s="16" t="inlineStr">
        <is>
          <t>D</t>
        </is>
      </c>
      <c r="AC15" s="16" t="inlineStr">
        <is>
          <t>B</t>
        </is>
      </c>
      <c r="AD15" s="16" t="inlineStr">
        <is>
          <t>B</t>
        </is>
      </c>
      <c r="AE15" s="16" t="inlineStr">
        <is>
          <t>A</t>
        </is>
      </c>
      <c r="AM15" s="22" t="inlineStr">
        <is>
          <t>Round 3 resubmission 2026-10-27T06:40:04Z merged onto row 12: Mum changed Q10 from A (forest street) to B (leafy street 15 min from GW); Q11, Q12 unchanged. | 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>
        <f>IF(J3="","",ROUND(MAX(0,10*(1-J3/Filters!$B$4)),1))</f>
        <v/>
      </c>
      <c r="N3" s="19" t="n">
        <v>4</v>
      </c>
      <c r="O3" s="19">
        <f>IF(K3="","",ROUND(MAX(0,10*(1-K3/Filters!$B$5)),1))</f>
        <v/>
      </c>
      <c r="P3" s="19" t="n">
        <v>6</v>
      </c>
      <c r="Q3" s="19" t="n">
        <v>10</v>
      </c>
      <c r="R3" s="19" t="n">
        <v>3</v>
      </c>
      <c r="S3" s="19" t="n">
        <v>9</v>
      </c>
      <c r="T3" s="19">
        <f>IF(G3="","",ROUND(MAX(0,MIN(10,10*(Filters!$B$2-G3)/(Filters!$B$2-500000))),1))</f>
        <v/>
      </c>
      <c r="U3" s="19" t="n">
        <v>0</v>
      </c>
      <c r="V3" s="19" t="n">
        <v>7</v>
      </c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 | SCORES 27 Oct 2026: M (near family) and T (price) are formulas from J and G; O from K. N, P, Q, R, S, U, V are ESTIMATES (Claude, general knowledge, not site-checked); S also rests on train Yes/No marked 'verify'.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>
        <f>IF(J4="","",ROUND(MAX(0,10*(1-J4/Filters!$B$4)),1))</f>
        <v/>
      </c>
      <c r="N4" s="19" t="n">
        <v>6</v>
      </c>
      <c r="O4" s="19">
        <f>IF(K4="","",ROUND(MAX(0,10*(1-K4/Filters!$B$5)),1))</f>
        <v/>
      </c>
      <c r="P4" s="19" t="n">
        <v>5</v>
      </c>
      <c r="Q4" s="19" t="n">
        <v>8</v>
      </c>
      <c r="R4" s="19" t="n">
        <v>4</v>
      </c>
      <c r="S4" s="19" t="n">
        <v>8</v>
      </c>
      <c r="T4" s="19">
        <f>IF(G4="","",ROUND(MAX(0,MIN(10,10*(Filters!$B$2-G4)/(Filters!$B$2-500000))),1))</f>
        <v/>
      </c>
      <c r="U4" s="19" t="n">
        <v>0</v>
      </c>
      <c r="V4" s="19" t="n">
        <v>8</v>
      </c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 | SCORES 27 Oct 2026: M (near family) and T (price) are formulas from J and G; O from K. N, P, Q, R, S, U, V are ESTIMATES (Claude, general knowledge, not site-checked); S also rests on train Yes/No marked 'verify'.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>
        <f>IF(J5="","",ROUND(MAX(0,10*(1-J5/Filters!$B$4)),1))</f>
        <v/>
      </c>
      <c r="N5" s="19" t="n">
        <v>8</v>
      </c>
      <c r="O5" s="19">
        <f>IF(K5="","",ROUND(MAX(0,10*(1-K5/Filters!$B$5)),1))</f>
        <v/>
      </c>
      <c r="P5" s="19" t="n">
        <v>3</v>
      </c>
      <c r="Q5" s="19" t="n">
        <v>8</v>
      </c>
      <c r="R5" s="19" t="n">
        <v>7</v>
      </c>
      <c r="S5" s="19" t="n">
        <v>8</v>
      </c>
      <c r="T5" s="19">
        <f>IF(G5="","",ROUND(MAX(0,MIN(10,10*(Filters!$B$2-G5)/(Filters!$B$2-500000))),1))</f>
        <v/>
      </c>
      <c r="U5" s="19" t="n">
        <v>0</v>
      </c>
      <c r="V5" s="19" t="n">
        <v>7</v>
      </c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 | SCORES 27 Oct 2026: M (near family) and T (price) are formulas from J and G; O from K. N, P, Q, R, S, U, V are ESTIMATES (Claude, general knowledge, not site-checked); S also rests on train Yes/No marked 'verify'.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>
        <f>IF(J6="","",ROUND(MAX(0,10*(1-J6/Filters!$B$4)),1))</f>
        <v/>
      </c>
      <c r="N6" s="19" t="n">
        <v>8</v>
      </c>
      <c r="O6" s="19">
        <f>IF(K6="","",ROUND(MAX(0,10*(1-K6/Filters!$B$5)),1))</f>
        <v/>
      </c>
      <c r="P6" s="19" t="n">
        <v>5</v>
      </c>
      <c r="Q6" s="19" t="n">
        <v>6</v>
      </c>
      <c r="R6" s="19" t="n">
        <v>5</v>
      </c>
      <c r="S6" s="19" t="n">
        <v>7</v>
      </c>
      <c r="T6" s="19">
        <f>IF(G6="","",ROUND(MAX(0,MIN(10,10*(Filters!$B$2-G6)/(Filters!$B$2-500000))),1))</f>
        <v/>
      </c>
      <c r="U6" s="19" t="n">
        <v>0</v>
      </c>
      <c r="V6" s="19" t="n">
        <v>6</v>
      </c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 | SCORES 27 Oct 2026: M (near family) and T (price) are formulas from J and G; O from K. N, P, Q, R, S, U, V are ESTIMATES (Claude, general knowledge, not site-checked); S also rests on train Yes/No marked 'verify'. Price = postcode-level AVM shared with FTG.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>
        <f>IF(J8="","",ROUND(MAX(0,10*(1-J8/Filters!$B$4)),1))</f>
        <v/>
      </c>
      <c r="N8" s="19" t="n">
        <v>9</v>
      </c>
      <c r="O8" s="19">
        <f>IF(K8="","",ROUND(MAX(0,10*(1-K8/Filters!$B$5)),1))</f>
        <v/>
      </c>
      <c r="P8" s="19" t="n">
        <v>3</v>
      </c>
      <c r="Q8" s="19" t="n">
        <v>6</v>
      </c>
      <c r="R8" s="19" t="n">
        <v>8</v>
      </c>
      <c r="S8" s="19" t="n">
        <v>3</v>
      </c>
      <c r="T8" s="19">
        <f>IF(G8="","",ROUND(MAX(0,MIN(10,10*(Filters!$B$2-G8)/(Filters!$B$2-500000))),1))</f>
        <v/>
      </c>
      <c r="U8" s="19" t="n">
        <v>0</v>
      </c>
      <c r="V8" s="19" t="n">
        <v>4</v>
      </c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>
        <f>IF(J9="","",ROUND(MAX(0,10*(1-J9/Filters!$B$4)),1))</f>
        <v/>
      </c>
      <c r="N9" s="19" t="n">
        <v>7</v>
      </c>
      <c r="O9" s="19">
        <f>IF(K9="","",ROUND(MAX(0,10*(1-K9/Filters!$B$5)),1))</f>
        <v/>
      </c>
      <c r="P9" s="19" t="n">
        <v>2</v>
      </c>
      <c r="Q9" s="19" t="n">
        <v>7</v>
      </c>
      <c r="R9" s="19" t="n">
        <v>6</v>
      </c>
      <c r="S9" s="19" t="n">
        <v>7</v>
      </c>
      <c r="T9" s="19">
        <f>IF(G9="","",ROUND(MAX(0,MIN(10,10*(Filters!$B$2-G9)/(Filters!$B$2-500000))),1))</f>
        <v/>
      </c>
      <c r="U9" s="19" t="n">
        <v>0</v>
      </c>
      <c r="V9" s="19" t="n">
        <v>6</v>
      </c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 | SCORES 27 Oct 2026: M (near family) and T (price) are formulas from J and G; O from K. N, P, Q, R, S, U, V are ESTIMATES (Claude, general knowledge, not site-checked); S also rests on train Yes/No marked 'verify'.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>
        <f>IF(J10="","",ROUND(MAX(0,10*(1-J10/Filters!$B$4)),1))</f>
        <v/>
      </c>
      <c r="N10" s="19" t="n">
        <v>4</v>
      </c>
      <c r="O10" s="19">
        <f>IF(K10="","",ROUND(MAX(0,10*(1-K10/Filters!$B$5)),1))</f>
        <v/>
      </c>
      <c r="P10" s="19" t="n">
        <v>5</v>
      </c>
      <c r="Q10" s="19" t="n">
        <v>8</v>
      </c>
      <c r="R10" s="19" t="n">
        <v>6</v>
      </c>
      <c r="S10" s="19" t="n">
        <v>8</v>
      </c>
      <c r="T10" s="19">
        <f>IF(G10="","",ROUND(MAX(0,MIN(10,10*(Filters!$B$2-G10)/(Filters!$B$2-500000))),1))</f>
        <v/>
      </c>
      <c r="U10" s="19" t="n">
        <v>9</v>
      </c>
      <c r="V10" s="19" t="n">
        <v>8</v>
      </c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 | SCORES 27 Oct 2026: M (near family) and T (price) are formulas from J and G; O from K. N, P, Q, R, S, U, V are ESTIMATES (Claude, general knowledge, not site-checked); S also rests on train Yes/No marked 'verify'.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 (recall; verify)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>
        <f>IF(J11="","",ROUND(MAX(0,10*(1-J11/Filters!$B$4)),1))</f>
        <v/>
      </c>
      <c r="N11" s="19" t="n">
        <v>5</v>
      </c>
      <c r="O11" s="19">
        <f>IF(K11="","",ROUND(MAX(0,10*(1-K11/Filters!$B$5)),1))</f>
        <v/>
      </c>
      <c r="P11" s="19" t="n">
        <v>4</v>
      </c>
      <c r="Q11" s="19" t="n">
        <v>9</v>
      </c>
      <c r="R11" s="19" t="n">
        <v>3</v>
      </c>
      <c r="S11" s="19" t="n">
        <v>8</v>
      </c>
      <c r="T11" s="19">
        <f>IF(G11="","",ROUND(MAX(0,MIN(10,10*(Filters!$B$2-G11)/(Filters!$B$2-500000))),1))</f>
        <v/>
      </c>
      <c r="U11" s="19" t="n">
        <v>8</v>
      </c>
      <c r="V11" s="19" t="n">
        <v>6</v>
      </c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 | SCORES 27 Oct 2026: M (near family) and T (price) are formulas from J and G; O from K. N, P, Q, R, S, U, V are ESTIMATES (Claude, general knowledge, not site-checked); S also rests on train Yes/No marked 'verify'.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Frankston line (recall; verify)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>
        <f>IF(J12="","",ROUND(MAX(0,10*(1-J12/Filters!$B$4)),1))</f>
        <v/>
      </c>
      <c r="N12" s="19" t="n">
        <v>4</v>
      </c>
      <c r="O12" s="19">
        <f>IF(K12="","",ROUND(MAX(0,10*(1-K12/Filters!$B$5)),1))</f>
        <v/>
      </c>
      <c r="P12" s="19" t="n">
        <v>6</v>
      </c>
      <c r="Q12" s="19" t="n">
        <v>8</v>
      </c>
      <c r="R12" s="19" t="n">
        <v>6</v>
      </c>
      <c r="S12" s="19" t="n">
        <v>7</v>
      </c>
      <c r="T12" s="19">
        <f>IF(G12="","",ROUND(MAX(0,MIN(10,10*(Filters!$B$2-G12)/(Filters!$B$2-500000))),1))</f>
        <v/>
      </c>
      <c r="U12" s="19" t="n">
        <v>8</v>
      </c>
      <c r="V12" s="19" t="n">
        <v>8</v>
      </c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 | SCORES 27 Oct 2026: M (near family) and T (price) are formulas from J and G; O from K. N, P, Q, R, S, U, V are ESTIMATES (Claude, general knowledge, not site-checked); S also rests on train Yes/No marked 'verify'.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Werribee line (recall; verify)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>
        <f>IF(J14="","",ROUND(MAX(0,10*(1-J14/Filters!$B$4)),1))</f>
        <v/>
      </c>
      <c r="N14" s="19" t="n">
        <v>9</v>
      </c>
      <c r="O14" s="19">
        <f>IF(K14="","",ROUND(MAX(0,10*(1-K14/Filters!$B$5)),1))</f>
        <v/>
      </c>
      <c r="P14" s="19" t="n">
        <v>1</v>
      </c>
      <c r="Q14" s="19" t="n">
        <v>6</v>
      </c>
      <c r="R14" s="19" t="n">
        <v>8</v>
      </c>
      <c r="S14" s="19" t="n">
        <v>2</v>
      </c>
      <c r="T14" s="19">
        <f>IF(G14="","",ROUND(MAX(0,MIN(10,10*(Filters!$B$2-G14)/(Filters!$B$2-500000))),1))</f>
        <v/>
      </c>
      <c r="U14" s="19" t="n">
        <v>0</v>
      </c>
      <c r="V14" s="19" t="n">
        <v>2</v>
      </c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>
        <f>IF(J15="","",ROUND(MAX(0,10*(1-J15/Filters!$B$4)),1))</f>
        <v/>
      </c>
      <c r="N15" s="19" t="n">
        <v>7</v>
      </c>
      <c r="O15" s="19">
        <f>IF(K15="","",ROUND(MAX(0,10*(1-K15/Filters!$B$5)),1))</f>
        <v/>
      </c>
      <c r="P15" s="19" t="n">
        <v>1</v>
      </c>
      <c r="Q15" s="19" t="n">
        <v>7</v>
      </c>
      <c r="R15" s="19" t="n">
        <v>9</v>
      </c>
      <c r="S15" s="19" t="n">
        <v>5</v>
      </c>
      <c r="T15" s="19">
        <f>IF(G15="","",ROUND(MAX(0,MIN(10,10*(Filters!$B$2-G15)/(Filters!$B$2-500000))),1))</f>
        <v/>
      </c>
      <c r="U15" s="19" t="n">
        <v>0</v>
      </c>
      <c r="V15" s="19" t="n">
        <v>5</v>
      </c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 | SCORES 27 Oct 2026: M (near family) and T (price) are formulas from J and G; O from K. N, P, Q, R, S, U, V are ESTIMATES (Claude, general knowledge, not site-checked); S also rests on train Yes/No marked 'verify'.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>
        <f>IF(J16="","",ROUND(MAX(0,10*(1-J16/Filters!$B$4)),1))</f>
        <v/>
      </c>
      <c r="N16" s="19" t="n">
        <v>8</v>
      </c>
      <c r="O16" s="19">
        <f>IF(K16="","",ROUND(MAX(0,10*(1-K16/Filters!$B$5)),1))</f>
        <v/>
      </c>
      <c r="P16" s="19" t="n">
        <v>1</v>
      </c>
      <c r="Q16" s="19" t="n">
        <v>6</v>
      </c>
      <c r="R16" s="19" t="n">
        <v>9</v>
      </c>
      <c r="S16" s="19" t="n">
        <v>5</v>
      </c>
      <c r="T16" s="19">
        <f>IF(G16="","",ROUND(MAX(0,MIN(10,10*(Filters!$B$2-G16)/(Filters!$B$2-500000))),1))</f>
        <v/>
      </c>
      <c r="U16" s="19" t="n">
        <v>0</v>
      </c>
      <c r="V16" s="19" t="n">
        <v>5</v>
      </c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 | SCORES 27 Oct 2026: M (near family) and T (price) are formulas from J and G; O from K. N, P, Q, R, S, U, V are ESTIMATES (Claude, general knowledge, not site-checked); S also rests on train Yes/No marked 'verify'.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(per sheet note)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>
        <f>IF(J17="","",ROUND(MAX(0,10*(1-J17/Filters!$B$4)),1))</f>
        <v/>
      </c>
      <c r="N17" s="19" t="n">
        <v>10</v>
      </c>
      <c r="O17" s="19">
        <f>IF(K17="","",ROUND(MAX(0,10*(1-K17/Filters!$B$5)),1))</f>
        <v/>
      </c>
      <c r="P17" s="19" t="n">
        <v>1</v>
      </c>
      <c r="Q17" s="19" t="n">
        <v>3</v>
      </c>
      <c r="R17" s="19" t="n">
        <v>8</v>
      </c>
      <c r="S17" s="19" t="n">
        <v>5</v>
      </c>
      <c r="T17" s="19">
        <f>IF(G17="","",ROUND(MAX(0,MIN(10,10*(Filters!$B$2-G17)/(Filters!$B$2-500000))),1))</f>
        <v/>
      </c>
      <c r="U17" s="19" t="n">
        <v>0</v>
      </c>
      <c r="V17" s="19" t="n">
        <v>5</v>
      </c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>
        <f>IF(J18="","",ROUND(MAX(0,10*(1-J18/Filters!$B$4)),1))</f>
        <v/>
      </c>
      <c r="N18" s="19" t="n">
        <v>8</v>
      </c>
      <c r="O18" s="19">
        <f>IF(K18="","",ROUND(MAX(0,10*(1-K18/Filters!$B$5)),1))</f>
        <v/>
      </c>
      <c r="P18" s="19" t="n">
        <v>2</v>
      </c>
      <c r="Q18" s="19" t="n">
        <v>8</v>
      </c>
      <c r="R18" s="19" t="n">
        <v>6</v>
      </c>
      <c r="S18" s="19" t="n">
        <v>3</v>
      </c>
      <c r="T18" s="19">
        <f>IF(G18="","",ROUND(MAX(0,MIN(10,10*(Filters!$B$2-G18)/(Filters!$B$2-500000))),1))</f>
        <v/>
      </c>
      <c r="U18" s="19" t="n">
        <v>10</v>
      </c>
      <c r="V18" s="19" t="n">
        <v>3</v>
      </c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 | SCORES 27 Oct 2026: M (near family) and T (price) are formulas from J and G; O from K. N, P, Q, R, S, U, V are ESTIMATES (Claude, general knowledge, not site-checked); S also rests on train Yes/No marked 'verify'. GW drive 88 min, 2 min under cap.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 54 to Marshall Station (per sheet note)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>
        <f>IF(J20="","",ROUND(MAX(0,10*(1-J20/Filters!$B$4)),1))</f>
        <v/>
      </c>
      <c r="N20" s="19" t="n">
        <v>5</v>
      </c>
      <c r="O20" s="19">
        <f>IF(K20="","",ROUND(MAX(0,10*(1-K20/Filters!$B$5)),1))</f>
        <v/>
      </c>
      <c r="P20" s="19" t="n">
        <v>4</v>
      </c>
      <c r="Q20" s="19" t="n">
        <v>8</v>
      </c>
      <c r="R20" s="19" t="n">
        <v>6</v>
      </c>
      <c r="S20" s="19" t="n">
        <v>4</v>
      </c>
      <c r="T20" s="19">
        <f>IF(G20="","",ROUND(MAX(0,MIN(10,10*(Filters!$B$2-G20)/(Filters!$B$2-500000))),1))</f>
        <v/>
      </c>
      <c r="U20" s="19" t="n">
        <v>3</v>
      </c>
      <c r="V20" s="19" t="n">
        <v>5</v>
      </c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>
        <f>IF(J21="","",ROUND(MAX(0,10*(1-J21/Filters!$B$4)),1))</f>
        <v/>
      </c>
      <c r="N21" s="19" t="n">
        <v>6</v>
      </c>
      <c r="O21" s="19">
        <f>IF(K21="","",ROUND(MAX(0,10*(1-K21/Filters!$B$5)),1))</f>
        <v/>
      </c>
      <c r="P21" s="19" t="n">
        <v>4</v>
      </c>
      <c r="Q21" s="19" t="n">
        <v>8</v>
      </c>
      <c r="R21" s="19" t="n">
        <v>5</v>
      </c>
      <c r="S21" s="19" t="n">
        <v>3</v>
      </c>
      <c r="T21" s="19">
        <f>IF(G21="","",ROUND(MAX(0,MIN(10,10*(Filters!$B$2-G21)/(Filters!$B$2-500000))),1))</f>
        <v/>
      </c>
      <c r="U21" s="19" t="n">
        <v>3</v>
      </c>
      <c r="V21" s="19" t="n">
        <v>4</v>
      </c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to Geelong (recall; verify)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>
        <f>IF(J22="","",ROUND(MAX(0,10*(1-J22/Filters!$B$4)),1))</f>
        <v/>
      </c>
      <c r="N22" s="19" t="n">
        <v>9</v>
      </c>
      <c r="O22" s="19">
        <f>IF(K22="","",ROUND(MAX(0,10*(1-K22/Filters!$B$5)),1))</f>
        <v/>
      </c>
      <c r="P22" s="19" t="n">
        <v>3</v>
      </c>
      <c r="Q22" s="19" t="n">
        <v>6</v>
      </c>
      <c r="R22" s="19" t="n">
        <v>8</v>
      </c>
      <c r="S22" s="19" t="n">
        <v>7</v>
      </c>
      <c r="T22" s="19">
        <f>IF(G22="","",ROUND(MAX(0,MIN(10,10*(Filters!$B$2-G22)/(Filters!$B$2-500000))),1))</f>
        <v/>
      </c>
      <c r="U22" s="19" t="n">
        <v>0</v>
      </c>
      <c r="V22" s="19" t="n">
        <v>5</v>
      </c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 (per sheet note)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>
        <f>IF(J23="","",ROUND(MAX(0,10*(1-J23/Filters!$B$4)),1))</f>
        <v/>
      </c>
      <c r="N23" s="19" t="n">
        <v>9</v>
      </c>
      <c r="O23" s="19">
        <f>IF(K23="","",ROUND(MAX(0,10*(1-K23/Filters!$B$5)),1))</f>
        <v/>
      </c>
      <c r="P23" s="19" t="n">
        <v>3</v>
      </c>
      <c r="Q23" s="19" t="n">
        <v>6</v>
      </c>
      <c r="R23" s="19" t="n">
        <v>7</v>
      </c>
      <c r="S23" s="19" t="n">
        <v>7</v>
      </c>
      <c r="T23" s="19">
        <f>IF(G23="","",ROUND(MAX(0,MIN(10,10*(Filters!$B$2-G23)/(Filters!$B$2-500000))),1))</f>
        <v/>
      </c>
      <c r="U23" s="19" t="n">
        <v>0</v>
      </c>
      <c r="V23" s="19" t="n">
        <v>5</v>
      </c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 | SCORES 27 Oct 2026: M (near family) and T (price) are formulas from J and G; O from K. N, P, Q, R, S, U, V are ESTIMATES (Claude, general knowledge, not site-checked); S also rests on train Yes/No marked 'verify'.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 (per sheet note)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>
        <f>IF(J24="","",ROUND(MAX(0,10*(1-J24/Filters!$B$4)),1))</f>
        <v/>
      </c>
      <c r="N24" s="19" t="n">
        <v>9</v>
      </c>
      <c r="O24" s="19">
        <f>IF(K24="","",ROUND(MAX(0,10*(1-K24/Filters!$B$5)),1))</f>
        <v/>
      </c>
      <c r="P24" s="19" t="n">
        <v>3</v>
      </c>
      <c r="Q24" s="19" t="n">
        <v>4</v>
      </c>
      <c r="R24" s="19" t="n">
        <v>6</v>
      </c>
      <c r="S24" s="19" t="n">
        <v>7</v>
      </c>
      <c r="T24" s="19">
        <f>IF(G24="","",ROUND(MAX(0,MIN(10,10*(Filters!$B$2-G24)/(Filters!$B$2-500000))),1))</f>
        <v/>
      </c>
      <c r="U24" s="19" t="n">
        <v>0</v>
      </c>
      <c r="V24" s="19" t="n">
        <v>5</v>
      </c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>
        <f>IF(J25="","",ROUND(MAX(0,10*(1-J25/Filters!$B$4)),1))</f>
        <v/>
      </c>
      <c r="N25" s="19" t="n">
        <v>8</v>
      </c>
      <c r="O25" s="19">
        <f>IF(K25="","",ROUND(MAX(0,10*(1-K25/Filters!$B$5)),1))</f>
        <v/>
      </c>
      <c r="P25" s="19" t="n">
        <v>4</v>
      </c>
      <c r="Q25" s="19" t="n">
        <v>4</v>
      </c>
      <c r="R25" s="19" t="n">
        <v>7</v>
      </c>
      <c r="S25" s="19" t="n">
        <v>3</v>
      </c>
      <c r="T25" s="19">
        <f>IF(G25="","",ROUND(MAX(0,MIN(10,10*(Filters!$B$2-G25)/(Filters!$B$2-500000))),1))</f>
        <v/>
      </c>
      <c r="U25" s="19" t="n">
        <v>0</v>
      </c>
      <c r="V25" s="19" t="n">
        <v>4</v>
      </c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>
        <f>IF(J26="","",ROUND(MAX(0,10*(1-J26/Filters!$B$4)),1))</f>
        <v/>
      </c>
      <c r="N26" s="19" t="n">
        <v>8</v>
      </c>
      <c r="O26" s="19">
        <f>IF(K26="","",ROUND(MAX(0,10*(1-K26/Filters!$B$5)),1))</f>
        <v/>
      </c>
      <c r="P26" s="19" t="n">
        <v>3</v>
      </c>
      <c r="Q26" s="19" t="n">
        <v>5</v>
      </c>
      <c r="R26" s="19" t="n">
        <v>6</v>
      </c>
      <c r="S26" s="19" t="n">
        <v>3</v>
      </c>
      <c r="T26" s="19">
        <f>IF(G26="","",ROUND(MAX(0,MIN(10,10*(Filters!$B$2-G26)/(Filters!$B$2-500000))),1))</f>
        <v/>
      </c>
      <c r="U26" s="19" t="n">
        <v>0</v>
      </c>
      <c r="V26" s="19" t="n">
        <v>4</v>
      </c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>
        <f>IF(J27="","",ROUND(MAX(0,10*(1-J27/Filters!$B$4)),1))</f>
        <v/>
      </c>
      <c r="N27" s="19" t="n">
        <v>8</v>
      </c>
      <c r="O27" s="19">
        <f>IF(K27="","",ROUND(MAX(0,10*(1-K27/Filters!$B$5)),1))</f>
        <v/>
      </c>
      <c r="P27" s="19" t="n">
        <v>2</v>
      </c>
      <c r="Q27" s="19" t="n">
        <v>5</v>
      </c>
      <c r="R27" s="19" t="n">
        <v>6</v>
      </c>
      <c r="S27" s="19" t="n">
        <v>3</v>
      </c>
      <c r="T27" s="19">
        <f>IF(G27="","",ROUND(MAX(0,MIN(10,10*(Filters!$B$2-G27)/(Filters!$B$2-500000))),1))</f>
        <v/>
      </c>
      <c r="U27" s="19" t="n">
        <v>0</v>
      </c>
      <c r="V27" s="19" t="n">
        <v>4</v>
      </c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>
        <f>IF(J28="","",ROUND(MAX(0,10*(1-J28/Filters!$B$4)),1))</f>
        <v/>
      </c>
      <c r="N28" s="19" t="n">
        <v>5</v>
      </c>
      <c r="O28" s="19">
        <f>IF(K28="","",ROUND(MAX(0,10*(1-K28/Filters!$B$5)),1))</f>
        <v/>
      </c>
      <c r="P28" s="19" t="n">
        <v>5</v>
      </c>
      <c r="Q28" s="19" t="n">
        <v>9</v>
      </c>
      <c r="R28" s="19" t="n">
        <v>4</v>
      </c>
      <c r="S28" s="19" t="n">
        <v>8</v>
      </c>
      <c r="T28" s="19">
        <f>IF(G28="","",ROUND(MAX(0,MIN(10,10*(Filters!$B$2-G28)/(Filters!$B$2-500000))),1))</f>
        <v/>
      </c>
      <c r="U28" s="19" t="n">
        <v>0</v>
      </c>
      <c r="V28" s="19" t="n">
        <v>6</v>
      </c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>
        <f>IF(J29="","",ROUND(MAX(0,10*(1-J29/Filters!$B$4)),1))</f>
        <v/>
      </c>
      <c r="N29" s="19" t="n">
        <v>5</v>
      </c>
      <c r="O29" s="19">
        <f>IF(K29="","",ROUND(MAX(0,10*(1-K29/Filters!$B$5)),1))</f>
        <v/>
      </c>
      <c r="P29" s="19" t="n">
        <v>3</v>
      </c>
      <c r="Q29" s="19" t="n">
        <v>8</v>
      </c>
      <c r="R29" s="19" t="n">
        <v>6</v>
      </c>
      <c r="S29" s="19" t="n">
        <v>6</v>
      </c>
      <c r="T29" s="19">
        <f>IF(G29="","",ROUND(MAX(0,MIN(10,10*(Filters!$B$2-G29)/(Filters!$B$2-500000))),1))</f>
        <v/>
      </c>
      <c r="U29" s="19" t="n">
        <v>0</v>
      </c>
      <c r="V29" s="19" t="n">
        <v>4</v>
      </c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 | SCORES 27 Oct 2026: M (near family) and T (price) are formulas from J and G; O from K. N, P, Q, R, S, U, V are ESTIMATES (Claude, general knowledge, not site-checked); S also rests on train Yes/No marked 'verify'.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>
        <f>IF(J31="","",ROUND(MAX(0,10*(1-J31/Filters!$B$4)),1))</f>
        <v/>
      </c>
      <c r="N31" s="19" t="n">
        <v>7</v>
      </c>
      <c r="O31" s="19">
        <f>IF(K31="","",ROUND(MAX(0,10*(1-K31/Filters!$B$5)),1))</f>
        <v/>
      </c>
      <c r="P31" s="19" t="n">
        <v>3</v>
      </c>
      <c r="Q31" s="19" t="n">
        <v>9</v>
      </c>
      <c r="R31" s="19" t="n">
        <v>7</v>
      </c>
      <c r="S31" s="19" t="n">
        <v>3</v>
      </c>
      <c r="T31" s="19">
        <f>IF(G31="","",ROUND(MAX(0,MIN(10,10*(Filters!$B$2-G31)/(Filters!$B$2-500000))),1))</f>
        <v/>
      </c>
      <c r="U31" s="19" t="n">
        <v>9</v>
      </c>
      <c r="V31" s="19" t="n">
        <v>3</v>
      </c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passenger train; bus to Frankston (per sheet note)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>
        <f>IF(J33="","",ROUND(MAX(0,10*(1-J33/Filters!$B$4)),1))</f>
        <v/>
      </c>
      <c r="N33" s="19" t="n">
        <v>10</v>
      </c>
      <c r="O33" s="19">
        <f>IF(K33="","",ROUND(MAX(0,10*(1-K33/Filters!$B$5)),1))</f>
        <v/>
      </c>
      <c r="P33" s="19" t="n">
        <v>1</v>
      </c>
      <c r="Q33" s="19" t="n">
        <v>4</v>
      </c>
      <c r="R33" s="19" t="n">
        <v>8</v>
      </c>
      <c r="S33" s="19" t="n">
        <v>1</v>
      </c>
      <c r="T33" s="19">
        <f>IF(G33="","",ROUND(MAX(0,MIN(10,10*(Filters!$B$2-G33)/(Filters!$B$2-500000))),1))</f>
        <v/>
      </c>
      <c r="U33" s="19" t="n">
        <v>0</v>
      </c>
      <c r="V33" s="19" t="n">
        <v>1</v>
      </c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>
        <f>IF(J35="","",ROUND(MAX(0,10*(1-J35/Filters!$B$4)),1))</f>
        <v/>
      </c>
      <c r="N35" s="19" t="n">
        <v>10</v>
      </c>
      <c r="O35" s="19">
        <f>IF(K35="","",ROUND(MAX(0,10*(1-K35/Filters!$B$5)),1))</f>
        <v/>
      </c>
      <c r="P35" s="19" t="n">
        <v>2</v>
      </c>
      <c r="Q35" s="19" t="n">
        <v>3</v>
      </c>
      <c r="R35" s="19" t="n">
        <v>9</v>
      </c>
      <c r="S35" s="19" t="n">
        <v>2</v>
      </c>
      <c r="T35" s="19">
        <f>IF(G35="","",ROUND(MAX(0,MIN(10,10*(Filters!$B$2-G35)/(Filters!$B$2-500000))),1))</f>
        <v/>
      </c>
      <c r="U35" s="19" t="n">
        <v>0</v>
      </c>
      <c r="V35" s="19" t="n">
        <v>3</v>
      </c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>
        <f>IF(J36="","",ROUND(MAX(0,10*(1-J36/Filters!$B$4)),1))</f>
        <v/>
      </c>
      <c r="N36" s="19" t="n">
        <v>10</v>
      </c>
      <c r="O36" s="19">
        <f>IF(K36="","",ROUND(MAX(0,10*(1-K36/Filters!$B$5)),1))</f>
        <v/>
      </c>
      <c r="P36" s="19" t="n">
        <v>2</v>
      </c>
      <c r="Q36" s="19" t="n">
        <v>3</v>
      </c>
      <c r="R36" s="19" t="n">
        <v>9</v>
      </c>
      <c r="S36" s="19" t="n">
        <v>2</v>
      </c>
      <c r="T36" s="19">
        <f>IF(G36="","",ROUND(MAX(0,MIN(10,10*(Filters!$B$2-G36)/(Filters!$B$2-500000))),1))</f>
        <v/>
      </c>
      <c r="U36" s="19" t="n">
        <v>0</v>
      </c>
      <c r="V36" s="19" t="n">
        <v>3</v>
      </c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>
        <f>IF(J37="","",ROUND(MAX(0,10*(1-J37/Filters!$B$4)),1))</f>
        <v/>
      </c>
      <c r="N37" s="19" t="n">
        <v>10</v>
      </c>
      <c r="O37" s="19">
        <f>IF(K37="","",ROUND(MAX(0,10*(1-K37/Filters!$B$5)),1))</f>
        <v/>
      </c>
      <c r="P37" s="19" t="n">
        <v>2</v>
      </c>
      <c r="Q37" s="19" t="n">
        <v>2</v>
      </c>
      <c r="R37" s="19" t="n">
        <v>7</v>
      </c>
      <c r="S37" s="19" t="n">
        <v>1</v>
      </c>
      <c r="T37" s="19">
        <f>IF(G37="","",ROUND(MAX(0,MIN(10,10*(Filters!$B$2-G37)/(Filters!$B$2-500000))),1))</f>
        <v/>
      </c>
      <c r="U37" s="19" t="n">
        <v>0</v>
      </c>
      <c r="V37" s="19" t="n">
        <v>3</v>
      </c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>
        <f>IF(J38="","",ROUND(MAX(0,10*(1-J38/Filters!$B$4)),1))</f>
        <v/>
      </c>
      <c r="N38" s="19" t="n">
        <v>9</v>
      </c>
      <c r="O38" s="19">
        <f>IF(K38="","",ROUND(MAX(0,10*(1-K38/Filters!$B$5)),1))</f>
        <v/>
      </c>
      <c r="P38" s="19" t="n">
        <v>2</v>
      </c>
      <c r="Q38" s="19" t="n">
        <v>6</v>
      </c>
      <c r="R38" s="19" t="n">
        <v>8</v>
      </c>
      <c r="S38" s="19" t="n">
        <v>2</v>
      </c>
      <c r="T38" s="19">
        <f>IF(G38="","",ROUND(MAX(0,MIN(10,10*(Filters!$B$2-G38)/(Filters!$B$2-500000))),1))</f>
        <v/>
      </c>
      <c r="U38" s="19" t="n">
        <v>0</v>
      </c>
      <c r="V38" s="19" t="n">
        <v>3</v>
      </c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>
        <f>IF(J39="","",ROUND(MAX(0,10*(1-J39/Filters!$B$4)),1))</f>
        <v/>
      </c>
      <c r="N39" s="19" t="n">
        <v>6</v>
      </c>
      <c r="O39" s="19">
        <f>IF(K39="","",ROUND(MAX(0,10*(1-K39/Filters!$B$5)),1))</f>
        <v/>
      </c>
      <c r="P39" s="19" t="n">
        <v>5</v>
      </c>
      <c r="Q39" s="19" t="n">
        <v>8</v>
      </c>
      <c r="R39" s="19" t="n">
        <v>4</v>
      </c>
      <c r="S39" s="19" t="n">
        <v>8</v>
      </c>
      <c r="T39" s="19">
        <f>IF(G39="","",ROUND(MAX(0,MIN(10,10*(Filters!$B$2-G39)/(Filters!$B$2-500000))),1))</f>
        <v/>
      </c>
      <c r="U39" s="19" t="n">
        <v>0</v>
      </c>
      <c r="V39" s="19" t="n">
        <v>6</v>
      </c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 | SCORES 27 Oct 2026: M (near family) and T (price) are formulas from J and G; O from K. N, P, Q, R, S, U, V are ESTIMATES (Claude, general knowledge, not site-checked); S also rests on train Yes/No marked 'verify'. Price = postcode-level AVM shared with Upper FTG.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>
        <f>IF(J40="","",ROUND(MAX(0,10*(1-J40/Filters!$B$4)),1))</f>
        <v/>
      </c>
      <c r="N40" s="19" t="n">
        <v>5</v>
      </c>
      <c r="O40" s="19">
        <f>IF(K40="","",ROUND(MAX(0,10*(1-K40/Filters!$B$5)),1))</f>
        <v/>
      </c>
      <c r="P40" s="19" t="n">
        <v>7</v>
      </c>
      <c r="Q40" s="19" t="n">
        <v>9</v>
      </c>
      <c r="R40" s="19" t="n">
        <v>6</v>
      </c>
      <c r="S40" s="19" t="n">
        <v>8</v>
      </c>
      <c r="T40" s="19">
        <f>IF(G40="","",ROUND(MAX(0,MIN(10,10*(Filters!$B$2-G40)/(Filters!$B$2-500000))),1))</f>
        <v/>
      </c>
      <c r="U40" s="19" t="n">
        <v>1</v>
      </c>
      <c r="V40" s="19" t="n">
        <v>6</v>
      </c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(recall; verify)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>
        <f>IF(J41="","",ROUND(MAX(0,10*(1-J41/Filters!$B$4)),1))</f>
        <v/>
      </c>
      <c r="N41" s="19" t="n">
        <v>7</v>
      </c>
      <c r="O41" s="19">
        <f>IF(K41="","",ROUND(MAX(0,10*(1-K41/Filters!$B$5)),1))</f>
        <v/>
      </c>
      <c r="P41" s="19" t="n">
        <v>3</v>
      </c>
      <c r="Q41" s="19" t="n">
        <v>6</v>
      </c>
      <c r="R41" s="19" t="n">
        <v>6</v>
      </c>
      <c r="S41" s="19" t="n">
        <v>4</v>
      </c>
      <c r="T41" s="19">
        <f>IF(G41="","",ROUND(MAX(0,MIN(10,10*(Filters!$B$2-G41)/(Filters!$B$2-500000))),1))</f>
        <v/>
      </c>
      <c r="U41" s="19" t="n">
        <v>7</v>
      </c>
      <c r="V41" s="19" t="n">
        <v>5</v>
      </c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 in suburb; Frankston station nearby (recall; verify)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>
        <f>IF(J42="","",ROUND(MAX(0,10*(1-J42/Filters!$B$4)),1))</f>
        <v/>
      </c>
      <c r="N42" s="19" t="n">
        <v>8</v>
      </c>
      <c r="O42" s="19">
        <f>IF(K42="","",ROUND(MAX(0,10*(1-K42/Filters!$B$5)),1))</f>
        <v/>
      </c>
      <c r="P42" s="19" t="n">
        <v>1</v>
      </c>
      <c r="Q42" s="19" t="n">
        <v>5</v>
      </c>
      <c r="R42" s="19" t="n">
        <v>8</v>
      </c>
      <c r="S42" s="19" t="n">
        <v>6</v>
      </c>
      <c r="T42" s="19">
        <f>IF(G42="","",ROUND(MAX(0,MIN(10,10*(Filters!$B$2-G42)/(Filters!$B$2-500000))),1))</f>
        <v/>
      </c>
      <c r="U42" s="19" t="n">
        <v>0</v>
      </c>
      <c r="V42" s="19" t="n">
        <v>5</v>
      </c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>
        <f>IF(J45="","",ROUND(MAX(0,10*(1-J45/Filters!$B$4)),1))</f>
        <v/>
      </c>
      <c r="N45" s="19" t="n">
        <v>7</v>
      </c>
      <c r="O45" s="19">
        <f>IF(K45="","",ROUND(MAX(0,10*(1-K45/Filters!$B$5)),1))</f>
        <v/>
      </c>
      <c r="P45" s="19" t="n">
        <v>2</v>
      </c>
      <c r="Q45" s="19" t="n">
        <v>6</v>
      </c>
      <c r="R45" s="19" t="n">
        <v>6</v>
      </c>
      <c r="S45" s="19" t="n">
        <v>2</v>
      </c>
      <c r="T45" s="19">
        <f>IF(G45="","",ROUND(MAX(0,MIN(10,10*(Filters!$B$2-G45)/(Filters!$B$2-500000))),1))</f>
        <v/>
      </c>
      <c r="U45" s="19" t="n">
        <v>9</v>
      </c>
      <c r="V45" s="19" t="n">
        <v>2</v>
      </c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>
        <f>IF(J47="","",ROUND(MAX(0,10*(1-J47/Filters!$B$4)),1))</f>
        <v/>
      </c>
      <c r="N47" s="19" t="n">
        <v>6</v>
      </c>
      <c r="O47" s="19">
        <f>IF(K47="","",ROUND(MAX(0,10*(1-K47/Filters!$B$5)),1))</f>
        <v/>
      </c>
      <c r="P47" s="19" t="n">
        <v>1</v>
      </c>
      <c r="Q47" s="19" t="n">
        <v>7</v>
      </c>
      <c r="R47" s="19" t="n">
        <v>5</v>
      </c>
      <c r="S47" s="19" t="n">
        <v>1</v>
      </c>
      <c r="T47" s="19">
        <f>IF(G47="","",ROUND(MAX(0,MIN(10,10*(Filters!$B$2-G47)/(Filters!$B$2-500000))),1))</f>
        <v/>
      </c>
      <c r="U47" s="19" t="n">
        <v>6</v>
      </c>
      <c r="V47" s="19" t="n">
        <v>1</v>
      </c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GW drive 88 min, 2 min under cap.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M51" s="22">
        <f>IF(J51="","",ROUND(MAX(0,10*(1-J51/Filters!$B$4)),1))</f>
        <v/>
      </c>
      <c r="N51" s="22" t="n">
        <v>6</v>
      </c>
      <c r="O51" s="16">
        <f>IF(K51="","",ROUND(MAX(0,10*(1-K51/Filters!$B$5)),1))</f>
        <v/>
      </c>
      <c r="P51" s="22" t="n">
        <v>2</v>
      </c>
      <c r="Q51" s="22" t="n">
        <v>8</v>
      </c>
      <c r="R51" s="22" t="n">
        <v>4</v>
      </c>
      <c r="S51" s="22" t="n">
        <v>2</v>
      </c>
      <c r="T51" s="22">
        <f>IF(G51="","",ROUND(MAX(0,MIN(10,10*(Filters!$B$2-G51)/(Filters!$B$2-500000))),1))</f>
        <v/>
      </c>
      <c r="U51" s="22" t="n">
        <v>9</v>
      </c>
      <c r="V51" s="22" t="n">
        <v>2</v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passenger rail on the Peninsula south of Frankston (from recall; verify)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M52" s="22">
        <f>IF(J52="","",ROUND(MAX(0,10*(1-J52/Filters!$B$4)),1))</f>
        <v/>
      </c>
      <c r="N52" s="22" t="n">
        <v>7</v>
      </c>
      <c r="O52" s="16">
        <f>IF(K52="","",ROUND(MAX(0,10*(1-K52/Filters!$B$5)),1))</f>
        <v/>
      </c>
      <c r="P52" s="22" t="n">
        <v>1</v>
      </c>
      <c r="Q52" s="22" t="n">
        <v>6</v>
      </c>
      <c r="R52" s="22" t="n">
        <v>7</v>
      </c>
      <c r="S52" s="22" t="n">
        <v>2</v>
      </c>
      <c r="T52" s="22">
        <f>IF(G52="","",ROUND(MAX(0,MIN(10,10*(Filters!$B$2-G52)/(Filters!$B$2-500000))),1))</f>
        <v/>
      </c>
      <c r="U52" s="22" t="n">
        <v>10</v>
      </c>
      <c r="V52" s="22" t="n">
        <v>1</v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passenger rail on the Peninsula south of Frankston (from recall; verify)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M53" s="22">
        <f>IF(J53="","",ROUND(MAX(0,10*(1-J53/Filters!$B$4)),1))</f>
        <v/>
      </c>
      <c r="N53" s="22" t="n">
        <v>7</v>
      </c>
      <c r="O53" s="16">
        <f>IF(K53="","",ROUND(MAX(0,10*(1-K53/Filters!$B$5)),1))</f>
        <v/>
      </c>
      <c r="P53" s="22" t="n">
        <v>2</v>
      </c>
      <c r="Q53" s="22" t="n">
        <v>7</v>
      </c>
      <c r="R53" s="22" t="n">
        <v>7</v>
      </c>
      <c r="S53" s="22" t="n">
        <v>4</v>
      </c>
      <c r="T53" s="22">
        <f>IF(G53="","",ROUND(MAX(0,MIN(10,10*(Filters!$B$2-G53)/(Filters!$B$2-500000))),1))</f>
        <v/>
      </c>
      <c r="U53" s="22" t="n">
        <v>0</v>
      </c>
      <c r="V53" s="22" t="n">
        <v>5</v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M54" s="22">
        <f>IF(J54="","",ROUND(MAX(0,10*(1-J54/Filters!$B$4)),1))</f>
        <v/>
      </c>
      <c r="N54" s="22" t="n">
        <v>7</v>
      </c>
      <c r="O54" s="16">
        <f>IF(K54="","",ROUND(MAX(0,10*(1-K54/Filters!$B$5)),1))</f>
        <v/>
      </c>
      <c r="P54" s="22" t="n">
        <v>2</v>
      </c>
      <c r="Q54" s="22" t="n">
        <v>4</v>
      </c>
      <c r="R54" s="22" t="n">
        <v>7</v>
      </c>
      <c r="S54" s="22" t="n">
        <v>5</v>
      </c>
      <c r="T54" s="22">
        <f>IF(G54="","",ROUND(MAX(0,MIN(10,10*(Filters!$B$2-G54)/(Filters!$B$2-500000))),1))</f>
        <v/>
      </c>
      <c r="U54" s="22" t="n">
        <v>0</v>
      </c>
      <c r="V54" s="22" t="n">
        <v>5</v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M55" s="22">
        <f>IF(J55="","",ROUND(MAX(0,10*(1-J55/Filters!$B$4)),1))</f>
        <v/>
      </c>
      <c r="N55" s="22" t="n">
        <v>8</v>
      </c>
      <c r="O55" s="16">
        <f>IF(K55="","",ROUND(MAX(0,10*(1-K55/Filters!$B$5)),1))</f>
        <v/>
      </c>
      <c r="P55" s="22" t="n">
        <v>1</v>
      </c>
      <c r="Q55" s="22" t="n">
        <v>5</v>
      </c>
      <c r="R55" s="22" t="n">
        <v>7</v>
      </c>
      <c r="S55" s="22" t="n">
        <v>1</v>
      </c>
      <c r="T55" s="22">
        <f>IF(G55="","",ROUND(MAX(0,MIN(10,10*(Filters!$B$2-G55)/(Filters!$B$2-500000))),1))</f>
        <v/>
      </c>
      <c r="U55" s="22" t="n">
        <v>0</v>
      </c>
      <c r="V55" s="22" t="n">
        <v>2</v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M56" s="22">
        <f>IF(J56="","",ROUND(MAX(0,10*(1-J56/Filters!$B$4)),1))</f>
        <v/>
      </c>
      <c r="N56" s="22" t="n">
        <v>5</v>
      </c>
      <c r="O56" s="16">
        <f>IF(K56="","",ROUND(MAX(0,10*(1-K56/Filters!$B$5)),1))</f>
        <v/>
      </c>
      <c r="P56" s="22" t="n">
        <v>2</v>
      </c>
      <c r="Q56" s="22" t="n">
        <v>7</v>
      </c>
      <c r="R56" s="22" t="n">
        <v>6</v>
      </c>
      <c r="S56" s="22" t="n">
        <v>5</v>
      </c>
      <c r="T56" s="22">
        <f>IF(G56="","",ROUND(MAX(0,MIN(10,10*(Filters!$B$2-G56)/(Filters!$B$2-500000))),1))</f>
        <v/>
      </c>
      <c r="U56" s="22" t="n">
        <v>0</v>
      </c>
      <c r="V56" s="22" t="n">
        <v>4</v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M57" s="22">
        <f>IF(J57="","",ROUND(MAX(0,10*(1-J57/Filters!$B$4)),1))</f>
        <v/>
      </c>
      <c r="N57" s="22" t="n">
        <v>2</v>
      </c>
      <c r="O57" s="22">
        <f>IF(K57="","",ROUND(MAX(0,10*(1-K57/Filters!$B$5)),1))</f>
        <v/>
      </c>
      <c r="P57" s="22" t="n">
        <v>8</v>
      </c>
      <c r="Q57" s="22" t="n">
        <v>8</v>
      </c>
      <c r="R57" s="22" t="n">
        <v>5</v>
      </c>
      <c r="S57" s="22" t="n">
        <v>8</v>
      </c>
      <c r="T57" s="22">
        <f>IF(G57="","",ROUND(MAX(0,MIN(10,10*(Filters!$B$2-G57)/(Filters!$B$2-500000))),1))</f>
        <v/>
      </c>
      <c r="U57" s="22" t="n">
        <v>2</v>
      </c>
      <c r="V57" s="22" t="n">
        <v>9</v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 | SCORES 27 Oct 2026: M (near family) and T (price) are formulas from J and G; O from K. N, P, Q, R, S, U, V are ESTIMATES (Claude, general knowledge, not site-checked); S also rests on train Yes/No marked 'verify'.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M58" s="22">
        <f>IF(J58="","",ROUND(MAX(0,10*(1-J58/Filters!$B$4)),1))</f>
        <v/>
      </c>
      <c r="N58" s="22" t="n">
        <v>6</v>
      </c>
      <c r="O58" s="22">
        <f>IF(K58="","",ROUND(MAX(0,10*(1-K58/Filters!$B$5)),1))</f>
        <v/>
      </c>
      <c r="P58" s="22" t="n">
        <v>4</v>
      </c>
      <c r="Q58" s="22" t="n">
        <v>7</v>
      </c>
      <c r="R58" s="22" t="n">
        <v>6</v>
      </c>
      <c r="S58" s="22" t="n">
        <v>8</v>
      </c>
      <c r="T58" s="22">
        <f>IF(G58="","",ROUND(MAX(0,MIN(10,10*(Filters!$B$2-G58)/(Filters!$B$2-500000))),1))</f>
        <v/>
      </c>
      <c r="U58" s="22" t="n">
        <v>0</v>
      </c>
      <c r="V58" s="22" t="n">
        <v>8</v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M59" s="22">
        <f>IF(J59="","",ROUND(MAX(0,10*(1-J59/Filters!$B$4)),1))</f>
        <v/>
      </c>
      <c r="N59" s="22" t="n">
        <v>5</v>
      </c>
      <c r="O59" s="22">
        <f>IF(K59="","",ROUND(MAX(0,10*(1-K59/Filters!$B$5)),1))</f>
        <v/>
      </c>
      <c r="P59" s="22" t="n">
        <v>4</v>
      </c>
      <c r="Q59" s="22" t="n">
        <v>7</v>
      </c>
      <c r="R59" s="22" t="n">
        <v>4</v>
      </c>
      <c r="S59" s="22" t="n">
        <v>8</v>
      </c>
      <c r="T59" s="22">
        <f>IF(G59="","",ROUND(MAX(0,MIN(10,10*(Filters!$B$2-G59)/(Filters!$B$2-500000))),1))</f>
        <v/>
      </c>
      <c r="U59" s="22" t="n">
        <v>9</v>
      </c>
      <c r="V59" s="22" t="n">
        <v>6</v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</t>
        </is>
      </c>
      <c r="AB59" s="22" t="inlineStr">
        <is>
          <t>Yes</t>
        </is>
      </c>
      <c r="AC59" s="22" t="inlineStr">
        <is>
          <t>Seaford station, Frankston line (recall; verify)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M60" s="22">
        <f>IF(J60="","",ROUND(MAX(0,10*(1-J60/Filters!$B$4)),1))</f>
        <v/>
      </c>
      <c r="N60" s="22" t="n">
        <v>4</v>
      </c>
      <c r="O60" s="22">
        <f>IF(K60="","",ROUND(MAX(0,10*(1-K60/Filters!$B$5)),1))</f>
        <v/>
      </c>
      <c r="P60" s="22" t="n">
        <v>4</v>
      </c>
      <c r="Q60" s="22" t="n">
        <v>7</v>
      </c>
      <c r="R60" s="22" t="n">
        <v>5</v>
      </c>
      <c r="S60" s="22" t="n">
        <v>8</v>
      </c>
      <c r="T60" s="22">
        <f>IF(G60="","",ROUND(MAX(0,MIN(10,10*(Filters!$B$2-G60)/(Filters!$B$2-500000))),1))</f>
        <v/>
      </c>
      <c r="U60" s="22" t="n">
        <v>9</v>
      </c>
      <c r="V60" s="22" t="n">
        <v>7</v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 | SCORES 27 Oct 2026: M (near family) and T (price) are formulas from J and G; O from K. N, P, Q, R, S, U, V are ESTIMATES (Claude, general knowledge, not site-checked); S also rests on train Yes/No marked 'verify'.</t>
        </is>
      </c>
      <c r="AB60" s="22" t="inlineStr">
        <is>
          <t>Yes</t>
        </is>
      </c>
      <c r="AC60" s="22" t="inlineStr">
        <is>
          <t>Chelsea station, Frankston line (recall; verify)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M62" s="22">
        <f>IF(J62="","",ROUND(MAX(0,10*(1-J62/Filters!$B$4)),1))</f>
        <v/>
      </c>
      <c r="N62" s="22" t="n">
        <v>8</v>
      </c>
      <c r="O62" s="22">
        <f>IF(K62="","",ROUND(MAX(0,10*(1-K62/Filters!$B$5)),1))</f>
        <v/>
      </c>
      <c r="P62" s="22" t="n">
        <v>1</v>
      </c>
      <c r="Q62" s="22" t="n">
        <v>4</v>
      </c>
      <c r="R62" s="22" t="n">
        <v>6</v>
      </c>
      <c r="S62" s="22" t="n">
        <v>2</v>
      </c>
      <c r="T62" s="22">
        <f>IF(G62="","",ROUND(MAX(0,MIN(10,10*(Filters!$B$2-G62)/(Filters!$B$2-500000))),1))</f>
        <v/>
      </c>
      <c r="U62" s="22" t="n">
        <v>9</v>
      </c>
      <c r="V62" s="22" t="n">
        <v>2</v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M63" s="22">
        <f>IF(J63="","",ROUND(MAX(0,10*(1-J63/Filters!$B$4)),1))</f>
        <v/>
      </c>
      <c r="N63" s="22" t="n">
        <v>8</v>
      </c>
      <c r="O63" s="22">
        <f>IF(K63="","",ROUND(MAX(0,10*(1-K63/Filters!$B$5)),1))</f>
        <v/>
      </c>
      <c r="P63" s="22" t="n">
        <v>2</v>
      </c>
      <c r="Q63" s="22" t="n">
        <v>5</v>
      </c>
      <c r="R63" s="22" t="n">
        <v>7</v>
      </c>
      <c r="S63" s="22" t="n">
        <v>2</v>
      </c>
      <c r="T63" s="22">
        <f>IF(G63="","",ROUND(MAX(0,MIN(10,10*(Filters!$B$2-G63)/(Filters!$B$2-500000))),1))</f>
        <v/>
      </c>
      <c r="U63" s="22" t="n">
        <v>9</v>
      </c>
      <c r="V63" s="22" t="n">
        <v>2</v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M64" s="22">
        <f>IF(J64="","",ROUND(MAX(0,10*(1-J64/Filters!$B$4)),1))</f>
        <v/>
      </c>
      <c r="N64" s="22" t="n">
        <v>5</v>
      </c>
      <c r="O64" s="22">
        <f>IF(K64="","",ROUND(MAX(0,10*(1-K64/Filters!$B$5)),1))</f>
        <v/>
      </c>
      <c r="P64" s="22" t="n">
        <v>5</v>
      </c>
      <c r="Q64" s="22" t="n">
        <v>8</v>
      </c>
      <c r="R64" s="22" t="n">
        <v>7</v>
      </c>
      <c r="S64" s="22" t="n">
        <v>8</v>
      </c>
      <c r="T64" s="22">
        <f>IF(G64="","",ROUND(MAX(0,MIN(10,10*(Filters!$B$2-G64)/(Filters!$B$2-500000))),1))</f>
        <v/>
      </c>
      <c r="U64" s="22" t="n">
        <v>9</v>
      </c>
      <c r="V64" s="22" t="n">
        <v>7</v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 | SCORES 27 Oct 2026: M (near family) and T (price) are formulas from J and G; O from K. N, P, Q, R, S, U, V are ESTIMATES (Claude, general knowledge, not site-checked); S also rests on train Yes/No marked 'verify'.</t>
        </is>
      </c>
      <c r="AB64" s="22" t="inlineStr">
        <is>
          <t>Yes</t>
        </is>
      </c>
      <c r="AC64" s="22" t="inlineStr">
        <is>
          <t>Mordialloc station, Frankston line (recall; verify)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M65" s="22">
        <f>IF(J65="","",ROUND(MAX(0,10*(1-J65/Filters!$B$4)),1))</f>
        <v/>
      </c>
      <c r="N65" s="22" t="n">
        <v>4</v>
      </c>
      <c r="O65" s="22">
        <f>IF(K65="","",ROUND(MAX(0,10*(1-K65/Filters!$B$5)),1))</f>
        <v/>
      </c>
      <c r="P65" s="22" t="n">
        <v>6</v>
      </c>
      <c r="Q65" s="22" t="n">
        <v>8</v>
      </c>
      <c r="R65" s="22" t="n">
        <v>6</v>
      </c>
      <c r="S65" s="22" t="n">
        <v>8</v>
      </c>
      <c r="T65" s="22">
        <f>IF(G65="","",ROUND(MAX(0,MIN(10,10*(Filters!$B$2-G65)/(Filters!$B$2-500000))),1))</f>
        <v/>
      </c>
      <c r="U65" s="22" t="n">
        <v>4</v>
      </c>
      <c r="V65" s="22" t="n">
        <v>9</v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 | SCORES 27 Oct 2026: M (near family) and T (price) are formulas from J and G; O from K. N, P, Q, R, S, U, V are ESTIMATES (Claude, general knowledge, not site-checked); S also rests on train Yes/No marked 'verify'.</t>
        </is>
      </c>
      <c r="AB65" s="22" t="inlineStr">
        <is>
          <t>Yes</t>
        </is>
      </c>
      <c r="AC65" s="22" t="inlineStr">
        <is>
          <t>Newport station, Werribee/Williamstown lines (recall; verify)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M66" s="22">
        <f>IF(J66="","",ROUND(MAX(0,10*(1-J66/Filters!$B$4)),1))</f>
        <v/>
      </c>
      <c r="N66" s="22" t="n">
        <v>9</v>
      </c>
      <c r="O66" s="22">
        <f>IF(K66="","",ROUND(MAX(0,10*(1-K66/Filters!$B$5)),1))</f>
        <v/>
      </c>
      <c r="P66" s="22" t="n">
        <v>1</v>
      </c>
      <c r="Q66" s="22" t="n">
        <v>2</v>
      </c>
      <c r="R66" s="22" t="n">
        <v>6</v>
      </c>
      <c r="S66" s="22" t="n">
        <v>1</v>
      </c>
      <c r="T66" s="22">
        <f>IF(G66="","",ROUND(MAX(0,MIN(10,10*(Filters!$B$2-G66)/(Filters!$B$2-500000))),1))</f>
        <v/>
      </c>
      <c r="U66" s="22" t="n">
        <v>6</v>
      </c>
      <c r="V66" s="22" t="n">
        <v>2</v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Price from 5 sales only (weak).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2026-10-27T06:44:37Z</dcterms:modified>
  <cp:revision>0</cp:revision>
</cp:coreProperties>
</file>