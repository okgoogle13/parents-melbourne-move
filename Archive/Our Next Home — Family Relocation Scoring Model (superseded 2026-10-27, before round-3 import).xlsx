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tables/table2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artHer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RawResponses" sheetId="3" state="visible" r:id="rId3"/>
    <sheet xmlns:r="http://schemas.openxmlformats.org/officeDocument/2006/relationships" name="CleanedAnswers" sheetId="4" state="visible" r:id="rId4"/>
    <sheet xmlns:r="http://schemas.openxmlformats.org/officeDocument/2006/relationships" name="Filters" sheetId="5" state="visible" r:id="rId5"/>
    <sheet xmlns:r="http://schemas.openxmlformats.org/officeDocument/2006/relationships" name="PriorityWeights" sheetId="6" state="visible" r:id="rId6"/>
    <sheet xmlns:r="http://schemas.openxmlformats.org/officeDocument/2006/relationships" name="ForcedChoiceCorrections" sheetId="7" state="visible" r:id="rId7"/>
    <sheet xmlns:r="http://schemas.openxmlformats.org/officeDocument/2006/relationships" name="SuburbScorecard" sheetId="8" state="visible" r:id="rId8"/>
    <sheet xmlns:r="http://schemas.openxmlformats.org/officeDocument/2006/relationships" name="Listings" sheetId="9" state="visible" r:id="rId9"/>
    <sheet xmlns:r="http://schemas.openxmlformats.org/officeDocument/2006/relationships" name="DiscussionSummary" sheetId="10" state="visible" r:id="rId10"/>
  </sheets>
  <definedNames>
    <definedName name="_xlnm._FilterDatabase" localSheetId="8" hidden="1">'Listings'!$A$1:$U$33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hh:mm"/>
    <numFmt numFmtId="165" formatCode="\$#,##0"/>
    <numFmt numFmtId="166" formatCode="yyyy-mm-dd hh:mm"/>
    <numFmt numFmtId="167" formatCode="yyyy-mm-dd h:mm:ss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Montserrat"/>
      <charset val="1"/>
      <family val="0"/>
      <b val="1"/>
      <color rgb="FFFFFFFF"/>
      <sz val="11"/>
    </font>
    <font>
      <name val="Roboto"/>
      <charset val="1"/>
      <family val="0"/>
      <color rgb="FF1A1B1F"/>
      <sz val="10"/>
    </font>
    <font>
      <name val="Calibri"/>
      <charset val="1"/>
      <family val="0"/>
      <b val="1"/>
      <color rgb="FFFFFFFF"/>
      <sz val="11"/>
    </font>
    <font>
      <name val="Arial"/>
      <family val="2"/>
      <sz val="10"/>
    </font>
    <font>
      <name val="Cambria"/>
      <charset val="1"/>
      <family val="0"/>
      <b val="1"/>
      <sz val="11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FF425D90"/>
        <bgColor rgb="FF1F4E79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425D90"/>
      </patternFill>
    </fill>
    <fill>
      <patternFill patternType="solid">
        <fgColor rgb="FFE6EDF7"/>
        <bgColor rgb="FFD9F0D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164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4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9" fontId="4" fillId="0" borderId="0" applyAlignment="1" pivotButton="0" quotePrefix="0" xfId="0">
      <alignment horizontal="general" vertical="bottom"/>
    </xf>
    <xf numFmtId="10" fontId="4" fillId="0" borderId="0" applyAlignment="1" pivotButton="0" quotePrefix="0" xfId="0">
      <alignment horizontal="general" vertical="bottom"/>
    </xf>
    <xf numFmtId="166" fontId="4" fillId="0" borderId="0" applyAlignment="1" pivotButton="0" quotePrefix="0" xfId="0">
      <alignment horizontal="general" vertical="bottom"/>
    </xf>
    <xf numFmtId="0" fontId="10" fillId="0" borderId="0" pivotButton="0" quotePrefix="0" xfId="0"/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3">
    <dxf>
      <fill>
        <patternFill patternType="solid">
          <fgColor rgb="FF425D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1B1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E6ED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F0D3"/>
          <bgColor rgb="FF000000"/>
        </patternFill>
      </fill>
    </dxf>
    <dxf>
      <fill>
        <patternFill patternType="solid">
          <fgColor rgb="FFF5D6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F0D3"/>
        </patternFill>
      </fill>
    </dxf>
    <dxf>
      <fill>
        <patternFill>
          <bgColor rgb="FFF5D6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ED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0D3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425D90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1A1B1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Unknown Author</author>
  </authors>
  <commentList>
    <comment ref="A1" authorId="0" shapeId="0">
      <text>
        <t>27 Oct 2026: columns A–H and Z were Google-only formulas splitting column AA. Converted to plain values so they can be edited in Excel. Blank price (G) = not yet researched (was shown as 0).</t>
      </text>
    </comment>
  </commentList>
</comments>
</file>

<file path=xl/tables/table1.xml><?xml version="1.0" encoding="utf-8"?>
<table xmlns="http://schemas.openxmlformats.org/spreadsheetml/2006/main" id="1" name="Table_1" displayName="Table_1" ref="A1:C25" headerRowCount="1" totalsRowCount="0" totalsRowShown="0">
  <tableColumns count="3">
    <tableColumn id="1" name="Parameter"/>
    <tableColumn id="2" name="Value"/>
    <tableColumn id="3" name="Notes"/>
  </tableColumns>
</table>
</file>

<file path=xl/tables/table2.xml><?xml version="1.0" encoding="utf-8"?>
<table xmlns="http://schemas.openxmlformats.org/spreadsheetml/2006/main" id="2" name="Table_2" displayName="Table_2" ref="A1:Z50" headerRowCount="1" totalsRowCount="0" totalsRowShown="0">
  <tableColumns count="26">
    <tableColumn id="1" name="Location"/>
    <tableColumn id="2" name="Region"/>
    <tableColumn id="3" name="Shortlist Status"/>
    <tableColumn id="4" name="Parents Inland/Bush Fit (P)"/>
    <tableColumn id="5" name="My Coastal-Nature Fit (Y)"/>
    <tableColumn id="6" name="Primary Investigation Lens"/>
    <tableColumn id="7" name="Published House Price"/>
    <tableColumn id="8" name="Price Basis"/>
    <tableColumn id="9" name="Price + Est. 6% Costs"/>
    <tableColumn id="10" name="Drive to GW (min)"/>
    <tableColumn id="11" name="Drive to 24-Hr Public ED (min)"/>
    <tableColumn id="12" name="Hard Filter Status"/>
    <tableColumn id="13" name="Score: Near family in GW"/>
    <tableColumn id="14" name="Score: Nature"/>
    <tableColumn id="15" name="Score: Hospital"/>
    <tableColumn id="16" name="Score: Indian community"/>
    <tableColumn id="17" name="Score: Shops &amp; doctor"/>
    <tableColumn id="18" name="Score: Village character"/>
    <tableColumn id="19" name="Score: Train/bus"/>
    <tableColumn id="20" name="Score: Price"/>
    <tableColumn id="21" name="Score: Beach"/>
    <tableColumn id="22" name="Score: City trip"/>
    <tableColumn id="23" name="Scores Entered"/>
    <tableColumn id="24" name="Weighted Score (0-10)"/>
    <tableColumn id="25" name="Rank (Passing Only)"/>
    <tableColumn id="26" name="Healthcare &amp; ABS Verification Note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9.xml.rels><Relationships xmlns="http://schemas.openxmlformats.org/package/2006/relationships"><Relationship Type="http://schemas.openxmlformats.org/officeDocument/2006/relationships/hyperlink" Target="https://www.realestate.com.au/property-house-vic-torquay-152666740" TargetMode="External" Id="rId1"/><Relationship Type="http://schemas.openxmlformats.org/officeDocument/2006/relationships/hyperlink" Target="https://www.realestate.com.au/property-house-vic-torquay-152666740" TargetMode="External" Id="rId2"/><Relationship Type="http://schemas.openxmlformats.org/officeDocument/2006/relationships/hyperlink" Target="https://www.realestate.com.au/property-house-vic-west+footscray-152623144" TargetMode="External" Id="rId3"/><Relationship Type="http://schemas.openxmlformats.org/officeDocument/2006/relationships/hyperlink" Target="https://www.realestate.com.au/property-house-vic-west+footscray-152623144" TargetMode="External" Id="rId4"/><Relationship Type="http://schemas.openxmlformats.org/officeDocument/2006/relationships/hyperlink" Target="https://www.realestate.com.au/property-house-vic-warburton-150763740" TargetMode="External" Id="rId5"/><Relationship Type="http://schemas.openxmlformats.org/officeDocument/2006/relationships/hyperlink" Target="https://www.realestate.com.au/property-house-vic-warburton-150763740" TargetMode="External" Id="rId6"/><Relationship Type="http://schemas.openxmlformats.org/officeDocument/2006/relationships/hyperlink" Target="https://www.realestate.com.au/property-house-vic-williamstown-152686328" TargetMode="External" Id="rId7"/><Relationship Type="http://schemas.openxmlformats.org/officeDocument/2006/relationships/hyperlink" Target="https://www.realestate.com.au/property-house-vic-williamstown-152686328" TargetMode="External" Id="rId8"/><Relationship Type="http://schemas.openxmlformats.org/officeDocument/2006/relationships/hyperlink" Target="https://www.realestate.com.au/property-house-vic-rosanna-152574468" TargetMode="External" Id="rId9"/><Relationship Type="http://schemas.openxmlformats.org/officeDocument/2006/relationships/hyperlink" Target="https://www.realestate.com.au/property-house-vic-rosanna-152574468" TargetMode="External" Id="rId10"/><Relationship Type="http://schemas.openxmlformats.org/officeDocument/2006/relationships/hyperlink" Target="https://www.realestate.com.au/property-house-vic-diamond+creek-152290624" TargetMode="External" Id="rId11"/><Relationship Type="http://schemas.openxmlformats.org/officeDocument/2006/relationships/hyperlink" Target="https://www.realestate.com.au/property-house-vic-diamond+creek-152290624" TargetMode="External" Id="rId12"/><Relationship Type="http://schemas.openxmlformats.org/officeDocument/2006/relationships/hyperlink" Target="https://www.realestate.com.au/property-house-vic-mordialloc-152622844" TargetMode="External" Id="rId13"/><Relationship Type="http://schemas.openxmlformats.org/officeDocument/2006/relationships/hyperlink" Target="https://www.realestate.com.au/property-house-vic-mordialloc-152622844" TargetMode="External" Id="rId14"/><Relationship Type="http://schemas.openxmlformats.org/officeDocument/2006/relationships/hyperlink" Target="https://www.realestate.com.au/property-house-vic-seaford-152011424" TargetMode="External" Id="rId15"/><Relationship Type="http://schemas.openxmlformats.org/officeDocument/2006/relationships/hyperlink" Target="https://www.realestate.com.au/property-house-vic-seaford-152011424" TargetMode="External" Id="rId16"/><Relationship Type="http://schemas.openxmlformats.org/officeDocument/2006/relationships/hyperlink" Target="https://www.realestate.com.au/property-house-vic-seaford-151815440" TargetMode="External" Id="rId17"/><Relationship Type="http://schemas.openxmlformats.org/officeDocument/2006/relationships/hyperlink" Target="https://www.realestate.com.au/property-house-vic-seaford-151815440" TargetMode="External" Id="rId18"/><Relationship Type="http://schemas.openxmlformats.org/officeDocument/2006/relationships/hyperlink" Target="https://www.realestate.com.au/property-house-vic-mount+eliza-151176748" TargetMode="External" Id="rId19"/><Relationship Type="http://schemas.openxmlformats.org/officeDocument/2006/relationships/hyperlink" Target="https://www.realestate.com.au/property-house-vic-mount+eliza-151176748" TargetMode="External" Id="rId20"/><Relationship Type="http://schemas.openxmlformats.org/officeDocument/2006/relationships/hyperlink" Target="https://www.realestate.com.au/property-house-vic-mount+eliza-152450032" TargetMode="External" Id="rId21"/><Relationship Type="http://schemas.openxmlformats.org/officeDocument/2006/relationships/hyperlink" Target="https://www.realestate.com.au/property-house-vic-mount+eliza-152450032" TargetMode="External" Id="rId22"/><Relationship Type="http://schemas.openxmlformats.org/officeDocument/2006/relationships/hyperlink" Target="https://www.realestate.com.au/property-house-vic-mount+eliza-152376824" TargetMode="External" Id="rId23"/><Relationship Type="http://schemas.openxmlformats.org/officeDocument/2006/relationships/hyperlink" Target="https://www.realestate.com.au/property-house-vic-mount+eliza-152376824" TargetMode="External" Id="rId24"/><Relationship Type="http://schemas.openxmlformats.org/officeDocument/2006/relationships/hyperlink" Target="https://www.realestate.com.au/property-house-vic-mount+eliza-151903892" TargetMode="External" Id="rId25"/><Relationship Type="http://schemas.openxmlformats.org/officeDocument/2006/relationships/hyperlink" Target="https://www.realestate.com.au/property-house-vic-mount+eliza-151903892" TargetMode="External" Id="rId26"/><Relationship Type="http://schemas.openxmlformats.org/officeDocument/2006/relationships/hyperlink" Target="https://www.realestate.com.au/property-house-vic-arthurs+seat-146680920" TargetMode="External" Id="rId27"/><Relationship Type="http://schemas.openxmlformats.org/officeDocument/2006/relationships/hyperlink" Target="https://www.realestate.com.au/property-house-vic-arthurs+seat-146680920" TargetMode="External" Id="rId28"/><Relationship Type="http://schemas.openxmlformats.org/officeDocument/2006/relationships/hyperlink" Target="https://www.realestate.com.au/property-house-vic-dromana-152005848" TargetMode="External" Id="rId29"/><Relationship Type="http://schemas.openxmlformats.org/officeDocument/2006/relationships/hyperlink" Target="https://www.realestate.com.au/property-house-vic-dromana-152005848" TargetMode="External" Id="rId30"/><Relationship Type="http://schemas.openxmlformats.org/officeDocument/2006/relationships/hyperlink" Target="https://www.realestate.com.au/property-house-vic-curlewis-152352192" TargetMode="External" Id="rId31"/><Relationship Type="http://schemas.openxmlformats.org/officeDocument/2006/relationships/hyperlink" Target="https://www.realestate.com.au/property-house-vic-curlewis-152352192" TargetMode="External" Id="rId32"/><Relationship Type="http://schemas.openxmlformats.org/officeDocument/2006/relationships/hyperlink" Target="https://www.realestate.com.au/property-house-vic-mccrae-151835348" TargetMode="External" Id="rId33"/><Relationship Type="http://schemas.openxmlformats.org/officeDocument/2006/relationships/hyperlink" Target="https://www.realestate.com.au/property-house-vic-mccrae-151835348" TargetMode="External" Id="rId34"/><Relationship Type="http://schemas.openxmlformats.org/officeDocument/2006/relationships/hyperlink" Target="https://www.realestate.com.au/property-house-vic-chelsea-152626264" TargetMode="External" Id="rId35"/><Relationship Type="http://schemas.openxmlformats.org/officeDocument/2006/relationships/hyperlink" Target="https://www.realestate.com.au/property-house-vic-chelsea-152626264" TargetMode="External" Id="rId36"/><Relationship Type="http://schemas.openxmlformats.org/officeDocument/2006/relationships/hyperlink" Target="https://www.realestate.com.au/property-house-vic-torquay-152670688" TargetMode="External" Id="rId37"/><Relationship Type="http://schemas.openxmlformats.org/officeDocument/2006/relationships/hyperlink" Target="https://www.realestate.com.au/property-house-vic-torquay-152670688" TargetMode="External" Id="rId38"/><Relationship Type="http://schemas.openxmlformats.org/officeDocument/2006/relationships/hyperlink" Target="https://www.realestate.com.au/property-house-vic-newport-152302080" TargetMode="External" Id="rId39"/><Relationship Type="http://schemas.openxmlformats.org/officeDocument/2006/relationships/hyperlink" Target="https://www.realestate.com.au/property-house-vic-newport-152302080" TargetMode="External" Id="rId40"/><Relationship Type="http://schemas.openxmlformats.org/officeDocument/2006/relationships/hyperlink" Target="https://www.realestate.com.au/property-house-vic-frankston+south-152212372" TargetMode="External" Id="rId41"/><Relationship Type="http://schemas.openxmlformats.org/officeDocument/2006/relationships/hyperlink" Target="https://www.realestate.com.au/property-house-vic-frankston+south-152212372" TargetMode="External" Id="rId42"/><Relationship Type="http://schemas.openxmlformats.org/officeDocument/2006/relationships/hyperlink" Target="https://www.realestate.com.au/property-house-vic-tecoma-152652276" TargetMode="External" Id="rId43"/><Relationship Type="http://schemas.openxmlformats.org/officeDocument/2006/relationships/hyperlink" Target="https://www.realestate.com.au/property-house-vic-tecoma-152652276" TargetMode="External" Id="rId44"/><Relationship Type="http://schemas.openxmlformats.org/officeDocument/2006/relationships/hyperlink" Target="https://www.realestate.com.au/property-house-vic-belgrave-152722196" TargetMode="External" Id="rId45"/><Relationship Type="http://schemas.openxmlformats.org/officeDocument/2006/relationships/hyperlink" Target="https://www.realestate.com.au/property-house-vic-belgrave-152722196" TargetMode="External" Id="rId46"/><Relationship Type="http://schemas.openxmlformats.org/officeDocument/2006/relationships/hyperlink" Target="https://www.realestate.com.au/property-house-vic-belgrave-152535704" TargetMode="External" Id="rId47"/><Relationship Type="http://schemas.openxmlformats.org/officeDocument/2006/relationships/hyperlink" Target="https://www.realestate.com.au/property-house-vic-belgrave-152535704" TargetMode="External" Id="rId48"/><Relationship Type="http://schemas.openxmlformats.org/officeDocument/2006/relationships/hyperlink" Target="https://www.realestate.com.au/property-house-vic-belgrave-152654296" TargetMode="External" Id="rId49"/><Relationship Type="http://schemas.openxmlformats.org/officeDocument/2006/relationships/hyperlink" Target="https://www.realestate.com.au/property-house-vic-belgrave-152654296" TargetMode="External" Id="rId50"/><Relationship Type="http://schemas.openxmlformats.org/officeDocument/2006/relationships/hyperlink" Target="https://www.realestate.com.au/property-house-vic-belgrave-152729140" TargetMode="External" Id="rId51"/><Relationship Type="http://schemas.openxmlformats.org/officeDocument/2006/relationships/hyperlink" Target="https://www.realestate.com.au/property-house-vic-belgrave-152729140" TargetMode="External" Id="rId52"/><Relationship Type="http://schemas.openxmlformats.org/officeDocument/2006/relationships/hyperlink" Target="https://www.realestate.com.au/property-house-vic-mount+martha-152575492" TargetMode="External" Id="rId53"/><Relationship Type="http://schemas.openxmlformats.org/officeDocument/2006/relationships/hyperlink" Target="https://www.realestate.com.au/property-house-vic-mount+martha-152575492" TargetMode="External" Id="rId54"/><Relationship Type="http://schemas.openxmlformats.org/officeDocument/2006/relationships/hyperlink" Target="https://www.realestate.com.au/property-house-vic-tecoma-152712080" TargetMode="External" Id="rId55"/><Relationship Type="http://schemas.openxmlformats.org/officeDocument/2006/relationships/hyperlink" Target="https://www.realestate.com.au/property-house-vic-tecoma-152712080" TargetMode="External" Id="rId56"/><Relationship Type="http://schemas.openxmlformats.org/officeDocument/2006/relationships/hyperlink" Target="https://www.realestate.com.au/property-house-vic-belgrave-152583472" TargetMode="External" Id="rId57"/><Relationship Type="http://schemas.openxmlformats.org/officeDocument/2006/relationships/hyperlink" Target="https://www.realestate.com.au/property-house-vic-belgrave-152583472" TargetMode="External" Id="rId58"/><Relationship Type="http://schemas.openxmlformats.org/officeDocument/2006/relationships/hyperlink" Target="https://www.realestate.com.au/property-house-vic-frankston-151132640" TargetMode="External" Id="rId59"/><Relationship Type="http://schemas.openxmlformats.org/officeDocument/2006/relationships/hyperlink" Target="https://www.realestate.com.au/property-house-vic-frankston-151132640" TargetMode="External" Id="rId60"/><Relationship Type="http://schemas.openxmlformats.org/officeDocument/2006/relationships/hyperlink" Target="https://www.realestate.com.au/property-house-vic-frankston+south-152593596" TargetMode="External" Id="rId61"/><Relationship Type="http://schemas.openxmlformats.org/officeDocument/2006/relationships/hyperlink" Target="https://www.realestate.com.au/property-house-vic-frankston+south-152593596" TargetMode="External" Id="rId62"/><Relationship Type="http://schemas.openxmlformats.org/officeDocument/2006/relationships/hyperlink" Target="https://www.realestate.com.au/property-house-vic-frankston+south-152448552" TargetMode="External" Id="rId63"/><Relationship Type="http://schemas.openxmlformats.org/officeDocument/2006/relationships/hyperlink" Target="https://www.realestate.com.au/property-house-vic-frankston+south-152448552" TargetMode="External" Id="rId6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Workflow Steps</t>
        </is>
      </c>
    </row>
    <row r="2" ht="15.75" customHeight="1" s="15">
      <c r="A2" s="16" t="inlineStr">
        <is>
          <t>1. Complete 'Me' first</t>
        </is>
      </c>
    </row>
    <row r="3" ht="15.75" customHeight="1" s="15">
      <c r="A3" s="16" t="inlineStr">
        <is>
          <t>2. Interview Mum &amp; Dad separately</t>
        </is>
      </c>
    </row>
    <row r="4" ht="15.75" customHeight="1" s="15">
      <c r="A4" s="16" t="inlineStr">
        <is>
          <t>3. Enforce Max-2-Essential rule</t>
        </is>
      </c>
    </row>
    <row r="5" ht="15.75" customHeight="1" s="15">
      <c r="A5" s="16" t="inlineStr">
        <is>
          <t>4. Review DiscussionSummary</t>
        </is>
      </c>
    </row>
    <row r="6" ht="15.75" customHeight="1" s="15">
      <c r="A6" s="16" t="inlineStr">
        <is>
          <t>5. Verify suburb data</t>
        </is>
      </c>
    </row>
    <row r="8" ht="15.75" customHeight="1" s="15">
      <c r="A8" s="16" t="inlineStr">
        <is>
          <t>Boundaries Table</t>
        </is>
      </c>
    </row>
    <row r="9" ht="15.75" customHeight="1" s="15">
      <c r="A9" s="16" t="inlineStr">
        <is>
          <t>Type</t>
        </is>
      </c>
      <c r="B9" s="16" t="inlineStr">
        <is>
          <t>Description</t>
        </is>
      </c>
    </row>
    <row r="10" ht="15.75" customHeight="1" s="15">
      <c r="A10" s="16" t="inlineStr">
        <is>
          <t>Manual</t>
        </is>
      </c>
      <c r="B10" s="16" t="inlineStr">
        <is>
          <t>Editable input cells in yellow</t>
        </is>
      </c>
    </row>
    <row r="11" ht="15.75" customHeight="1" s="15">
      <c r="A11" s="16" t="inlineStr">
        <is>
          <t>Automatic</t>
        </is>
      </c>
      <c r="B11" s="16" t="inlineStr">
        <is>
          <t>Calculated outputs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7" t="inlineStr">
        <is>
          <t>Parameter</t>
        </is>
      </c>
      <c r="B1" s="17" t="inlineStr">
        <is>
          <t>Value</t>
        </is>
      </c>
      <c r="C1" s="17" t="inlineStr">
        <is>
          <t>Notes</t>
        </is>
      </c>
    </row>
    <row r="2" ht="15.75" customHeight="1" s="15">
      <c r="A2" s="18" t="inlineStr">
        <is>
          <t>Say in the decision: Mum</t>
        </is>
      </c>
      <c r="B2" s="19" t="n">
        <v>1</v>
      </c>
      <c r="C2" s="18" t="n"/>
    </row>
    <row r="3" ht="15.75" customHeight="1" s="15">
      <c r="A3" s="18" t="inlineStr">
        <is>
          <t>Say in the decision: Dad</t>
        </is>
      </c>
      <c r="B3" s="19" t="n">
        <v>1</v>
      </c>
      <c r="C3" s="18" t="n"/>
    </row>
    <row r="4" ht="15.75" customHeight="1" s="15">
      <c r="A4" s="18" t="inlineStr">
        <is>
          <t>Say in the decision: Me</t>
        </is>
      </c>
      <c r="B4" s="19" t="n">
        <v>1</v>
      </c>
      <c r="C4" s="18" t="n"/>
    </row>
    <row r="5" ht="15.75" customHeight="1" s="15">
      <c r="A5" s="18" t="inlineStr">
        <is>
          <t>Max D (Essential) answers per person</t>
        </is>
      </c>
      <c r="B5" s="19" t="n">
        <v>2</v>
      </c>
      <c r="C5" s="18" t="n"/>
    </row>
    <row r="6" ht="15.75" customHeight="1" s="15">
      <c r="A6" s="18" t="inlineStr">
        <is>
          <t>Purchase costs allowance (% of price)</t>
        </is>
      </c>
      <c r="B6" s="19" t="n">
        <v>0.06</v>
      </c>
      <c r="C6" s="18" t="inlineStr">
        <is>
          <t>(provisional estimate, not SRO calculation)</t>
        </is>
      </c>
    </row>
    <row r="7" ht="15.75" customHeight="1" s="15">
      <c r="A7" s="18" t="inlineStr">
        <is>
          <t>Forced-choice override margin</t>
        </is>
      </c>
      <c r="B7" s="19" t="n">
        <v>0.02</v>
      </c>
      <c r="C7" s="18" t="n"/>
    </row>
    <row r="8" ht="15.75" customHeight="1" s="15">
      <c r="A8" s="18" t="n"/>
      <c r="B8" s="18" t="n"/>
      <c r="C8" s="18" t="n"/>
    </row>
    <row r="9" ht="15.75" customHeight="1" s="15">
      <c r="A9" s="18" t="inlineStr">
        <is>
          <t>Priority Rating Scale</t>
        </is>
      </c>
      <c r="B9" s="18" t="inlineStr">
        <is>
          <t>Level</t>
        </is>
      </c>
      <c r="C9" s="18" t="inlineStr">
        <is>
          <t>Score</t>
        </is>
      </c>
    </row>
    <row r="10" ht="15.75" customHeight="1" s="15">
      <c r="A10" s="18" t="inlineStr">
        <is>
          <t>A</t>
        </is>
      </c>
      <c r="B10" s="18" t="inlineStr">
        <is>
          <t>Level 1, Not needed</t>
        </is>
      </c>
      <c r="C10" s="18" t="n">
        <v>0</v>
      </c>
    </row>
    <row r="11" ht="15.75" customHeight="1" s="15">
      <c r="A11" s="18" t="inlineStr">
        <is>
          <t>B</t>
        </is>
      </c>
      <c r="B11" s="18" t="inlineStr">
        <is>
          <t>Level 2, Nice to have</t>
        </is>
      </c>
      <c r="C11" s="18" t="n">
        <v>1</v>
      </c>
    </row>
    <row r="12" ht="15.75" customHeight="1" s="15">
      <c r="A12" s="18" t="inlineStr">
        <is>
          <t>C</t>
        </is>
      </c>
      <c r="B12" s="18" t="inlineStr">
        <is>
          <t>Level 3, Important</t>
        </is>
      </c>
      <c r="C12" s="18" t="n">
        <v>2</v>
      </c>
    </row>
    <row r="13" ht="15.75" customHeight="1" s="15">
      <c r="A13" s="18" t="inlineStr">
        <is>
          <t>D</t>
        </is>
      </c>
      <c r="B13" s="18" t="inlineStr">
        <is>
          <t>Level 4, Essential</t>
        </is>
      </c>
      <c r="C13" s="18" t="n">
        <v>4</v>
      </c>
    </row>
    <row r="14" ht="15.75" customHeight="1" s="15">
      <c r="A14" s="18" t="n"/>
      <c r="B14" s="18" t="n"/>
      <c r="C14" s="18" t="n"/>
    </row>
    <row r="15" ht="15.75" customHeight="1" s="15">
      <c r="A15" s="18" t="inlineStr">
        <is>
          <t>Draft Baseline Weights</t>
        </is>
      </c>
      <c r="B15" s="18" t="inlineStr">
        <is>
          <t>Weight</t>
        </is>
      </c>
      <c r="C15" s="18" t="n"/>
    </row>
    <row r="16" ht="15.75" customHeight="1" s="15">
      <c r="A16" s="18" t="inlineStr">
        <is>
          <t>Q15.1 Nature</t>
        </is>
      </c>
      <c r="B16" s="19" t="n">
        <v>0.18</v>
      </c>
      <c r="C16" s="18" t="n"/>
    </row>
    <row r="17" ht="15.75" customHeight="1" s="15">
      <c r="A17" s="18" t="inlineStr">
        <is>
          <t>Q15.2 Near family in GW</t>
        </is>
      </c>
      <c r="B17" s="19" t="n">
        <v>0</v>
      </c>
      <c r="C17" s="18" t="n"/>
    </row>
    <row r="18" ht="15.75" customHeight="1" s="15">
      <c r="A18" s="18" t="inlineStr">
        <is>
          <t>Q15.3 Indian community</t>
        </is>
      </c>
      <c r="B18" s="19" t="n">
        <v>0.18</v>
      </c>
      <c r="C18" s="18" t="n"/>
    </row>
    <row r="19" ht="15.75" customHeight="1" s="15">
      <c r="A19" s="18" t="inlineStr">
        <is>
          <t>Q15.4 Beach</t>
        </is>
      </c>
      <c r="B19" s="19" t="n">
        <v>0.1</v>
      </c>
      <c r="C19" s="18" t="n"/>
    </row>
    <row r="20" ht="15.75" customHeight="1" s="15">
      <c r="A20" s="18" t="inlineStr">
        <is>
          <t>Q15.5 Hospital</t>
        </is>
      </c>
      <c r="B20" s="19" t="n">
        <v>0.15</v>
      </c>
      <c r="C20" s="18" t="n"/>
    </row>
    <row r="21" ht="15.75" customHeight="1" s="15">
      <c r="A21" s="18" t="inlineStr">
        <is>
          <t>Q15.6 Train/bus</t>
        </is>
      </c>
      <c r="B21" s="19" t="n">
        <v>0.15</v>
      </c>
      <c r="C21" s="18" t="n"/>
    </row>
    <row r="22" ht="15.75" customHeight="1" s="15">
      <c r="A22" s="18" t="inlineStr">
        <is>
          <t>Q15.7 Shops/doctor</t>
        </is>
      </c>
      <c r="B22" s="19" t="n">
        <v>0.09</v>
      </c>
      <c r="C22" s="18" t="n"/>
    </row>
    <row r="23" ht="15.75" customHeight="1" s="15">
      <c r="A23" s="18" t="inlineStr">
        <is>
          <t>Q15.8 Village character</t>
        </is>
      </c>
      <c r="B23" s="19" t="n">
        <v>0.07000000000000001</v>
      </c>
      <c r="C23" s="18" t="n"/>
    </row>
    <row r="24" ht="15.75" customHeight="1" s="15">
      <c r="A24" s="18" t="inlineStr">
        <is>
          <t>Q15.9 Price</t>
        </is>
      </c>
      <c r="B24" s="19" t="n">
        <v>0.08</v>
      </c>
      <c r="C24" s="18" t="n"/>
    </row>
    <row r="25" ht="15.75" customHeight="1" s="15">
      <c r="A25" s="18" t="inlineStr">
        <is>
          <t>Q15.10 Easy city trip</t>
        </is>
      </c>
      <c r="B25" s="19" t="n">
        <v>0</v>
      </c>
      <c r="C25" s="18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M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Timestamp</t>
        </is>
      </c>
      <c r="B1" s="16" t="inlineStr">
        <is>
          <t>[Q0] Whose answers are these?</t>
        </is>
      </c>
      <c r="C1" s="16" t="inlineStr">
        <is>
          <t>[Q1]</t>
        </is>
      </c>
      <c r="D1" s="16" t="inlineStr">
        <is>
          <t>[Q2]</t>
        </is>
      </c>
      <c r="E1" s="16" t="inlineStr">
        <is>
          <t>[Q3] Total budget</t>
        </is>
      </c>
      <c r="F1" s="16" t="inlineStr">
        <is>
          <t>[Q4] Max drive to GW</t>
        </is>
      </c>
      <c r="G1" s="16" t="inlineStr">
        <is>
          <t>[Q4b] Max drive to GW (if D)</t>
        </is>
      </c>
      <c r="H1" s="16" t="inlineStr">
        <is>
          <t>[Q5] Max drive to ED</t>
        </is>
      </c>
      <c r="I1" s="16" t="inlineStr">
        <is>
          <t>[Q6] Stairs</t>
        </is>
      </c>
      <c r="J1" s="16" t="inlineStr">
        <is>
          <t>[Q7] Garden</t>
        </is>
      </c>
      <c r="K1" s="16" t="inlineStr">
        <is>
          <t>[Q7a] Living arrangement</t>
        </is>
      </c>
      <c r="L1" s="16" t="inlineStr">
        <is>
          <t>[Q7b] Home size</t>
        </is>
      </c>
      <c r="M1" s="16" t="inlineStr">
        <is>
          <t>[Q8]</t>
        </is>
      </c>
      <c r="N1" s="16" t="inlineStr">
        <is>
          <t>[Q9]</t>
        </is>
      </c>
      <c r="O1" s="16" t="inlineStr">
        <is>
          <t>[Q10]</t>
        </is>
      </c>
      <c r="P1" s="16" t="inlineStr">
        <is>
          <t>[Q11]</t>
        </is>
      </c>
      <c r="Q1" s="16" t="inlineStr">
        <is>
          <t>[Q12]</t>
        </is>
      </c>
      <c r="R1" s="16" t="inlineStr">
        <is>
          <t>[Q13]</t>
        </is>
      </c>
      <c r="S1" s="16" t="inlineStr">
        <is>
          <t>[Q13b]</t>
        </is>
      </c>
      <c r="T1" s="16" t="inlineStr">
        <is>
          <t>[Q13c]</t>
        </is>
      </c>
      <c r="U1" s="16" t="inlineStr">
        <is>
          <t>[Q14]</t>
        </is>
      </c>
      <c r="V1" s="16" t="inlineStr">
        <is>
          <t>[Q15.1] Nature</t>
        </is>
      </c>
      <c r="W1" s="16" t="inlineStr">
        <is>
          <t>[Q15.2] Near family in GW</t>
        </is>
      </c>
      <c r="X1" s="16" t="inlineStr">
        <is>
          <t>[Q15.3] Indian community</t>
        </is>
      </c>
      <c r="Y1" s="16" t="inlineStr">
        <is>
          <t>[Q15.4] Beach</t>
        </is>
      </c>
      <c r="Z1" s="16" t="inlineStr">
        <is>
          <t>[Q15.5] Hospital</t>
        </is>
      </c>
      <c r="AA1" s="16" t="inlineStr">
        <is>
          <t>[Q15.6] Train/bus</t>
        </is>
      </c>
      <c r="AB1" s="16" t="inlineStr">
        <is>
          <t>[Q15.7] Shops/doctor</t>
        </is>
      </c>
      <c r="AC1" s="16" t="inlineStr">
        <is>
          <t>[Q15.8] Village character</t>
        </is>
      </c>
      <c r="AD1" s="16" t="inlineStr">
        <is>
          <t>[Q15.9] Price</t>
        </is>
      </c>
      <c r="AE1" s="16" t="inlineStr">
        <is>
          <t>[Q15.10] Easy city trip</t>
        </is>
      </c>
      <c r="AF1" s="16" t="inlineStr">
        <is>
          <t>[Q15 Notes]</t>
        </is>
      </c>
      <c r="AG1" s="16" t="inlineStr">
        <is>
          <t>[Q16]</t>
        </is>
      </c>
      <c r="AH1" s="16" t="inlineStr">
        <is>
          <t>[Q17]</t>
        </is>
      </c>
      <c r="AI1" s="16" t="inlineStr">
        <is>
          <t>[Q18]</t>
        </is>
      </c>
      <c r="AJ1" s="16" t="inlineStr">
        <is>
          <t>[Q19]</t>
        </is>
      </c>
      <c r="AK1" s="16" t="inlineStr">
        <is>
          <t>[Q20]</t>
        </is>
      </c>
      <c r="AL1" s="16" t="inlineStr">
        <is>
          <t>[Q21]</t>
        </is>
      </c>
      <c r="AM1" s="16" t="inlineStr">
        <is>
          <t>[Gap-form notes]</t>
        </is>
      </c>
    </row>
    <row r="2" ht="15.75" customHeight="1" s="15">
      <c r="A2" s="20" t="n">
        <v>0.375</v>
      </c>
      <c r="B2" s="16" t="inlineStr">
        <is>
          <t>Dad</t>
        </is>
      </c>
      <c r="E2" s="21" t="n">
        <v>1000000</v>
      </c>
      <c r="F2" s="16" t="inlineStr">
        <is>
          <t>C - 35m</t>
        </is>
      </c>
      <c r="H2" s="16" t="inlineStr">
        <is>
          <t>C - 30m</t>
        </is>
      </c>
      <c r="I2" s="16" t="inlineStr">
        <is>
          <t>B - Some stairs</t>
        </is>
      </c>
      <c r="J2" s="16" t="inlineStr">
        <is>
          <t>B - Small garden</t>
        </is>
      </c>
      <c r="O2" s="16" t="inlineStr">
        <is>
          <t>Nature</t>
        </is>
      </c>
      <c r="P2" s="16" t="inlineStr">
        <is>
          <t>Village character</t>
        </is>
      </c>
      <c r="Q2" s="16" t="inlineStr">
        <is>
          <t>Shops &amp; doctor</t>
        </is>
      </c>
      <c r="V2" s="16" t="inlineStr">
        <is>
          <t>C</t>
        </is>
      </c>
      <c r="W2" s="16" t="inlineStr">
        <is>
          <t>C</t>
        </is>
      </c>
      <c r="X2" s="16" t="inlineStr">
        <is>
          <t>C</t>
        </is>
      </c>
      <c r="Y2" s="16" t="inlineStr">
        <is>
          <t>C</t>
        </is>
      </c>
      <c r="Z2" s="16" t="inlineStr">
        <is>
          <t>C</t>
        </is>
      </c>
      <c r="AA2" s="16" t="inlineStr">
        <is>
          <t>C</t>
        </is>
      </c>
      <c r="AB2" s="16" t="inlineStr">
        <is>
          <t>C</t>
        </is>
      </c>
      <c r="AC2" s="16" t="inlineStr">
        <is>
          <t>C</t>
        </is>
      </c>
      <c r="AD2" s="16" t="inlineStr">
        <is>
          <t>D</t>
        </is>
      </c>
      <c r="AE2" s="16" t="inlineStr">
        <is>
          <t>D</t>
        </is>
      </c>
    </row>
    <row r="3" ht="15.75" customHeight="1" s="15">
      <c r="A3" s="20" t="n">
        <v>0.3854166666666667</v>
      </c>
      <c r="B3" s="16" t="inlineStr">
        <is>
          <t>Me</t>
        </is>
      </c>
      <c r="F3" s="16" t="inlineStr">
        <is>
          <t>B - 25m</t>
        </is>
      </c>
      <c r="H3" s="16" t="inlineStr">
        <is>
          <t>B - 20m</t>
        </is>
      </c>
      <c r="I3" s="16" t="inlineStr">
        <is>
          <t>A - None</t>
        </is>
      </c>
      <c r="J3" s="16" t="inlineStr">
        <is>
          <t>C - Courtyard</t>
        </is>
      </c>
      <c r="O3" s="16" t="inlineStr">
        <is>
          <t>Nature</t>
        </is>
      </c>
      <c r="P3" s="16" t="inlineStr">
        <is>
          <t>Village character</t>
        </is>
      </c>
      <c r="Q3" s="16" t="inlineStr">
        <is>
          <t>Shops &amp; doctor</t>
        </is>
      </c>
      <c r="V3" s="16" t="inlineStr">
        <is>
          <t>D</t>
        </is>
      </c>
      <c r="W3" s="16" t="inlineStr">
        <is>
          <t>D</t>
        </is>
      </c>
      <c r="X3" s="16" t="inlineStr">
        <is>
          <t>C</t>
        </is>
      </c>
      <c r="Y3" s="16" t="inlineStr">
        <is>
          <t>C</t>
        </is>
      </c>
      <c r="Z3" s="16" t="inlineStr">
        <is>
          <t>C</t>
        </is>
      </c>
      <c r="AA3" s="16" t="inlineStr">
        <is>
          <t>C</t>
        </is>
      </c>
      <c r="AB3" s="16" t="inlineStr">
        <is>
          <t>C</t>
        </is>
      </c>
      <c r="AC3" s="16" t="inlineStr">
        <is>
          <t>C</t>
        </is>
      </c>
      <c r="AD3" s="16" t="inlineStr">
        <is>
          <t>C</t>
        </is>
      </c>
      <c r="AE3" s="16" t="inlineStr">
        <is>
          <t>C</t>
        </is>
      </c>
    </row>
    <row r="4" ht="15.75" customHeight="1" s="15">
      <c r="A4" s="20" t="n">
        <v>0.3958333333333333</v>
      </c>
      <c r="B4" s="16" t="inlineStr">
        <is>
          <t>Mum</t>
        </is>
      </c>
      <c r="E4" s="21" t="n">
        <v>1250000</v>
      </c>
      <c r="F4" s="16" t="inlineStr">
        <is>
          <t>B - 25m</t>
        </is>
      </c>
      <c r="H4" s="16" t="inlineStr">
        <is>
          <t>B - 20m</t>
        </is>
      </c>
      <c r="I4" s="16" t="inlineStr">
        <is>
          <t>A - None at all (Single-level only)</t>
        </is>
      </c>
      <c r="J4" s="16" t="inlineStr">
        <is>
          <t>C - Courtyard</t>
        </is>
      </c>
      <c r="K4" s="16" t="inlineStr">
        <is>
          <t>D - Self-contained space</t>
        </is>
      </c>
      <c r="O4" s="16" t="inlineStr">
        <is>
          <t>Near family in GW</t>
        </is>
      </c>
      <c r="P4" s="16" t="inlineStr">
        <is>
          <t>Village character</t>
        </is>
      </c>
      <c r="Q4" s="16" t="inlineStr">
        <is>
          <t>Shops &amp; doctor</t>
        </is>
      </c>
      <c r="V4" s="16" t="inlineStr">
        <is>
          <t>D</t>
        </is>
      </c>
      <c r="W4" s="16" t="inlineStr">
        <is>
          <t>D</t>
        </is>
      </c>
      <c r="X4" s="16" t="inlineStr">
        <is>
          <t>D</t>
        </is>
      </c>
      <c r="Y4" s="16" t="inlineStr">
        <is>
          <t>C</t>
        </is>
      </c>
      <c r="Z4" s="16" t="inlineStr">
        <is>
          <t>C</t>
        </is>
      </c>
      <c r="AA4" s="16" t="inlineStr">
        <is>
          <t>C</t>
        </is>
      </c>
      <c r="AB4" s="16" t="inlineStr">
        <is>
          <t>C</t>
        </is>
      </c>
      <c r="AC4" s="16" t="inlineStr">
        <is>
          <t>C</t>
        </is>
      </c>
      <c r="AD4" s="16" t="inlineStr">
        <is>
          <t>C</t>
        </is>
      </c>
      <c r="AE4" s="16" t="inlineStr">
        <is>
          <t>C</t>
        </is>
      </c>
    </row>
    <row r="5" ht="15.75" customHeight="1" s="15">
      <c r="A5" s="20" t="n">
        <v>0.40625</v>
      </c>
      <c r="B5" s="16" t="inlineStr">
        <is>
          <t>Dad</t>
        </is>
      </c>
      <c r="E5" s="21" t="n">
        <v>1500000</v>
      </c>
      <c r="F5" s="16" t="inlineStr">
        <is>
          <t>D - 45 min or more</t>
        </is>
      </c>
      <c r="G5" s="16" t="n">
        <v>75</v>
      </c>
      <c r="H5" s="16" t="inlineStr">
        <is>
          <t>D - no limit</t>
        </is>
      </c>
      <c r="I5" s="16" t="inlineStr">
        <is>
          <t>C - Doesn't matter</t>
        </is>
      </c>
      <c r="J5" s="16" t="inlineStr">
        <is>
          <t>E - Depends on Garden</t>
        </is>
      </c>
      <c r="O5" s="16" t="inlineStr">
        <is>
          <t>Near family in GW</t>
        </is>
      </c>
      <c r="P5" s="16" t="inlineStr">
        <is>
          <t>Village character</t>
        </is>
      </c>
      <c r="Q5" s="16" t="inlineStr">
        <is>
          <t>Shops &amp; doctor</t>
        </is>
      </c>
      <c r="V5" s="16" t="inlineStr">
        <is>
          <t>D</t>
        </is>
      </c>
      <c r="W5" s="16" t="inlineStr">
        <is>
          <t>D</t>
        </is>
      </c>
      <c r="X5" s="16" t="inlineStr">
        <is>
          <t>C</t>
        </is>
      </c>
      <c r="Y5" s="16" t="inlineStr">
        <is>
          <t>C</t>
        </is>
      </c>
      <c r="Z5" s="16" t="inlineStr">
        <is>
          <t>C</t>
        </is>
      </c>
      <c r="AA5" s="16" t="inlineStr">
        <is>
          <t>C</t>
        </is>
      </c>
      <c r="AB5" s="16" t="inlineStr">
        <is>
          <t>C</t>
        </is>
      </c>
      <c r="AC5" s="16" t="inlineStr">
        <is>
          <t>C</t>
        </is>
      </c>
      <c r="AD5" s="16" t="inlineStr">
        <is>
          <t>C</t>
        </is>
      </c>
      <c r="AE5" s="16" t="inlineStr">
        <is>
          <t>C</t>
        </is>
      </c>
    </row>
    <row r="6">
      <c r="A6" s="29" t="n">
        <v>46322.08336805556</v>
      </c>
      <c r="B6" s="16" t="inlineStr">
        <is>
          <t>Dad</t>
        </is>
      </c>
      <c r="C6" s="22" t="inlineStr">
        <is>
          <t>A — Green views and quiet</t>
        </is>
      </c>
      <c r="D6" s="22" t="inlineStr">
        <is>
          <t>D — Looking after the house and land</t>
        </is>
      </c>
      <c r="E6" s="21" t="n">
        <v>1500000</v>
      </c>
      <c r="F6" s="16" t="inlineStr">
        <is>
          <t>D - 45 min or more</t>
        </is>
      </c>
      <c r="G6" s="16" t="n">
        <v>75</v>
      </c>
      <c r="H6" s="16" t="inlineStr">
        <is>
          <t>D - no limit</t>
        </is>
      </c>
      <c r="I6" s="16" t="inlineStr">
        <is>
          <t>C - Doesn't matter</t>
        </is>
      </c>
      <c r="J6" s="16" t="inlineStr">
        <is>
          <t>E - Depends on Garden</t>
        </is>
      </c>
      <c r="K6" s="22" t="inlineStr">
        <is>
          <t>A — Yes, living together</t>
        </is>
      </c>
      <c r="L6" s="22" t="inlineStr">
        <is>
          <t>E — Not decided / depends (see notes)</t>
        </is>
      </c>
      <c r="M6" s="22" t="inlineStr">
        <is>
          <t>C — Hills and forest all around</t>
        </is>
      </c>
      <c r="N6" s="22" t="inlineStr">
        <is>
          <t>B — Indian groceries and restaurants</t>
        </is>
      </c>
      <c r="O6" s="16" t="inlineStr">
        <is>
          <t>Near family in GW</t>
        </is>
      </c>
      <c r="P6" s="16" t="inlineStr">
        <is>
          <t>Village character</t>
        </is>
      </c>
      <c r="Q6" s="16" t="inlineStr">
        <is>
          <t>Shops &amp; doctor</t>
        </is>
      </c>
      <c r="S6" s="22" t="inlineStr">
        <is>
          <t>A — Scenic country or coastal town, 60–90 min from family</t>
        </is>
      </c>
      <c r="T6" s="22" t="inlineStr">
        <is>
          <t>A — Inland forest, hills and gardens</t>
        </is>
      </c>
      <c r="U6" s="22" t="inlineStr">
        <is>
          <t>A — Stay put and rely on taxis or family</t>
        </is>
      </c>
      <c r="V6" s="16" t="inlineStr">
        <is>
          <t>D</t>
        </is>
      </c>
      <c r="W6" s="16" t="inlineStr">
        <is>
          <t>D</t>
        </is>
      </c>
      <c r="X6" s="16" t="inlineStr">
        <is>
          <t>C</t>
        </is>
      </c>
      <c r="Y6" s="16" t="inlineStr">
        <is>
          <t>C</t>
        </is>
      </c>
      <c r="Z6" s="16" t="inlineStr">
        <is>
          <t>C</t>
        </is>
      </c>
      <c r="AA6" s="16" t="inlineStr">
        <is>
          <t>C</t>
        </is>
      </c>
      <c r="AB6" s="16" t="inlineStr">
        <is>
          <t>C</t>
        </is>
      </c>
      <c r="AC6" s="16" t="inlineStr">
        <is>
          <t>C</t>
        </is>
      </c>
      <c r="AD6" s="16" t="inlineStr">
        <is>
          <t>C</t>
        </is>
      </c>
      <c r="AE6" s="16" t="inlineStr">
        <is>
          <t>C</t>
        </is>
      </c>
      <c r="AM6" s="22" t="inlineStr">
        <is>
          <t>Merged: row 5 + gap form (Claude artifact) 2026-10-27T02:00:03Z UTC. Notes: Q3–Q7b: ideally D, or min 3 bedrooms</t>
        </is>
      </c>
    </row>
    <row r="7">
      <c r="A7" s="29" t="n">
        <v>46322.08483796296</v>
      </c>
      <c r="B7" s="16" t="inlineStr">
        <is>
          <t>Mum</t>
        </is>
      </c>
      <c r="C7" s="22" t="inlineStr">
        <is>
          <t>A — Green views and quiet</t>
        </is>
      </c>
      <c r="D7" s="22" t="inlineStr">
        <is>
          <t>E — None of these / depends (see notes)</t>
        </is>
      </c>
      <c r="E7" s="21" t="n">
        <v>1250000</v>
      </c>
      <c r="F7" s="16" t="inlineStr">
        <is>
          <t>B - 25m</t>
        </is>
      </c>
      <c r="H7" s="16" t="inlineStr">
        <is>
          <t>B - 20m</t>
        </is>
      </c>
      <c r="I7" s="16" t="inlineStr">
        <is>
          <t>A - None at all (Single-level only)</t>
        </is>
      </c>
      <c r="J7" s="16" t="inlineStr">
        <is>
          <t>C - Courtyard</t>
        </is>
      </c>
      <c r="K7" s="16" t="inlineStr">
        <is>
          <t>A — Yes, living together</t>
        </is>
      </c>
      <c r="L7" s="22" t="inlineStr">
        <is>
          <t>E — Not decided / depends (see notes)</t>
        </is>
      </c>
      <c r="M7" s="22" t="inlineStr">
        <is>
          <t>A — A green outlook from the house</t>
        </is>
      </c>
      <c r="N7" s="22" t="inlineStr">
        <is>
          <t>A — A church or place of worship nearby</t>
        </is>
      </c>
      <c r="O7" s="16" t="inlineStr">
        <is>
          <t>Near family in GW</t>
        </is>
      </c>
      <c r="P7" s="16" t="inlineStr">
        <is>
          <t>Village character</t>
        </is>
      </c>
      <c r="Q7" s="16" t="inlineStr">
        <is>
          <t>Shops &amp; doctor</t>
        </is>
      </c>
      <c r="S7" s="22" t="inlineStr">
        <is>
          <t>B — Leafy metropolitan suburb within 35 min of family</t>
        </is>
      </c>
      <c r="T7" s="22" t="inlineStr">
        <is>
          <t>B — Coastal or bay town with greenery and water walks</t>
        </is>
      </c>
      <c r="U7" s="22" t="inlineStr">
        <is>
          <t>A — Stay put and rely on taxis or family</t>
        </is>
      </c>
      <c r="V7" s="16" t="inlineStr">
        <is>
          <t>D</t>
        </is>
      </c>
      <c r="W7" s="16" t="inlineStr">
        <is>
          <t>D</t>
        </is>
      </c>
      <c r="X7" s="16" t="inlineStr">
        <is>
          <t>D</t>
        </is>
      </c>
      <c r="Y7" s="16" t="inlineStr">
        <is>
          <t>C</t>
        </is>
      </c>
      <c r="Z7" s="16" t="inlineStr">
        <is>
          <t>C</t>
        </is>
      </c>
      <c r="AA7" s="16" t="inlineStr">
        <is>
          <t>C</t>
        </is>
      </c>
      <c r="AB7" s="16" t="inlineStr">
        <is>
          <t>C</t>
        </is>
      </c>
      <c r="AC7" s="16" t="inlineStr">
        <is>
          <t>C</t>
        </is>
      </c>
      <c r="AD7" s="16" t="inlineStr">
        <is>
          <t>C</t>
        </is>
      </c>
      <c r="AE7" s="16" t="inlineStr">
        <is>
          <t>C</t>
        </is>
      </c>
      <c r="AM7" s="22" t="inlineStr">
        <is>
          <t>Merged: row 4 + gap form (Claude artifact) 2026-10-27T02:02:10Z UTC. Notes: Q1–Q2: B, D, i actually never wanted to live here, it was too remote and cut off. | Q3–Q7b: 3+ bedrooms, but ideally D</t>
        </is>
      </c>
    </row>
    <row r="8">
      <c r="A8" s="29" t="n">
        <v>46322.08685185185</v>
      </c>
      <c r="B8" s="16" t="inlineStr">
        <is>
          <t>Me</t>
        </is>
      </c>
      <c r="C8" s="22" t="inlineStr">
        <is>
          <t>B — Being near the beach</t>
        </is>
      </c>
      <c r="D8" s="22" t="inlineStr">
        <is>
          <t>B — Being far from family</t>
        </is>
      </c>
      <c r="F8" s="16" t="inlineStr">
        <is>
          <t>B - 25m</t>
        </is>
      </c>
      <c r="H8" s="16" t="inlineStr">
        <is>
          <t>B - 20m</t>
        </is>
      </c>
      <c r="I8" s="16" t="inlineStr">
        <is>
          <t>A - None</t>
        </is>
      </c>
      <c r="J8" s="16" t="inlineStr">
        <is>
          <t>C - Courtyard</t>
        </is>
      </c>
      <c r="K8" s="22" t="inlineStr">
        <is>
          <t>A — Yes, living together</t>
        </is>
      </c>
      <c r="L8" s="22" t="inlineStr">
        <is>
          <t>D — A self-contained space (granny flat or separate unit)</t>
        </is>
      </c>
      <c r="M8" s="22" t="inlineStr">
        <is>
          <t>E — None of these / depends (see notes)</t>
        </is>
      </c>
      <c r="N8" s="22" t="inlineStr">
        <is>
          <t>D — Friendly neighbours of any background</t>
        </is>
      </c>
      <c r="O8" s="16" t="inlineStr">
        <is>
          <t>Nature</t>
        </is>
      </c>
      <c r="P8" s="16" t="inlineStr">
        <is>
          <t>Village character</t>
        </is>
      </c>
      <c r="Q8" s="16" t="inlineStr">
        <is>
          <t>Shops &amp; doctor</t>
        </is>
      </c>
      <c r="S8" s="22" t="inlineStr">
        <is>
          <t>A — Scenic country or coastal town, 60–90 min from family</t>
        </is>
      </c>
      <c r="T8" s="22" t="inlineStr">
        <is>
          <t>B — Coastal or bay town with greenery and water walks</t>
        </is>
      </c>
      <c r="U8" s="22" t="inlineStr">
        <is>
          <t>C — Take the train or bus to family and the hospital</t>
        </is>
      </c>
      <c r="V8" s="16" t="inlineStr">
        <is>
          <t>D</t>
        </is>
      </c>
      <c r="W8" s="16" t="inlineStr">
        <is>
          <t>D</t>
        </is>
      </c>
      <c r="X8" s="16" t="inlineStr">
        <is>
          <t>C</t>
        </is>
      </c>
      <c r="Y8" s="16" t="inlineStr">
        <is>
          <t>C</t>
        </is>
      </c>
      <c r="Z8" s="16" t="inlineStr">
        <is>
          <t>C</t>
        </is>
      </c>
      <c r="AA8" s="16" t="inlineStr">
        <is>
          <t>C</t>
        </is>
      </c>
      <c r="AB8" s="16" t="inlineStr">
        <is>
          <t>C</t>
        </is>
      </c>
      <c r="AC8" s="16" t="inlineStr">
        <is>
          <t>C</t>
        </is>
      </c>
      <c r="AD8" s="16" t="inlineStr">
        <is>
          <t>C</t>
        </is>
      </c>
      <c r="AE8" s="16" t="inlineStr">
        <is>
          <t>C</t>
        </is>
      </c>
      <c r="AM8" s="22" t="inlineStr">
        <is>
          <t>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  <row r="9">
      <c r="A9" s="29" t="n">
        <v>46322.25537037037</v>
      </c>
      <c r="B9" s="16" t="inlineStr">
        <is>
          <t>Mum</t>
        </is>
      </c>
      <c r="C9" s="22" t="inlineStr">
        <is>
          <t>A — Green views and quiet</t>
        </is>
      </c>
      <c r="D9" s="22" t="inlineStr">
        <is>
          <t>E — None of these / depends (see notes)</t>
        </is>
      </c>
      <c r="E9" s="21" t="n">
        <v>1250000</v>
      </c>
      <c r="F9" s="16" t="inlineStr">
        <is>
          <t>B - 25m</t>
        </is>
      </c>
      <c r="H9" s="16" t="inlineStr">
        <is>
          <t>B - 20m</t>
        </is>
      </c>
      <c r="I9" s="16" t="inlineStr">
        <is>
          <t>A - None at all (Single-level only)</t>
        </is>
      </c>
      <c r="J9" s="16" t="inlineStr">
        <is>
          <t>C - Courtyard</t>
        </is>
      </c>
      <c r="K9" s="16" t="inlineStr">
        <is>
          <t>A — Yes, living together</t>
        </is>
      </c>
      <c r="L9" s="22" t="inlineStr">
        <is>
          <t>E — Not decided / depends (see notes)</t>
        </is>
      </c>
      <c r="M9" s="22" t="inlineStr">
        <is>
          <t>A — A green outlook from the house</t>
        </is>
      </c>
      <c r="N9" s="22" t="inlineStr">
        <is>
          <t>A — A church or place of worship nearby</t>
        </is>
      </c>
      <c r="O9" s="16" t="inlineStr">
        <is>
          <t>Near family in GW</t>
        </is>
      </c>
      <c r="P9" s="16" t="inlineStr">
        <is>
          <t>Village character</t>
        </is>
      </c>
      <c r="Q9" s="16" t="inlineStr">
        <is>
          <t>Shops &amp; doctor</t>
        </is>
      </c>
      <c r="R9" t="inlineStr">
        <is>
          <t>A — Indian shops and community in your own suburb, less green</t>
        </is>
      </c>
      <c r="S9" s="22" t="inlineStr">
        <is>
          <t>B — Leafy metropolitan suburb within 35 min of family</t>
        </is>
      </c>
      <c r="T9" s="22" t="inlineStr">
        <is>
          <t>B — Coastal or bay town with greenery and water walks</t>
        </is>
      </c>
      <c r="U9" s="22" t="inlineStr">
        <is>
          <t>A — Stay put and rely on taxis or family</t>
        </is>
      </c>
      <c r="V9" s="16" t="inlineStr">
        <is>
          <t>B</t>
        </is>
      </c>
      <c r="W9" s="16" t="inlineStr">
        <is>
          <t>C</t>
        </is>
      </c>
      <c r="X9" s="16" t="inlineStr">
        <is>
          <t>C</t>
        </is>
      </c>
      <c r="Y9" s="16" t="inlineStr">
        <is>
          <t>B</t>
        </is>
      </c>
      <c r="Z9" s="16" t="inlineStr">
        <is>
          <t>D</t>
        </is>
      </c>
      <c r="AA9" s="16" t="inlineStr">
        <is>
          <t>C</t>
        </is>
      </c>
      <c r="AB9" s="16" t="inlineStr">
        <is>
          <t>D</t>
        </is>
      </c>
      <c r="AC9" s="16" t="inlineStr">
        <is>
          <t>B</t>
        </is>
      </c>
      <c r="AD9" s="16" t="inlineStr">
        <is>
          <t>B</t>
        </is>
      </c>
      <c r="AE9" s="16" t="inlineStr">
        <is>
          <t>A</t>
        </is>
      </c>
      <c r="AM9" s="22" t="inlineStr">
        <is>
          <t>Round 2 (Q13, Q15) 2026-10-27T06:07:44Z merged onto row 7. | Merged: row 4 + gap form (Claude artifact) 2026-10-27T02:02:10Z UTC. Notes: Q1–Q2: B, D, i actually never wanted to live here, it was too remote and cut off. | Q3–Q7b: 3+ bedrooms, but ideally D</t>
        </is>
      </c>
    </row>
    <row r="10">
      <c r="A10" s="29" t="n">
        <v>46322.25597222222</v>
      </c>
      <c r="B10" s="16" t="inlineStr">
        <is>
          <t>Dad</t>
        </is>
      </c>
      <c r="C10" s="22" t="inlineStr">
        <is>
          <t>A — Green views and quiet</t>
        </is>
      </c>
      <c r="D10" s="22" t="inlineStr">
        <is>
          <t>D — Looking after the house and land</t>
        </is>
      </c>
      <c r="E10" s="21" t="n">
        <v>1500000</v>
      </c>
      <c r="F10" s="16" t="inlineStr">
        <is>
          <t>D - 45 min or more</t>
        </is>
      </c>
      <c r="G10" s="16" t="n">
        <v>75</v>
      </c>
      <c r="H10" s="16" t="inlineStr">
        <is>
          <t>D - no limit</t>
        </is>
      </c>
      <c r="I10" s="16" t="inlineStr">
        <is>
          <t>C - Doesn't matter</t>
        </is>
      </c>
      <c r="J10" s="16" t="inlineStr">
        <is>
          <t>E - Depends on Garden</t>
        </is>
      </c>
      <c r="K10" s="22" t="inlineStr">
        <is>
          <t>A — Yes, living together</t>
        </is>
      </c>
      <c r="L10" s="22" t="inlineStr">
        <is>
          <t>E — Not decided / depends (see notes)</t>
        </is>
      </c>
      <c r="M10" s="22" t="inlineStr">
        <is>
          <t>C — Hills and forest all around</t>
        </is>
      </c>
      <c r="N10" s="22" t="inlineStr">
        <is>
          <t>B — Indian groceries and restaurants</t>
        </is>
      </c>
      <c r="O10" s="16" t="inlineStr">
        <is>
          <t>Near family in GW</t>
        </is>
      </c>
      <c r="P10" s="16" t="inlineStr">
        <is>
          <t>Village character</t>
        </is>
      </c>
      <c r="Q10" s="16" t="inlineStr">
        <is>
          <t>Shops &amp; doctor</t>
        </is>
      </c>
      <c r="R10" t="inlineStr">
        <is>
          <t>B — Very green, community a 30-min drive away</t>
        </is>
      </c>
      <c r="S10" s="22" t="inlineStr">
        <is>
          <t>A — Scenic country or coastal town, 60–90 min from family</t>
        </is>
      </c>
      <c r="T10" s="22" t="inlineStr">
        <is>
          <t>A — Inland forest, hills and gardens</t>
        </is>
      </c>
      <c r="U10" s="22" t="inlineStr">
        <is>
          <t>A — Stay put and rely on taxis or family</t>
        </is>
      </c>
      <c r="V10" s="16" t="inlineStr">
        <is>
          <t>D</t>
        </is>
      </c>
      <c r="W10" s="16" t="inlineStr">
        <is>
          <t>B</t>
        </is>
      </c>
      <c r="X10" s="16" t="inlineStr">
        <is>
          <t>B</t>
        </is>
      </c>
      <c r="Y10" s="16" t="inlineStr">
        <is>
          <t>B</t>
        </is>
      </c>
      <c r="Z10" s="16" t="inlineStr">
        <is>
          <t>B</t>
        </is>
      </c>
      <c r="AA10" s="16" t="inlineStr">
        <is>
          <t>C</t>
        </is>
      </c>
      <c r="AB10" s="16" t="inlineStr">
        <is>
          <t>C</t>
        </is>
      </c>
      <c r="AC10" s="16" t="inlineStr">
        <is>
          <t>C</t>
        </is>
      </c>
      <c r="AD10" s="16" t="inlineStr">
        <is>
          <t>C</t>
        </is>
      </c>
      <c r="AE10" s="16" t="inlineStr">
        <is>
          <t>A</t>
        </is>
      </c>
      <c r="AM10" s="22" t="inlineStr">
        <is>
          <t>Round 2 (Q13, Q15) 2026-10-27T06:08:36Z merged onto row 6. | Merged: row 5 + gap form (Claude artifact) 2026-10-27T02:00:03Z UTC. Notes: Q3–Q7b: ideally D, or min 3 bedrooms</t>
        </is>
      </c>
    </row>
    <row r="11">
      <c r="A11" s="29" t="n">
        <v>46322.25747685185</v>
      </c>
      <c r="B11" s="16" t="inlineStr">
        <is>
          <t>Me</t>
        </is>
      </c>
      <c r="C11" s="22" t="inlineStr">
        <is>
          <t>B — Being near the beach</t>
        </is>
      </c>
      <c r="D11" s="22" t="inlineStr">
        <is>
          <t>B — Being far from family</t>
        </is>
      </c>
      <c r="F11" s="16" t="inlineStr">
        <is>
          <t>B - 25m</t>
        </is>
      </c>
      <c r="H11" s="16" t="inlineStr">
        <is>
          <t>B - 20m</t>
        </is>
      </c>
      <c r="I11" s="16" t="inlineStr">
        <is>
          <t>A - None</t>
        </is>
      </c>
      <c r="J11" s="16" t="inlineStr">
        <is>
          <t>C - Courtyard</t>
        </is>
      </c>
      <c r="K11" s="22" t="inlineStr">
        <is>
          <t>A — Yes, living together</t>
        </is>
      </c>
      <c r="L11" s="22" t="inlineStr">
        <is>
          <t>D — A self-contained space (granny flat or separate unit)</t>
        </is>
      </c>
      <c r="M11" s="22" t="inlineStr">
        <is>
          <t>E — None of these / depends (see notes)</t>
        </is>
      </c>
      <c r="N11" s="22" t="inlineStr">
        <is>
          <t>D — Friendly neighbours of any background</t>
        </is>
      </c>
      <c r="O11" s="16" t="inlineStr">
        <is>
          <t>Nature</t>
        </is>
      </c>
      <c r="P11" s="16" t="inlineStr">
        <is>
          <t>Village character</t>
        </is>
      </c>
      <c r="Q11" s="16" t="inlineStr">
        <is>
          <t>Shops &amp; doctor</t>
        </is>
      </c>
      <c r="R11" t="inlineStr">
        <is>
          <t>B — Very green, community a 30-min drive away</t>
        </is>
      </c>
      <c r="S11" s="22" t="inlineStr">
        <is>
          <t>A — Scenic country or coastal town, 60–90 min from family</t>
        </is>
      </c>
      <c r="T11" s="22" t="inlineStr">
        <is>
          <t>B — Coastal or bay town with greenery and water walks</t>
        </is>
      </c>
      <c r="U11" s="22" t="inlineStr">
        <is>
          <t>C — Take the train or bus to family and the hospital</t>
        </is>
      </c>
      <c r="V11" s="16" t="inlineStr">
        <is>
          <t>D</t>
        </is>
      </c>
      <c r="W11" s="16" t="inlineStr">
        <is>
          <t>A</t>
        </is>
      </c>
      <c r="X11" s="16" t="inlineStr">
        <is>
          <t>B</t>
        </is>
      </c>
      <c r="Y11" s="16" t="inlineStr">
        <is>
          <t>D</t>
        </is>
      </c>
      <c r="Z11" s="16" t="inlineStr">
        <is>
          <t>B</t>
        </is>
      </c>
      <c r="AA11" s="16" t="inlineStr">
        <is>
          <t>C</t>
        </is>
      </c>
      <c r="AB11" s="16" t="inlineStr">
        <is>
          <t>C</t>
        </is>
      </c>
      <c r="AC11" s="16" t="inlineStr">
        <is>
          <t>A</t>
        </is>
      </c>
      <c r="AD11" s="16" t="inlineStr">
        <is>
          <t>A</t>
        </is>
      </c>
      <c r="AE11" s="16" t="inlineStr">
        <is>
          <t>C</t>
        </is>
      </c>
      <c r="AM11" s="22" t="inlineStr">
        <is>
          <t>Round 2 (Q13, Q15) 2026-10-27T06:10:46Z merged onto row 8. | Merged: row 3 + gap form (Claude artifact) 2026-10-27T02:05:04Z UTC. Notes: Q8–Q9: When you picture nature near your new home | Q14: When I picture nature near new home, its a scenic viewpoint like from arthurs seat, of greenery and coast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Person</t>
        </is>
      </c>
      <c r="B1" s="16" t="inlineStr">
        <is>
          <t>Latest Row</t>
        </is>
      </c>
      <c r="C1" s="16" t="inlineStr">
        <is>
          <t>Q15 Essential Count</t>
        </is>
      </c>
    </row>
    <row r="2" ht="15.75" customHeight="1" s="15">
      <c r="A2" s="16" t="inlineStr">
        <is>
          <t>Mum</t>
        </is>
      </c>
      <c r="B2" s="16">
        <f>IFERROR(LOOKUP(2,1/(RawResponses!$B$2:$B$500="Mum"),ROW(RawResponses!$B$2:$B$500)),"")</f>
        <v/>
      </c>
      <c r="C2" s="16">
        <f t="array" ref="C2:C2">IF(COUNTIF(INDEX(RawResponses!$A:$AL, B2, 22):INDEX(RawResponses!$A:$AL, B2, 31), "D")&gt;Settings!$B$5, "Too many D's ("&amp;COUNTIF(INDEX(RawResponses!$A:$AL, B2, 22):INDEX(RawResponses!$A:$AL, B2, 31), "D")&amp;")", "OK ("&amp;COUNTIF(INDEX(RawResponses!$A:$AL, B2, 22):INDEX(RawResponses!$A:$AL, B2, 31), "D")&amp;")")</f>
        <v/>
      </c>
    </row>
    <row r="3" ht="15.75" customHeight="1" s="15">
      <c r="A3" s="16" t="inlineStr">
        <is>
          <t>Dad</t>
        </is>
      </c>
      <c r="B3" s="16">
        <f>IFERROR(LOOKUP(2,1/(RawResponses!$B$2:$B$500="Dad"),ROW(RawResponses!$B$2:$B$500)),"")</f>
        <v/>
      </c>
      <c r="C3" s="16">
        <f t="array" ref="C3:C3">IF(COUNTIF(INDEX(RawResponses!$A:$AL, B3, 22):INDEX(RawResponses!$A:$AL, B3, 31), "D")&gt;Settings!$B$5, "Too many D's ("&amp;COUNTIF(INDEX(RawResponses!$A:$AL, B3, 22):INDEX(RawResponses!$A:$AL, B3, 31), "D")&amp;")", "OK ("&amp;COUNTIF(INDEX(RawResponses!$A:$AL, B3, 22):INDEX(RawResponses!$A:$AL, B3, 31), "D")&amp;")")</f>
        <v/>
      </c>
    </row>
    <row r="4" ht="15.75" customHeight="1" s="15">
      <c r="A4" s="16" t="inlineStr">
        <is>
          <t>Me</t>
        </is>
      </c>
      <c r="B4" s="16">
        <f>IFERROR(LOOKUP(2,1/(RawResponses!$B$2:$B$500="Me"),ROW(RawResponses!$B$2:$B$500)),"")</f>
        <v/>
      </c>
      <c r="C4" s="16">
        <f t="array" ref="C4:C4">IF(COUNTIF(INDEX(RawResponses!$A:$AL, B4, 22):INDEX(RawResponses!$A:$AL, B4, 31), "D")&gt;Settings!$B$5, "Too many D's ("&amp;COUNTIF(INDEX(RawResponses!$A:$AL, B4, 22):INDEX(RawResponses!$A:$AL, B4, 31), "D")&amp;")", "OK ("&amp;COUNTIF(INDEX(RawResponses!$A:$AL, B4, 22):INDEX(RawResponses!$A:$AL, B4, 31), "D")&amp;")")</f>
        <v/>
      </c>
    </row>
    <row r="6" ht="15.75" customHeight="1" s="15">
      <c r="A6" s="16" t="inlineStr">
        <is>
          <t>Question ID</t>
        </is>
      </c>
      <c r="B6" s="16" t="inlineStr">
        <is>
          <t>Mum Answer</t>
        </is>
      </c>
      <c r="C6" s="16" t="inlineStr">
        <is>
          <t>Dad Answer</t>
        </is>
      </c>
      <c r="D6" s="16" t="inlineStr">
        <is>
          <t>Me Answer</t>
        </is>
      </c>
      <c r="E6" s="16" t="inlineStr">
        <is>
          <t>Mum Code</t>
        </is>
      </c>
      <c r="F6" s="16" t="inlineStr">
        <is>
          <t>Dad Code</t>
        </is>
      </c>
      <c r="G6" s="16" t="inlineStr">
        <is>
          <t>Me Code</t>
        </is>
      </c>
    </row>
    <row r="7" ht="15.75" customHeight="1" s="15">
      <c r="A7" s="16" t="inlineStr">
        <is>
          <t>[Q3] Total budget</t>
        </is>
      </c>
      <c r="B7" s="21">
        <f t="array" ref="B7:B7">INDEX(RawResponses!$A:$AL, $B$2, MATCH($A7&amp;"*", RawResponses!$A$1:$AL$1, 0))</f>
        <v/>
      </c>
      <c r="C7" s="21">
        <f t="array" ref="C7:C7">INDEX(RawResponses!$A:$AL, $B$3, MATCH($A7&amp;"*", RawResponses!$A$1:$AL$1, 0))</f>
        <v/>
      </c>
      <c r="D7" s="16">
        <f>INDEX(RawResponses!$A:$AL, $B$4, MATCH($A7&amp;"*", RawResponses!$A$1:$AL$1, 0))</f>
        <v/>
      </c>
      <c r="E7" s="16">
        <f>LEFT(B7, 1)</f>
        <v/>
      </c>
      <c r="F7" s="16">
        <f>LEFT(C7, 1)</f>
        <v/>
      </c>
      <c r="G7" s="16">
        <f>LEFT(D7, 1)</f>
        <v/>
      </c>
    </row>
    <row r="8" ht="15.75" customHeight="1" s="15">
      <c r="A8" s="16" t="inlineStr">
        <is>
          <t>[Q4] Max drive to GW</t>
        </is>
      </c>
      <c r="B8" s="16">
        <f t="array" ref="B8:B8">INDEX(RawResponses!$A:$AL, $B$2, MATCH($A8&amp;"*", RawResponses!$A$1:$AL$1, 0))</f>
        <v/>
      </c>
      <c r="C8" s="16">
        <f t="array" ref="C8:C8">INDEX(RawResponses!$A:$AL, $B$3, MATCH($A8&amp;"*", RawResponses!$A$1:$AL$1, 0))</f>
        <v/>
      </c>
      <c r="D8" s="16">
        <f t="array" ref="D8:D8">INDEX(RawResponses!$A:$AL, $B$4, MATCH($A8&amp;"*", RawResponses!$A$1:$AL$1, 0))</f>
        <v/>
      </c>
      <c r="E8" s="16">
        <f>LEFT(B8, 1)</f>
        <v/>
      </c>
      <c r="F8" s="16">
        <f>LEFT(C8, 1)</f>
        <v/>
      </c>
      <c r="G8" s="16">
        <f>LEFT(D8, 1)</f>
        <v/>
      </c>
    </row>
    <row r="9" ht="15.75" customHeight="1" s="15">
      <c r="A9" s="16" t="inlineStr">
        <is>
          <t>[Q4b] Max drive to GW (if D)</t>
        </is>
      </c>
      <c r="B9" s="16">
        <f>INDEX(RawResponses!$A:$AL, $B$2, MATCH($A9&amp;"*", RawResponses!$A$1:$AL$1, 0))</f>
        <v/>
      </c>
      <c r="C9" s="16">
        <f t="array" ref="C9:C9">INDEX(RawResponses!$A:$AL, $B$3, MATCH($A9&amp;"*", RawResponses!$A$1:$AL$1, 0))</f>
        <v/>
      </c>
      <c r="D9" s="16">
        <f>INDEX(RawResponses!$A:$AL, $B$4, MATCH($A9&amp;"*", RawResponses!$A$1:$AL$1, 0))</f>
        <v/>
      </c>
      <c r="E9" s="16">
        <f>IF(B9="","",B9)</f>
        <v/>
      </c>
      <c r="F9" s="16">
        <f>IF(C9="","",C9)</f>
        <v/>
      </c>
      <c r="G9" s="16">
        <f>IF(D9="","",D9)</f>
        <v/>
      </c>
    </row>
    <row r="10" ht="15.75" customHeight="1" s="15">
      <c r="A10" s="16" t="inlineStr">
        <is>
          <t>[Q5] Max drive to ED</t>
        </is>
      </c>
      <c r="B10" s="16">
        <f t="array" ref="B10:B10">INDEX(RawResponses!$A:$AL, $B$2, MATCH($A10&amp;"*", RawResponses!$A$1:$AL$1, 0))</f>
        <v/>
      </c>
      <c r="C10" s="16">
        <f t="array" ref="C10:C10">INDEX(RawResponses!$A:$AL, $B$3, MATCH($A10&amp;"*", RawResponses!$A$1:$AL$1, 0))</f>
        <v/>
      </c>
      <c r="D10" s="16">
        <f t="array" ref="D10:D10">INDEX(RawResponses!$A:$AL, $B$4, MATCH($A10&amp;"*", RawResponses!$A$1:$AL$1, 0))</f>
        <v/>
      </c>
      <c r="E10" s="16">
        <f>LEFT(B10, 1)</f>
        <v/>
      </c>
      <c r="F10" s="16">
        <f>LEFT(C10, 1)</f>
        <v/>
      </c>
      <c r="G10" s="16">
        <f>LEFT(D10, 1)</f>
        <v/>
      </c>
    </row>
    <row r="11" ht="15.75" customHeight="1" s="15">
      <c r="A11" s="16" t="inlineStr">
        <is>
          <t>[Q6] Stairs</t>
        </is>
      </c>
      <c r="B11" s="16">
        <f t="array" ref="B11:B11">INDEX(RawResponses!$A:$AL, $B$2, MATCH($A11&amp;"*", RawResponses!$A$1:$AL$1, 0))</f>
        <v/>
      </c>
      <c r="C11" s="16">
        <f t="array" ref="C11:C11">INDEX(RawResponses!$A:$AL, $B$3, MATCH($A11&amp;"*", RawResponses!$A$1:$AL$1, 0))</f>
        <v/>
      </c>
      <c r="D11" s="16">
        <f t="array" ref="D11:D11">INDEX(RawResponses!$A:$AL, $B$4, MATCH($A11&amp;"*", RawResponses!$A$1:$AL$1, 0))</f>
        <v/>
      </c>
      <c r="E11" s="16">
        <f>LEFT(B11, 1)</f>
        <v/>
      </c>
      <c r="F11" s="16">
        <f>LEFT(C11, 1)</f>
        <v/>
      </c>
      <c r="G11" s="16">
        <f>LEFT(D11, 1)</f>
        <v/>
      </c>
    </row>
    <row r="12" ht="15.75" customHeight="1" s="15">
      <c r="A12" s="16" t="inlineStr">
        <is>
          <t>[Q7] Garden</t>
        </is>
      </c>
      <c r="B12" s="16">
        <f t="array" ref="B12:B12">INDEX(RawResponses!$A:$AL, $B$2, MATCH($A12&amp;"*", RawResponses!$A$1:$AL$1, 0))</f>
        <v/>
      </c>
      <c r="C12" s="16">
        <f t="array" ref="C12:C12">INDEX(RawResponses!$A:$AL, $B$3, MATCH($A12&amp;"*", RawResponses!$A$1:$AL$1, 0))</f>
        <v/>
      </c>
      <c r="D12" s="16">
        <f t="array" ref="D12:D12">INDEX(RawResponses!$A:$AL, $B$4, MATCH($A12&amp;"*", RawResponses!$A$1:$AL$1, 0))</f>
        <v/>
      </c>
      <c r="E12" s="16">
        <f>LEFT(B12, 1)</f>
        <v/>
      </c>
      <c r="F12" s="16">
        <f>LEFT(C12, 1)</f>
        <v/>
      </c>
      <c r="G12" s="16">
        <f>LEFT(D12, 1)</f>
        <v/>
      </c>
    </row>
    <row r="13" ht="15.75" customHeight="1" s="15">
      <c r="A13" s="16" t="inlineStr">
        <is>
          <t>[Q7a] Living arrangement</t>
        </is>
      </c>
      <c r="B13" s="16">
        <f t="array" ref="B13:B13">INDEX(RawResponses!$A:$AL, $B$2, MATCH($A13&amp;"*", RawResponses!$A$1:$AL$1, 0))</f>
        <v/>
      </c>
      <c r="C13" s="16">
        <f>INDEX(RawResponses!$A:$AL, $B$3, MATCH($A13&amp;"*", RawResponses!$A$1:$AL$1, 0))</f>
        <v/>
      </c>
      <c r="D13" s="16">
        <f>INDEX(RawResponses!$A:$AL, $B$4, MATCH($A13&amp;"*", RawResponses!$A$1:$AL$1, 0))</f>
        <v/>
      </c>
      <c r="E13" s="16">
        <f>LEFT(B13, 1)</f>
        <v/>
      </c>
      <c r="F13" s="16">
        <f>LEFT(C13, 1)</f>
        <v/>
      </c>
      <c r="G13" s="16">
        <f>LEFT(D13, 1)</f>
        <v/>
      </c>
    </row>
    <row r="14" ht="15.75" customHeight="1" s="15">
      <c r="A14" s="16" t="inlineStr">
        <is>
          <t>[Q7b] Home size</t>
        </is>
      </c>
      <c r="B14" s="16">
        <f>INDEX(RawResponses!$A:$AL, $B$2, MATCH($A14&amp;"*", RawResponses!$A$1:$AL$1, 0))</f>
        <v/>
      </c>
      <c r="C14" s="16">
        <f>INDEX(RawResponses!$A:$AL, $B$3, MATCH($A14&amp;"*", RawResponses!$A$1:$AL$1, 0))</f>
        <v/>
      </c>
      <c r="D14" s="16">
        <f>INDEX(RawResponses!$A:$AL, $B$4, MATCH($A14&amp;"*", RawResponses!$A$1:$AL$1, 0))</f>
        <v/>
      </c>
      <c r="E14" s="16">
        <f>LEFT(B14, 1)</f>
        <v/>
      </c>
      <c r="F14" s="16">
        <f>LEFT(C14, 1)</f>
        <v/>
      </c>
      <c r="G14" s="16">
        <f>LEFT(D14, 1)</f>
        <v/>
      </c>
    </row>
    <row r="15" ht="15.75" customHeight="1" s="15">
      <c r="A15" s="16" t="inlineStr">
        <is>
          <t>[Q10]</t>
        </is>
      </c>
      <c r="B15" s="16">
        <f t="array" ref="B15:B15">INDEX(RawResponses!$A:$AL, $B$2, MATCH($A15&amp;"*", RawResponses!$A$1:$AL$1, 0))</f>
        <v/>
      </c>
      <c r="C15" s="16">
        <f t="array" ref="C15:C15">INDEX(RawResponses!$A:$AL, $B$3, MATCH($A15&amp;"*", RawResponses!$A$1:$AL$1, 0))</f>
        <v/>
      </c>
      <c r="D15" s="16">
        <f t="array" ref="D15:D15">INDEX(RawResponses!$A:$AL, $B$4, MATCH($A15&amp;"*", RawResponses!$A$1:$AL$1, 0))</f>
        <v/>
      </c>
      <c r="E15" s="16">
        <f>LEFT(B15, 1)</f>
        <v/>
      </c>
      <c r="F15" s="16">
        <f>LEFT(C15, 1)</f>
        <v/>
      </c>
      <c r="G15" s="16">
        <f>LEFT(D15, 1)</f>
        <v/>
      </c>
    </row>
    <row r="16" ht="15.75" customHeight="1" s="15">
      <c r="A16" s="16" t="inlineStr">
        <is>
          <t>[Q11]</t>
        </is>
      </c>
      <c r="B16" s="16">
        <f t="array" ref="B16:B16">INDEX(RawResponses!$A:$AL, $B$2, MATCH($A16&amp;"*", RawResponses!$A$1:$AL$1, 0))</f>
        <v/>
      </c>
      <c r="C16" s="16">
        <f t="array" ref="C16:C16">INDEX(RawResponses!$A:$AL, $B$3, MATCH($A16&amp;"*", RawResponses!$A$1:$AL$1, 0))</f>
        <v/>
      </c>
      <c r="D16" s="16">
        <f t="array" ref="D16:D16">INDEX(RawResponses!$A:$AL, $B$4, MATCH($A16&amp;"*", RawResponses!$A$1:$AL$1, 0))</f>
        <v/>
      </c>
      <c r="E16" s="16">
        <f>LEFT(B16, 1)</f>
        <v/>
      </c>
      <c r="F16" s="16">
        <f>LEFT(C16, 1)</f>
        <v/>
      </c>
      <c r="G16" s="16">
        <f>LEFT(D16, 1)</f>
        <v/>
      </c>
    </row>
    <row r="17" ht="15.75" customHeight="1" s="15">
      <c r="A17" s="16" t="inlineStr">
        <is>
          <t>[Q12]</t>
        </is>
      </c>
      <c r="B17" s="16">
        <f t="array" ref="B17:B17">INDEX(RawResponses!$A:$AL, $B$2, MATCH($A17&amp;"*", RawResponses!$A$1:$AL$1, 0))</f>
        <v/>
      </c>
      <c r="C17" s="16">
        <f t="array" ref="C17:C17">INDEX(RawResponses!$A:$AL, $B$3, MATCH($A17&amp;"*", RawResponses!$A$1:$AL$1, 0))</f>
        <v/>
      </c>
      <c r="D17" s="16">
        <f t="array" ref="D17:D17">INDEX(RawResponses!$A:$AL, $B$4, MATCH($A17&amp;"*", RawResponses!$A$1:$AL$1, 0))</f>
        <v/>
      </c>
      <c r="E17" s="16">
        <f>LEFT(B17, 1)</f>
        <v/>
      </c>
      <c r="F17" s="16">
        <f>LEFT(C17, 1)</f>
        <v/>
      </c>
      <c r="G17" s="16">
        <f>LEFT(D17, 1)</f>
        <v/>
      </c>
    </row>
    <row r="18" ht="15.75" customHeight="1" s="15">
      <c r="A18" s="16" t="inlineStr">
        <is>
          <t>[Q13]</t>
        </is>
      </c>
      <c r="B18" s="16">
        <f>INDEX(RawResponses!$A:$AL, $B$2, MATCH($A18&amp;"*", RawResponses!$A$1:$AL$1, 0))</f>
        <v/>
      </c>
      <c r="C18" s="16">
        <f>INDEX(RawResponses!$A:$AL, $B$3, MATCH($A18&amp;"*", RawResponses!$A$1:$AL$1, 0))</f>
        <v/>
      </c>
      <c r="D18" s="16">
        <f>INDEX(RawResponses!$A:$AL, $B$4, MATCH($A18&amp;"*", RawResponses!$A$1:$AL$1, 0))</f>
        <v/>
      </c>
      <c r="E18" s="16">
        <f>LEFT(B18, 1)</f>
        <v/>
      </c>
      <c r="F18" s="16">
        <f>LEFT(C18, 1)</f>
        <v/>
      </c>
      <c r="G18" s="16">
        <f>LEFT(D18, 1)</f>
        <v/>
      </c>
    </row>
    <row r="19" ht="15.75" customHeight="1" s="15">
      <c r="A19" s="16" t="inlineStr">
        <is>
          <t>[Q15.1] Nature</t>
        </is>
      </c>
      <c r="B19" s="16">
        <f t="array" ref="B19:B19">INDEX(RawResponses!$A:$AL, $B$2, MATCH($A19&amp;"*", RawResponses!$A$1:$AL$1, 0))</f>
        <v/>
      </c>
      <c r="C19" s="16">
        <f t="array" ref="C19:C19">INDEX(RawResponses!$A:$AL, $B$3, MATCH($A19&amp;"*", RawResponses!$A$1:$AL$1, 0))</f>
        <v/>
      </c>
      <c r="D19" s="16">
        <f t="array" ref="D19:D19">INDEX(RawResponses!$A:$AL, $B$4, MATCH($A19&amp;"*", RawResponses!$A$1:$AL$1, 0))</f>
        <v/>
      </c>
      <c r="E19" s="16">
        <f>LEFT(B19, 1)</f>
        <v/>
      </c>
      <c r="F19" s="16">
        <f>LEFT(C19, 1)</f>
        <v/>
      </c>
      <c r="G19" s="16">
        <f>LEFT(D19, 1)</f>
        <v/>
      </c>
    </row>
    <row r="20" ht="15.75" customHeight="1" s="15">
      <c r="A20" s="16" t="inlineStr">
        <is>
          <t>[Q15.2] Near family in GW</t>
        </is>
      </c>
      <c r="B20" s="16">
        <f t="array" ref="B20:B20">INDEX(RawResponses!$A:$AL, $B$2, MATCH($A20&amp;"*", RawResponses!$A$1:$AL$1, 0))</f>
        <v/>
      </c>
      <c r="C20" s="16">
        <f t="array" ref="C20:C20">INDEX(RawResponses!$A:$AL, $B$3, MATCH($A20&amp;"*", RawResponses!$A$1:$AL$1, 0))</f>
        <v/>
      </c>
      <c r="D20" s="16">
        <f t="array" ref="D20:D20">INDEX(RawResponses!$A:$AL, $B$4, MATCH($A20&amp;"*", RawResponses!$A$1:$AL$1, 0))</f>
        <v/>
      </c>
      <c r="E20" s="16">
        <f>LEFT(B20, 1)</f>
        <v/>
      </c>
      <c r="F20" s="16">
        <f>LEFT(C20, 1)</f>
        <v/>
      </c>
      <c r="G20" s="16">
        <f>LEFT(D20, 1)</f>
        <v/>
      </c>
    </row>
    <row r="21" ht="15.75" customHeight="1" s="15">
      <c r="A21" s="16" t="inlineStr">
        <is>
          <t>[Q15.3] Indian community</t>
        </is>
      </c>
      <c r="B21" s="16">
        <f t="array" ref="B21:B21">INDEX(RawResponses!$A:$AL, $B$2, MATCH($A21&amp;"*", RawResponses!$A$1:$AL$1, 0))</f>
        <v/>
      </c>
      <c r="C21" s="16">
        <f t="array" ref="C21:C21">INDEX(RawResponses!$A:$AL, $B$3, MATCH($A21&amp;"*", RawResponses!$A$1:$AL$1, 0))</f>
        <v/>
      </c>
      <c r="D21" s="16">
        <f t="array" ref="D21:D21">INDEX(RawResponses!$A:$AL, $B$4, MATCH($A21&amp;"*", RawResponses!$A$1:$AL$1, 0))</f>
        <v/>
      </c>
      <c r="E21" s="16">
        <f>LEFT(B21, 1)</f>
        <v/>
      </c>
      <c r="F21" s="16">
        <f>LEFT(C21, 1)</f>
        <v/>
      </c>
      <c r="G21" s="16">
        <f>LEFT(D21, 1)</f>
        <v/>
      </c>
    </row>
    <row r="22" ht="15.75" customHeight="1" s="15">
      <c r="A22" s="16" t="inlineStr">
        <is>
          <t>[Q15.4] Beach</t>
        </is>
      </c>
      <c r="B22" s="16">
        <f t="array" ref="B22:B22">INDEX(RawResponses!$A:$AL, $B$2, MATCH($A22&amp;"*", RawResponses!$A$1:$AL$1, 0))</f>
        <v/>
      </c>
      <c r="C22" s="16">
        <f t="array" ref="C22:C22">INDEX(RawResponses!$A:$AL, $B$3, MATCH($A22&amp;"*", RawResponses!$A$1:$AL$1, 0))</f>
        <v/>
      </c>
      <c r="D22" s="16">
        <f t="array" ref="D22:D22">INDEX(RawResponses!$A:$AL, $B$4, MATCH($A22&amp;"*", RawResponses!$A$1:$AL$1, 0))</f>
        <v/>
      </c>
      <c r="E22" s="16">
        <f>LEFT(B22, 1)</f>
        <v/>
      </c>
      <c r="F22" s="16">
        <f>LEFT(C22, 1)</f>
        <v/>
      </c>
      <c r="G22" s="16">
        <f>LEFT(D22, 1)</f>
        <v/>
      </c>
    </row>
    <row r="23" ht="15.75" customHeight="1" s="15">
      <c r="A23" s="16" t="inlineStr">
        <is>
          <t>[Q15.5] Hospital</t>
        </is>
      </c>
      <c r="B23" s="16">
        <f t="array" ref="B23:B23">INDEX(RawResponses!$A:$AL, $B$2, MATCH($A23&amp;"*", RawResponses!$A$1:$AL$1, 0))</f>
        <v/>
      </c>
      <c r="C23" s="16">
        <f t="array" ref="C23:C23">INDEX(RawResponses!$A:$AL, $B$3, MATCH($A23&amp;"*", RawResponses!$A$1:$AL$1, 0))</f>
        <v/>
      </c>
      <c r="D23" s="16">
        <f t="array" ref="D23:D23">INDEX(RawResponses!$A:$AL, $B$4, MATCH($A23&amp;"*", RawResponses!$A$1:$AL$1, 0))</f>
        <v/>
      </c>
      <c r="E23" s="16">
        <f>LEFT(B23, 1)</f>
        <v/>
      </c>
      <c r="F23" s="16">
        <f>LEFT(C23, 1)</f>
        <v/>
      </c>
      <c r="G23" s="16">
        <f>LEFT(D23, 1)</f>
        <v/>
      </c>
    </row>
    <row r="24" ht="15.75" customHeight="1" s="15">
      <c r="A24" s="16" t="inlineStr">
        <is>
          <t>[Q15.6] Train/bus</t>
        </is>
      </c>
      <c r="B24" s="16">
        <f t="array" ref="B24:B24">INDEX(RawResponses!$A:$AL, $B$2, MATCH($A24&amp;"*", RawResponses!$A$1:$AL$1, 0))</f>
        <v/>
      </c>
      <c r="C24" s="16">
        <f t="array" ref="C24:C24">INDEX(RawResponses!$A:$AL, $B$3, MATCH($A24&amp;"*", RawResponses!$A$1:$AL$1, 0))</f>
        <v/>
      </c>
      <c r="D24" s="16">
        <f t="array" ref="D24:D24">INDEX(RawResponses!$A:$AL, $B$4, MATCH($A24&amp;"*", RawResponses!$A$1:$AL$1, 0))</f>
        <v/>
      </c>
      <c r="E24" s="16">
        <f>LEFT(B24, 1)</f>
        <v/>
      </c>
      <c r="F24" s="16">
        <f>LEFT(C24, 1)</f>
        <v/>
      </c>
      <c r="G24" s="16">
        <f>LEFT(D24, 1)</f>
        <v/>
      </c>
    </row>
    <row r="25" ht="15.75" customHeight="1" s="15">
      <c r="A25" s="16" t="inlineStr">
        <is>
          <t>[Q15.7] Shops/doctor</t>
        </is>
      </c>
      <c r="B25" s="16">
        <f t="array" ref="B25:B25">INDEX(RawResponses!$A:$AL, $B$2, MATCH($A25&amp;"*", RawResponses!$A$1:$AL$1, 0))</f>
        <v/>
      </c>
      <c r="C25" s="16">
        <f t="array" ref="C25:C25">INDEX(RawResponses!$A:$AL, $B$3, MATCH($A25&amp;"*", RawResponses!$A$1:$AL$1, 0))</f>
        <v/>
      </c>
      <c r="D25" s="16">
        <f t="array" ref="D25:D25">INDEX(RawResponses!$A:$AL, $B$4, MATCH($A25&amp;"*", RawResponses!$A$1:$AL$1, 0))</f>
        <v/>
      </c>
      <c r="E25" s="16">
        <f>LEFT(B25, 1)</f>
        <v/>
      </c>
      <c r="F25" s="16">
        <f>LEFT(C25, 1)</f>
        <v/>
      </c>
      <c r="G25" s="16">
        <f>LEFT(D25, 1)</f>
        <v/>
      </c>
    </row>
    <row r="26" ht="15.75" customHeight="1" s="15">
      <c r="A26" s="16" t="inlineStr">
        <is>
          <t>[Q15.8] Village character</t>
        </is>
      </c>
      <c r="B26" s="16">
        <f t="array" ref="B26:B26">INDEX(RawResponses!$A:$AL, $B$2, MATCH($A26&amp;"*", RawResponses!$A$1:$AL$1, 0))</f>
        <v/>
      </c>
      <c r="C26" s="16">
        <f t="array" ref="C26:C26">INDEX(RawResponses!$A:$AL, $B$3, MATCH($A26&amp;"*", RawResponses!$A$1:$AL$1, 0))</f>
        <v/>
      </c>
      <c r="D26" s="16">
        <f t="array" ref="D26:D26">INDEX(RawResponses!$A:$AL, $B$4, MATCH($A26&amp;"*", RawResponses!$A$1:$AL$1, 0))</f>
        <v/>
      </c>
      <c r="E26" s="16">
        <f>LEFT(B26, 1)</f>
        <v/>
      </c>
      <c r="F26" s="16">
        <f>LEFT(C26, 1)</f>
        <v/>
      </c>
      <c r="G26" s="16">
        <f>LEFT(D26, 1)</f>
        <v/>
      </c>
    </row>
    <row r="27" ht="15.75" customHeight="1" s="15">
      <c r="A27" s="16" t="inlineStr">
        <is>
          <t>[Q15.9] Price</t>
        </is>
      </c>
      <c r="B27" s="16">
        <f t="array" ref="B27:B27">INDEX(RawResponses!$A:$AL, $B$2, MATCH($A27&amp;"*", RawResponses!$A$1:$AL$1, 0))</f>
        <v/>
      </c>
      <c r="C27" s="16">
        <f t="array" ref="C27:C27">INDEX(RawResponses!$A:$AL, $B$3, MATCH($A27&amp;"*", RawResponses!$A$1:$AL$1, 0))</f>
        <v/>
      </c>
      <c r="D27" s="16">
        <f t="array" ref="D27:D27">INDEX(RawResponses!$A:$AL, $B$4, MATCH($A27&amp;"*", RawResponses!$A$1:$AL$1, 0))</f>
        <v/>
      </c>
      <c r="E27" s="16">
        <f>LEFT(B27, 1)</f>
        <v/>
      </c>
      <c r="F27" s="16">
        <f>LEFT(C27, 1)</f>
        <v/>
      </c>
      <c r="G27" s="16">
        <f>LEFT(D27, 1)</f>
        <v/>
      </c>
    </row>
    <row r="28" ht="15.75" customHeight="1" s="15">
      <c r="A28" s="16" t="inlineStr">
        <is>
          <t>[Q15.10] Easy city trip</t>
        </is>
      </c>
      <c r="B28" s="16">
        <f t="array" ref="B28:B28">INDEX(RawResponses!$A:$AL, $B$2, MATCH($A28&amp;"*", RawResponses!$A$1:$AL$1, 0))</f>
        <v/>
      </c>
      <c r="C28" s="16">
        <f t="array" ref="C28:C28">INDEX(RawResponses!$A:$AL, $B$3, MATCH($A28&amp;"*", RawResponses!$A$1:$AL$1, 0))</f>
        <v/>
      </c>
      <c r="D28" s="16">
        <f t="array" ref="D28:D28">INDEX(RawResponses!$A:$AL, $B$4, MATCH($A28&amp;"*", RawResponses!$A$1:$AL$1, 0))</f>
        <v/>
      </c>
      <c r="E28" s="16">
        <f>LEFT(B28, 1)</f>
        <v/>
      </c>
      <c r="F28" s="16">
        <f>LEFT(C28, 1)</f>
        <v/>
      </c>
      <c r="G28" s="16">
        <f>LEFT(D28, 1)</f>
        <v/>
      </c>
    </row>
    <row r="30">
      <c r="A30" s="16" t="inlineStr">
        <is>
          <t>Context answers (shown for discussion; not weighted)</t>
        </is>
      </c>
    </row>
    <row r="31">
      <c r="A31" s="16" t="inlineStr">
        <is>
          <t>Question ID</t>
        </is>
      </c>
      <c r="B31" s="16" t="inlineStr">
        <is>
          <t>Mum Answer</t>
        </is>
      </c>
      <c r="C31" s="16" t="inlineStr">
        <is>
          <t>Dad Answer</t>
        </is>
      </c>
      <c r="D31" s="16" t="inlineStr">
        <is>
          <t>Me Answer</t>
        </is>
      </c>
      <c r="E31" s="16" t="inlineStr">
        <is>
          <t>Mum Code</t>
        </is>
      </c>
      <c r="F31" s="16" t="inlineStr">
        <is>
          <t>Dad Code</t>
        </is>
      </c>
      <c r="G31" s="16" t="inlineStr">
        <is>
          <t>Me Code</t>
        </is>
      </c>
    </row>
    <row r="32">
      <c r="A32" s="16" t="inlineStr">
        <is>
          <t>[Q1]</t>
        </is>
      </c>
      <c r="B32" s="16">
        <f>IFERROR(IF(INDEX(RawResponses!$A:$AM,$B$2,MATCH($A32&amp;"*",RawResponses!$A$1:$AM$1,0))="","",INDEX(RawResponses!$A:$AM,$B$2,MATCH($A32&amp;"*",RawResponses!$A$1:$AM$1,0))),"")</f>
        <v/>
      </c>
      <c r="C32" s="16">
        <f>IFERROR(IF(INDEX(RawResponses!$A:$AM,$B$3,MATCH($A32&amp;"*",RawResponses!$A$1:$AM$1,0))="","",INDEX(RawResponses!$A:$AM,$B$3,MATCH($A32&amp;"*",RawResponses!$A$1:$AM$1,0))),"")</f>
        <v/>
      </c>
      <c r="D32" s="16">
        <f>IFERROR(IF(INDEX(RawResponses!$A:$AM,$B$4,MATCH($A32&amp;"*",RawResponses!$A$1:$AM$1,0))="","",INDEX(RawResponses!$A:$AM,$B$4,MATCH($A32&amp;"*",RawResponses!$A$1:$AM$1,0))),"")</f>
        <v/>
      </c>
      <c r="E32" s="16">
        <f>LEFT(B32,1)</f>
        <v/>
      </c>
      <c r="F32" s="16">
        <f>LEFT(C32,1)</f>
        <v/>
      </c>
      <c r="G32" s="16">
        <f>LEFT(D32,1)</f>
        <v/>
      </c>
    </row>
    <row r="33">
      <c r="A33" s="16" t="inlineStr">
        <is>
          <t>[Q2]</t>
        </is>
      </c>
      <c r="B33" s="16">
        <f>IFERROR(IF(INDEX(RawResponses!$A:$AM,$B$2,MATCH($A33&amp;"*",RawResponses!$A$1:$AM$1,0))="","",INDEX(RawResponses!$A:$AM,$B$2,MATCH($A33&amp;"*",RawResponses!$A$1:$AM$1,0))),"")</f>
        <v/>
      </c>
      <c r="C33" s="16">
        <f>IFERROR(IF(INDEX(RawResponses!$A:$AM,$B$3,MATCH($A33&amp;"*",RawResponses!$A$1:$AM$1,0))="","",INDEX(RawResponses!$A:$AM,$B$3,MATCH($A33&amp;"*",RawResponses!$A$1:$AM$1,0))),"")</f>
        <v/>
      </c>
      <c r="D33" s="16">
        <f>IFERROR(IF(INDEX(RawResponses!$A:$AM,$B$4,MATCH($A33&amp;"*",RawResponses!$A$1:$AM$1,0))="","",INDEX(RawResponses!$A:$AM,$B$4,MATCH($A33&amp;"*",RawResponses!$A$1:$AM$1,0))),"")</f>
        <v/>
      </c>
      <c r="E33" s="16">
        <f>LEFT(B33,1)</f>
        <v/>
      </c>
      <c r="F33" s="16">
        <f>LEFT(C33,1)</f>
        <v/>
      </c>
      <c r="G33" s="16">
        <f>LEFT(D33,1)</f>
        <v/>
      </c>
    </row>
    <row r="34">
      <c r="A34" s="16" t="inlineStr">
        <is>
          <t>[Q8]</t>
        </is>
      </c>
      <c r="B34" s="16">
        <f>IFERROR(IF(INDEX(RawResponses!$A:$AM,$B$2,MATCH($A34&amp;"*",RawResponses!$A$1:$AM$1,0))="","",INDEX(RawResponses!$A:$AM,$B$2,MATCH($A34&amp;"*",RawResponses!$A$1:$AM$1,0))),"")</f>
        <v/>
      </c>
      <c r="C34" s="16">
        <f>IFERROR(IF(INDEX(RawResponses!$A:$AM,$B$3,MATCH($A34&amp;"*",RawResponses!$A$1:$AM$1,0))="","",INDEX(RawResponses!$A:$AM,$B$3,MATCH($A34&amp;"*",RawResponses!$A$1:$AM$1,0))),"")</f>
        <v/>
      </c>
      <c r="D34" s="16">
        <f>IFERROR(IF(INDEX(RawResponses!$A:$AM,$B$4,MATCH($A34&amp;"*",RawResponses!$A$1:$AM$1,0))="","",INDEX(RawResponses!$A:$AM,$B$4,MATCH($A34&amp;"*",RawResponses!$A$1:$AM$1,0))),"")</f>
        <v/>
      </c>
      <c r="E34" s="16">
        <f>LEFT(B34,1)</f>
        <v/>
      </c>
      <c r="F34" s="16">
        <f>LEFT(C34,1)</f>
        <v/>
      </c>
      <c r="G34" s="16">
        <f>LEFT(D34,1)</f>
        <v/>
      </c>
    </row>
    <row r="35">
      <c r="A35" s="16" t="inlineStr">
        <is>
          <t>[Q9]</t>
        </is>
      </c>
      <c r="B35" s="16">
        <f>IFERROR(IF(INDEX(RawResponses!$A:$AM,$B$2,MATCH($A35&amp;"*",RawResponses!$A$1:$AM$1,0))="","",INDEX(RawResponses!$A:$AM,$B$2,MATCH($A35&amp;"*",RawResponses!$A$1:$AM$1,0))),"")</f>
        <v/>
      </c>
      <c r="C35" s="16">
        <f>IFERROR(IF(INDEX(RawResponses!$A:$AM,$B$3,MATCH($A35&amp;"*",RawResponses!$A$1:$AM$1,0))="","",INDEX(RawResponses!$A:$AM,$B$3,MATCH($A35&amp;"*",RawResponses!$A$1:$AM$1,0))),"")</f>
        <v/>
      </c>
      <c r="D35" s="16">
        <f>IFERROR(IF(INDEX(RawResponses!$A:$AM,$B$4,MATCH($A35&amp;"*",RawResponses!$A$1:$AM$1,0))="","",INDEX(RawResponses!$A:$AM,$B$4,MATCH($A35&amp;"*",RawResponses!$A$1:$AM$1,0))),"")</f>
        <v/>
      </c>
      <c r="E35" s="16">
        <f>LEFT(B35,1)</f>
        <v/>
      </c>
      <c r="F35" s="16">
        <f>LEFT(C35,1)</f>
        <v/>
      </c>
      <c r="G35" s="16">
        <f>LEFT(D35,1)</f>
        <v/>
      </c>
    </row>
    <row r="36">
      <c r="A36" s="16" t="inlineStr">
        <is>
          <t>[Q13b]</t>
        </is>
      </c>
      <c r="B36" s="16">
        <f>IFERROR(IF(INDEX(RawResponses!$A:$AM,$B$2,MATCH($A36&amp;"*",RawResponses!$A$1:$AM$1,0))="","",INDEX(RawResponses!$A:$AM,$B$2,MATCH($A36&amp;"*",RawResponses!$A$1:$AM$1,0))),"")</f>
        <v/>
      </c>
      <c r="C36" s="16">
        <f>IFERROR(IF(INDEX(RawResponses!$A:$AM,$B$3,MATCH($A36&amp;"*",RawResponses!$A$1:$AM$1,0))="","",INDEX(RawResponses!$A:$AM,$B$3,MATCH($A36&amp;"*",RawResponses!$A$1:$AM$1,0))),"")</f>
        <v/>
      </c>
      <c r="D36" s="16">
        <f>IFERROR(IF(INDEX(RawResponses!$A:$AM,$B$4,MATCH($A36&amp;"*",RawResponses!$A$1:$AM$1,0))="","",INDEX(RawResponses!$A:$AM,$B$4,MATCH($A36&amp;"*",RawResponses!$A$1:$AM$1,0))),"")</f>
        <v/>
      </c>
      <c r="E36" s="16">
        <f>LEFT(B36,1)</f>
        <v/>
      </c>
      <c r="F36" s="16">
        <f>LEFT(C36,1)</f>
        <v/>
      </c>
      <c r="G36" s="16">
        <f>LEFT(D36,1)</f>
        <v/>
      </c>
    </row>
    <row r="37">
      <c r="A37" s="16" t="inlineStr">
        <is>
          <t>[Q13c]</t>
        </is>
      </c>
      <c r="B37" s="16">
        <f>IFERROR(IF(INDEX(RawResponses!$A:$AM,$B$2,MATCH($A37&amp;"*",RawResponses!$A$1:$AM$1,0))="","",INDEX(RawResponses!$A:$AM,$B$2,MATCH($A37&amp;"*",RawResponses!$A$1:$AM$1,0))),"")</f>
        <v/>
      </c>
      <c r="C37" s="16">
        <f>IFERROR(IF(INDEX(RawResponses!$A:$AM,$B$3,MATCH($A37&amp;"*",RawResponses!$A$1:$AM$1,0))="","",INDEX(RawResponses!$A:$AM,$B$3,MATCH($A37&amp;"*",RawResponses!$A$1:$AM$1,0))),"")</f>
        <v/>
      </c>
      <c r="D37" s="16">
        <f>IFERROR(IF(INDEX(RawResponses!$A:$AM,$B$4,MATCH($A37&amp;"*",RawResponses!$A$1:$AM$1,0))="","",INDEX(RawResponses!$A:$AM,$B$4,MATCH($A37&amp;"*",RawResponses!$A$1:$AM$1,0))),"")</f>
        <v/>
      </c>
      <c r="E37" s="16">
        <f>LEFT(B37,1)</f>
        <v/>
      </c>
      <c r="F37" s="16">
        <f>LEFT(C37,1)</f>
        <v/>
      </c>
      <c r="G37" s="16">
        <f>LEFT(D37,1)</f>
        <v/>
      </c>
    </row>
    <row r="38">
      <c r="A38" s="16" t="inlineStr">
        <is>
          <t>[Q14]</t>
        </is>
      </c>
      <c r="B38" s="16">
        <f>IFERROR(IF(INDEX(RawResponses!$A:$AM,$B$2,MATCH($A38&amp;"*",RawResponses!$A$1:$AM$1,0))="","",INDEX(RawResponses!$A:$AM,$B$2,MATCH($A38&amp;"*",RawResponses!$A$1:$AM$1,0))),"")</f>
        <v/>
      </c>
      <c r="C38" s="16">
        <f>IFERROR(IF(INDEX(RawResponses!$A:$AM,$B$3,MATCH($A38&amp;"*",RawResponses!$A$1:$AM$1,0))="","",INDEX(RawResponses!$A:$AM,$B$3,MATCH($A38&amp;"*",RawResponses!$A$1:$AM$1,0))),"")</f>
        <v/>
      </c>
      <c r="D38" s="16">
        <f>IFERROR(IF(INDEX(RawResponses!$A:$AM,$B$4,MATCH($A38&amp;"*",RawResponses!$A$1:$AM$1,0))="","",INDEX(RawResponses!$A:$AM,$B$4,MATCH($A38&amp;"*",RawResponses!$A$1:$AM$1,0))),"")</f>
        <v/>
      </c>
      <c r="E38" s="16">
        <f>LEFT(B38,1)</f>
        <v/>
      </c>
      <c r="F38" s="16">
        <f>LEFT(C38,1)</f>
        <v/>
      </c>
      <c r="G38" s="16">
        <f>LEFT(D38,1)</f>
        <v/>
      </c>
    </row>
    <row r="39">
      <c r="A39" s="16" t="inlineStr">
        <is>
          <t>[Gap-form notes]</t>
        </is>
      </c>
      <c r="B39" s="16">
        <f>IFERROR(IF(INDEX(RawResponses!$A:$AM,$B$2,MATCH($A39&amp;"*",RawResponses!$A$1:$AM$1,0))="","",INDEX(RawResponses!$A:$AM,$B$2,MATCH($A39&amp;"*",RawResponses!$A$1:$AM$1,0))),"")</f>
        <v/>
      </c>
      <c r="C39" s="16">
        <f>IFERROR(IF(INDEX(RawResponses!$A:$AM,$B$3,MATCH($A39&amp;"*",RawResponses!$A$1:$AM$1,0))="","",INDEX(RawResponses!$A:$AM,$B$3,MATCH($A39&amp;"*",RawResponses!$A$1:$AM$1,0))),"")</f>
        <v/>
      </c>
      <c r="D39" s="16">
        <f>IFERROR(IF(INDEX(RawResponses!$A:$AM,$B$4,MATCH($A39&amp;"*",RawResponses!$A$1:$AM$1,0))="","",INDEX(RawResponses!$A:$AM,$B$4,MATCH($A39&amp;"*",RawResponses!$A$1:$AM$1,0))),"")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Filter</t>
        </is>
      </c>
      <c r="B1" s="16" t="inlineStr">
        <is>
          <t>Strictest Constraint</t>
        </is>
      </c>
      <c r="C1" s="16" t="inlineStr">
        <is>
          <t>Notes</t>
        </is>
      </c>
      <c r="D1" s="16" t="inlineStr">
        <is>
          <t>Survey-derived value (reference only)</t>
        </is>
      </c>
    </row>
    <row r="2" ht="15.75" customHeight="1" s="15">
      <c r="A2" s="16" t="inlineStr">
        <is>
          <t>Q3 Total budget</t>
        </is>
      </c>
      <c r="B2" s="16" t="n">
        <v>1500000</v>
      </c>
      <c r="C2" s="16" t="inlineStr">
        <is>
          <t>Confirmed family decision 27 Oct 2026: budget cap set to $1,500,000 maximum purchase price (excluding transaction &amp; moving costs). Replaces survey strictest of $1,250,000.</t>
        </is>
      </c>
      <c r="D2" s="22" t="n">
        <v>1250000</v>
      </c>
    </row>
    <row r="3" ht="15.75" customHeight="1" s="15">
      <c r="A3" s="16" t="inlineStr">
        <is>
          <t>Total acquisition ceiling (Price + 6% costs)</t>
        </is>
      </c>
      <c r="B3" s="16">
        <f>B2 * (1 + Settings!B6)</f>
        <v/>
      </c>
      <c r="C3" s="16" t="inlineStr">
        <is>
          <t>Total outlay cap ($1,590,000) including 6% stamp duty/conveyancing/moving allowance on $1,500,000 purchase price.</t>
        </is>
      </c>
    </row>
    <row r="4" ht="15.75" customHeight="1" s="15">
      <c r="A4" s="16" t="inlineStr">
        <is>
          <t>Q4/Q4b Max drive to GW</t>
        </is>
      </c>
      <c r="B4" s="16" t="n">
        <v>90</v>
      </c>
      <c r="C4" s="16" t="inlineStr">
        <is>
          <t>Family decision 26 Oct 2026: hard max 90 min (60 min preferred); a train option is now preferred, not required (see row 9, changed by NJD, family to confirm). Replaces survey strictest of 25 min (Mum/Me); Dad said up to 75.</t>
        </is>
      </c>
      <c r="D4" s="16">
        <f>MIN(IF(CleanedAnswers!E8="D",IF(ISNUMBER(CleanedAnswers!B9),CleanedAnswers!B9,999),IFERROR(CHOOSE(MATCH(CleanedAnswers!E8,{"A","B","C"},0),15,25,35),999)),IF(CleanedAnswers!F8="D",IF(ISNUMBER(CleanedAnswers!C9),CleanedAnswers!C9,999),IFERROR(CHOOSE(MATCH(CleanedAnswers!F8,{"A","B","C"},0),15,25,35),999)),IF(CleanedAnswers!G8="D",IF(ISNUMBER(CleanedAnswers!D9),CleanedAnswers!D9,999),IFERROR(CHOOSE(MATCH(CleanedAnswers!G8,{"A","B","C"},0),15,25,35),999)))</f>
        <v/>
      </c>
    </row>
    <row r="5" ht="15.75" customHeight="1" s="15">
      <c r="A5" s="16" t="inlineStr">
        <is>
          <t>Q5 Max drive to ED</t>
        </is>
      </c>
      <c r="B5" s="16" t="n">
        <v>90</v>
      </c>
      <c r="C5" s="16" t="inlineStr">
        <is>
          <t>Family decision 26 Oct 2026: hard cap 90 min, and ED time is also scored (SuburbScorecard column O). Replaces survey strictest of 20 min (Mum/Me); Dad said no limit.</t>
        </is>
      </c>
    </row>
    <row r="6" ht="15.75" customHeight="1" s="15">
      <c r="A6" s="16" t="inlineStr">
        <is>
          <t>Q6 Stairs</t>
        </is>
      </c>
      <c r="B6" s="16" t="inlineStr">
        <is>
          <t>Stairs allowed (single-level not required)</t>
        </is>
      </c>
      <c r="C6" s="22" t="inlineStr">
        <is>
          <t>CORRECTED 27 Oct 2026 by NJD: stairs are allowed, so this is no longer a hard filter. Previous value was the survey strictest answer (formula kept in D6).</t>
        </is>
      </c>
      <c r="D6" s="22">
        <f>IF(COUNTIF(CleanedAnswers!E11:G11, "A")&gt;0, "A — None at all (Single-level only)", "Check")</f>
        <v/>
      </c>
    </row>
    <row r="7" ht="15.75" customHeight="1" s="15">
      <c r="A7" s="16" t="inlineStr">
        <is>
          <t>Q7a/Q7b Living arrangement</t>
        </is>
      </c>
      <c r="B7" s="16" t="inlineStr">
        <is>
          <t>Needs discussion (Living arrangement undecided): D — Self-contained space</t>
        </is>
      </c>
    </row>
    <row r="8" ht="15.75" customHeight="1" s="15">
      <c r="A8" s="16" t="inlineStr">
        <is>
          <t>Q7 Garden</t>
        </is>
      </c>
      <c r="B8" s="16" t="inlineStr">
        <is>
          <t>Needs discussion (Depends — see notes)</t>
        </is>
      </c>
    </row>
    <row r="9" ht="15.75" customHeight="1" s="15">
      <c r="A9" s="16" t="inlineStr">
        <is>
          <t>Train option</t>
        </is>
      </c>
      <c r="B9" s="16" t="inlineStr">
        <is>
          <t>Preferred, not required (scored via SuburbScorecard column S)</t>
        </is>
      </c>
      <c r="C9" s="16" t="inlineStr">
        <is>
          <t>CHANGED 26 Oct 2026 by NJD from 'Required (a train station in or at the edge of the suburb)', which had been recorded as a family decision earlier that day. Family to confirm. Reason: a hard rule removes bush and coastal areas that have not been viewed. Column AB on SuburbScorecard: Yes / No.</t>
        </is>
      </c>
    </row>
    <row r="10" ht="15.75" customHeight="1" s="15">
      <c r="A10" s="16" t="inlineStr">
        <is>
          <t>Drive-time basis</t>
        </is>
      </c>
      <c r="B10" s="16" t="inlineStr">
        <is>
          <t>Google Maps drive time, 'leave now' typical traffic, looked up 26 Oct 2026</t>
        </is>
      </c>
      <c r="C10" s="16" t="inlineStr">
        <is>
          <t>Not tested at peak hour. J = to Glen Waverley (suburb centre). K = to the nearest 24-hr public ED listed in SuburbScorecard column AD. Train Yes/No is from recall and sheet notes, not checked against timetables.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Question</t>
        </is>
      </c>
      <c r="B1" s="16" t="inlineStr">
        <is>
          <t>Mum Code</t>
        </is>
      </c>
      <c r="C1" s="16" t="inlineStr">
        <is>
          <t>Dad Code</t>
        </is>
      </c>
      <c r="D1" s="16" t="inlineStr">
        <is>
          <t>Me Code</t>
        </is>
      </c>
      <c r="E1" s="16" t="inlineStr">
        <is>
          <t>Mum Score</t>
        </is>
      </c>
      <c r="F1" s="16" t="inlineStr">
        <is>
          <t>Dad Score</t>
        </is>
      </c>
      <c r="G1" s="16" t="inlineStr">
        <is>
          <t>Me Score</t>
        </is>
      </c>
      <c r="H1" s="16" t="inlineStr">
        <is>
          <t>Mum Norm</t>
        </is>
      </c>
      <c r="I1" s="16" t="inlineStr">
        <is>
          <t>Dad Norm</t>
        </is>
      </c>
      <c r="J1" s="16" t="inlineStr">
        <is>
          <t>Me Norm</t>
        </is>
      </c>
      <c r="K1" s="16" t="inlineStr">
        <is>
          <t>Combined Weight</t>
        </is>
      </c>
    </row>
    <row r="2" ht="15.75" customHeight="1" s="15">
      <c r="A2" s="16" t="inlineStr">
        <is>
          <t>Nature</t>
        </is>
      </c>
      <c r="B2" s="16">
        <f>CleanedAnswers!E19</f>
        <v/>
      </c>
      <c r="C2" s="16">
        <f>CleanedAnswers!F19</f>
        <v/>
      </c>
      <c r="D2" s="16">
        <f>CleanedAnswers!G19</f>
        <v/>
      </c>
      <c r="E2" s="16">
        <f>VLOOKUP(B2, Settings!$A$10:$C$13, 3, FALSE())</f>
        <v/>
      </c>
      <c r="F2" s="16">
        <f>VLOOKUP(C2, Settings!$A$10:$C$13, 3, FALSE())</f>
        <v/>
      </c>
      <c r="G2" s="16">
        <f>VLOOKUP(D2, Settings!$A$10:$C$13, 3, FALSE())</f>
        <v/>
      </c>
      <c r="H2" s="16">
        <f>E2/SUM(E$2:E$11)</f>
        <v/>
      </c>
      <c r="I2" s="16">
        <f>F2/SUM(F$2:F$11)</f>
        <v/>
      </c>
      <c r="J2" s="16">
        <f>G2/SUM(G$2:G$11)</f>
        <v/>
      </c>
      <c r="K2" s="16">
        <f>(H2*Settings!$B$2 + I2*Settings!$B$3 + J2*Settings!$B$4)/(Settings!$B$2+Settings!$B$3+Settings!$B$4)</f>
        <v/>
      </c>
    </row>
    <row r="3" ht="15.75" customHeight="1" s="15">
      <c r="A3" s="16" t="inlineStr">
        <is>
          <t>Near family in GW</t>
        </is>
      </c>
      <c r="B3" s="16">
        <f>CleanedAnswers!E20</f>
        <v/>
      </c>
      <c r="C3" s="16">
        <f>CleanedAnswers!F20</f>
        <v/>
      </c>
      <c r="D3" s="16">
        <f>CleanedAnswers!G20</f>
        <v/>
      </c>
      <c r="E3" s="16">
        <f>VLOOKUP(B3, Settings!$A$10:$C$13, 3, FALSE())</f>
        <v/>
      </c>
      <c r="F3" s="16">
        <f>VLOOKUP(C3, Settings!$A$10:$C$13, 3, FALSE())</f>
        <v/>
      </c>
      <c r="G3" s="16">
        <f>VLOOKUP(D3, Settings!$A$10:$C$13, 3, FALSE())</f>
        <v/>
      </c>
      <c r="H3" s="16">
        <f>E3/SUM(E$2:E$11)</f>
        <v/>
      </c>
      <c r="I3" s="16">
        <f>F3/SUM(F$2:F$11)</f>
        <v/>
      </c>
      <c r="J3" s="16">
        <f>G3/SUM(G$2:G$11)</f>
        <v/>
      </c>
      <c r="K3" s="16">
        <f>(H3*Settings!$B$2 + I3*Settings!$B$3 + J3*Settings!$B$4)/(Settings!$B$2+Settings!$B$3+Settings!$B$4)</f>
        <v/>
      </c>
    </row>
    <row r="4" ht="15.75" customHeight="1" s="15">
      <c r="A4" s="16" t="inlineStr">
        <is>
          <t>Indian community</t>
        </is>
      </c>
      <c r="B4" s="16">
        <f>CleanedAnswers!E21</f>
        <v/>
      </c>
      <c r="C4" s="16">
        <f>CleanedAnswers!F21</f>
        <v/>
      </c>
      <c r="D4" s="16">
        <f>CleanedAnswers!G21</f>
        <v/>
      </c>
      <c r="E4" s="16">
        <f>VLOOKUP(B4, Settings!$A$10:$C$13, 3, FALSE())</f>
        <v/>
      </c>
      <c r="F4" s="16">
        <f>VLOOKUP(C4, Settings!$A$10:$C$13, 3, FALSE())</f>
        <v/>
      </c>
      <c r="G4" s="16">
        <f>VLOOKUP(D4, Settings!$A$10:$C$13, 3, FALSE())</f>
        <v/>
      </c>
      <c r="H4" s="16">
        <f>E4/SUM(E$2:E$11)</f>
        <v/>
      </c>
      <c r="I4" s="16">
        <f>F4/SUM(F$2:F$11)</f>
        <v/>
      </c>
      <c r="J4" s="16">
        <f>G4/SUM(G$2:G$11)</f>
        <v/>
      </c>
      <c r="K4" s="16">
        <f>(H4*Settings!$B$2 + I4*Settings!$B$3 + J4*Settings!$B$4)/(Settings!$B$2+Settings!$B$3+Settings!$B$4)</f>
        <v/>
      </c>
    </row>
    <row r="5" ht="15.75" customHeight="1" s="15">
      <c r="A5" s="16" t="inlineStr">
        <is>
          <t>Beach</t>
        </is>
      </c>
      <c r="B5" s="16">
        <f>CleanedAnswers!E22</f>
        <v/>
      </c>
      <c r="C5" s="16">
        <f>CleanedAnswers!F22</f>
        <v/>
      </c>
      <c r="D5" s="16">
        <f>CleanedAnswers!G22</f>
        <v/>
      </c>
      <c r="E5" s="16">
        <f>VLOOKUP(B5, Settings!$A$10:$C$13, 3, FALSE())</f>
        <v/>
      </c>
      <c r="F5" s="16">
        <f>VLOOKUP(C5, Settings!$A$10:$C$13, 3, FALSE())</f>
        <v/>
      </c>
      <c r="G5" s="16">
        <f>VLOOKUP(D5, Settings!$A$10:$C$13, 3, FALSE())</f>
        <v/>
      </c>
      <c r="H5" s="16">
        <f>E5/SUM(E$2:E$11)</f>
        <v/>
      </c>
      <c r="I5" s="16">
        <f>F5/SUM(F$2:F$11)</f>
        <v/>
      </c>
      <c r="J5" s="16">
        <f>G5/SUM(G$2:G$11)</f>
        <v/>
      </c>
      <c r="K5" s="16">
        <f>(H5*Settings!$B$2 + I5*Settings!$B$3 + J5*Settings!$B$4)/(Settings!$B$2+Settings!$B$3+Settings!$B$4)</f>
        <v/>
      </c>
    </row>
    <row r="6" ht="15.75" customHeight="1" s="15">
      <c r="A6" s="16" t="inlineStr">
        <is>
          <t>Hospital</t>
        </is>
      </c>
      <c r="B6" s="16">
        <f>CleanedAnswers!E23</f>
        <v/>
      </c>
      <c r="C6" s="16">
        <f>CleanedAnswers!F23</f>
        <v/>
      </c>
      <c r="D6" s="16">
        <f>CleanedAnswers!G23</f>
        <v/>
      </c>
      <c r="E6" s="16">
        <f>VLOOKUP(B6, Settings!$A$10:$C$13, 3, FALSE())</f>
        <v/>
      </c>
      <c r="F6" s="16">
        <f>VLOOKUP(C6, Settings!$A$10:$C$13, 3, FALSE())</f>
        <v/>
      </c>
      <c r="G6" s="16">
        <f>VLOOKUP(D6, Settings!$A$10:$C$13, 3, FALSE())</f>
        <v/>
      </c>
      <c r="H6" s="16">
        <f>E6/SUM(E$2:E$11)</f>
        <v/>
      </c>
      <c r="I6" s="16">
        <f>F6/SUM(F$2:F$11)</f>
        <v/>
      </c>
      <c r="J6" s="16">
        <f>G6/SUM(G$2:G$11)</f>
        <v/>
      </c>
      <c r="K6" s="16">
        <f>(H6*Settings!$B$2 + I6*Settings!$B$3 + J6*Settings!$B$4)/(Settings!$B$2+Settings!$B$3+Settings!$B$4)</f>
        <v/>
      </c>
    </row>
    <row r="7" ht="15.75" customHeight="1" s="15">
      <c r="A7" s="16" t="inlineStr">
        <is>
          <t>Train/bus</t>
        </is>
      </c>
      <c r="B7" s="16">
        <f>CleanedAnswers!E24</f>
        <v/>
      </c>
      <c r="C7" s="16">
        <f>CleanedAnswers!F24</f>
        <v/>
      </c>
      <c r="D7" s="16">
        <f>CleanedAnswers!G24</f>
        <v/>
      </c>
      <c r="E7" s="16">
        <f>VLOOKUP(B7, Settings!$A$10:$C$13, 3, FALSE())</f>
        <v/>
      </c>
      <c r="F7" s="16">
        <f>VLOOKUP(C7, Settings!$A$10:$C$13, 3, FALSE())</f>
        <v/>
      </c>
      <c r="G7" s="16">
        <f>VLOOKUP(D7, Settings!$A$10:$C$13, 3, FALSE())</f>
        <v/>
      </c>
      <c r="H7" s="16">
        <f>E7/SUM(E$2:E$11)</f>
        <v/>
      </c>
      <c r="I7" s="16">
        <f>F7/SUM(F$2:F$11)</f>
        <v/>
      </c>
      <c r="J7" s="16">
        <f>G7/SUM(G$2:G$11)</f>
        <v/>
      </c>
      <c r="K7" s="16">
        <f>(H7*Settings!$B$2 + I7*Settings!$B$3 + J7*Settings!$B$4)/(Settings!$B$2+Settings!$B$3+Settings!$B$4)</f>
        <v/>
      </c>
    </row>
    <row r="8" ht="15.75" customHeight="1" s="15">
      <c r="A8" s="16" t="inlineStr">
        <is>
          <t>Shops/doctor</t>
        </is>
      </c>
      <c r="B8" s="16">
        <f>CleanedAnswers!E25</f>
        <v/>
      </c>
      <c r="C8" s="16">
        <f>CleanedAnswers!F25</f>
        <v/>
      </c>
      <c r="D8" s="16">
        <f>CleanedAnswers!G25</f>
        <v/>
      </c>
      <c r="E8" s="16">
        <f>VLOOKUP(B8, Settings!$A$10:$C$13, 3, FALSE())</f>
        <v/>
      </c>
      <c r="F8" s="16">
        <f>VLOOKUP(C8, Settings!$A$10:$C$13, 3, FALSE())</f>
        <v/>
      </c>
      <c r="G8" s="16">
        <f>VLOOKUP(D8, Settings!$A$10:$C$13, 3, FALSE())</f>
        <v/>
      </c>
      <c r="H8" s="16">
        <f>E8/SUM(E$2:E$11)</f>
        <v/>
      </c>
      <c r="I8" s="16">
        <f>F8/SUM(F$2:F$11)</f>
        <v/>
      </c>
      <c r="J8" s="16">
        <f>G8/SUM(G$2:G$11)</f>
        <v/>
      </c>
      <c r="K8" s="16">
        <f>(H8*Settings!$B$2 + I8*Settings!$B$3 + J8*Settings!$B$4)/(Settings!$B$2+Settings!$B$3+Settings!$B$4)</f>
        <v/>
      </c>
    </row>
    <row r="9" ht="15.75" customHeight="1" s="15">
      <c r="A9" s="16" t="inlineStr">
        <is>
          <t>Village character</t>
        </is>
      </c>
      <c r="B9" s="16">
        <f>CleanedAnswers!E26</f>
        <v/>
      </c>
      <c r="C9" s="16">
        <f>CleanedAnswers!F26</f>
        <v/>
      </c>
      <c r="D9" s="16">
        <f>CleanedAnswers!G26</f>
        <v/>
      </c>
      <c r="E9" s="16">
        <f>VLOOKUP(B9, Settings!$A$10:$C$13, 3, FALSE())</f>
        <v/>
      </c>
      <c r="F9" s="16">
        <f>VLOOKUP(C9, Settings!$A$10:$C$13, 3, FALSE())</f>
        <v/>
      </c>
      <c r="G9" s="16">
        <f>VLOOKUP(D9, Settings!$A$10:$C$13, 3, FALSE())</f>
        <v/>
      </c>
      <c r="H9" s="16">
        <f>E9/SUM(E$2:E$11)</f>
        <v/>
      </c>
      <c r="I9" s="16">
        <f>F9/SUM(F$2:F$11)</f>
        <v/>
      </c>
      <c r="J9" s="16">
        <f>G9/SUM(G$2:G$11)</f>
        <v/>
      </c>
      <c r="K9" s="16">
        <f>(H9*Settings!$B$2 + I9*Settings!$B$3 + J9*Settings!$B$4)/(Settings!$B$2+Settings!$B$3+Settings!$B$4)</f>
        <v/>
      </c>
    </row>
    <row r="10" ht="15.75" customHeight="1" s="15">
      <c r="A10" s="16" t="inlineStr">
        <is>
          <t>Price</t>
        </is>
      </c>
      <c r="B10" s="16">
        <f>CleanedAnswers!E27</f>
        <v/>
      </c>
      <c r="C10" s="16">
        <f>CleanedAnswers!F27</f>
        <v/>
      </c>
      <c r="D10" s="16">
        <f>CleanedAnswers!G27</f>
        <v/>
      </c>
      <c r="E10" s="16">
        <f>VLOOKUP(B10, Settings!$A$10:$C$13, 3, FALSE())</f>
        <v/>
      </c>
      <c r="F10" s="16">
        <f>VLOOKUP(C10, Settings!$A$10:$C$13, 3, FALSE())</f>
        <v/>
      </c>
      <c r="G10" s="16">
        <f>VLOOKUP(D10, Settings!$A$10:$C$13, 3, FALSE())</f>
        <v/>
      </c>
      <c r="H10" s="16">
        <f>E10/SUM(E$2:E$11)</f>
        <v/>
      </c>
      <c r="I10" s="16">
        <f>F10/SUM(F$2:F$11)</f>
        <v/>
      </c>
      <c r="J10" s="16">
        <f>G10/SUM(G$2:G$11)</f>
        <v/>
      </c>
      <c r="K10" s="16">
        <f>(H10*Settings!$B$2 + I10*Settings!$B$3 + J10*Settings!$B$4)/(Settings!$B$2+Settings!$B$3+Settings!$B$4)</f>
        <v/>
      </c>
    </row>
    <row r="11" ht="15.75" customHeight="1" s="15">
      <c r="A11" s="16" t="inlineStr">
        <is>
          <t>Easy city trip</t>
        </is>
      </c>
      <c r="B11" s="16">
        <f>CleanedAnswers!E28</f>
        <v/>
      </c>
      <c r="C11" s="16">
        <f>CleanedAnswers!F28</f>
        <v/>
      </c>
      <c r="D11" s="16">
        <f>CleanedAnswers!G28</f>
        <v/>
      </c>
      <c r="E11" s="16">
        <f>VLOOKUP(B11, Settings!$A$10:$C$13, 3, FALSE())</f>
        <v/>
      </c>
      <c r="F11" s="16">
        <f>VLOOKUP(C11, Settings!$A$10:$C$13, 3, FALSE())</f>
        <v/>
      </c>
      <c r="G11" s="16">
        <f>VLOOKUP(D11, Settings!$A$10:$C$13, 3, FALSE())</f>
        <v/>
      </c>
      <c r="H11" s="16">
        <f>E11/SUM(E$2:E$11)</f>
        <v/>
      </c>
      <c r="I11" s="16">
        <f>F11/SUM(F$2:F$11)</f>
        <v/>
      </c>
      <c r="J11" s="16">
        <f>G11/SUM(G$2:G$11)</f>
        <v/>
      </c>
      <c r="K11" s="16">
        <f>(H11*Settings!$B$2 + I11*Settings!$B$3 + J11*Settings!$B$4)/(Settings!$B$2+Settings!$B$3+Settings!$B$4)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U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Matchup</t>
        </is>
      </c>
      <c r="B1" s="16" t="inlineStr">
        <is>
          <t>Result</t>
        </is>
      </c>
      <c r="H1" s="16" t="inlineStr">
        <is>
          <t>Question</t>
        </is>
      </c>
      <c r="I1" s="16" t="inlineStr">
        <is>
          <t>A-side priority</t>
        </is>
      </c>
      <c r="J1" s="16" t="inlineStr">
        <is>
          <t>B-side priority</t>
        </is>
      </c>
      <c r="K1" s="16" t="inlineStr">
        <is>
          <t>Mum vote</t>
        </is>
      </c>
      <c r="L1" s="16" t="inlineStr">
        <is>
          <t>Dad vote</t>
        </is>
      </c>
      <c r="M1" s="16" t="inlineStr">
        <is>
          <t>Me vote</t>
        </is>
      </c>
      <c r="N1" s="16" t="inlineStr">
        <is>
          <t>A votes (weighted)</t>
        </is>
      </c>
      <c r="O1" s="16" t="inlineStr">
        <is>
          <t>B votes (weighted)</t>
        </is>
      </c>
      <c r="P1" s="16" t="inlineStr">
        <is>
          <t>Winning side</t>
        </is>
      </c>
      <c r="Q1" s="16" t="inlineStr">
        <is>
          <t>Winner</t>
        </is>
      </c>
      <c r="R1" s="16" t="inlineStr">
        <is>
          <t>Loser</t>
        </is>
      </c>
      <c r="S1" s="16" t="inlineStr">
        <is>
          <t>Winner weight</t>
        </is>
      </c>
      <c r="T1" s="16" t="inlineStr">
        <is>
          <t>Loser weight</t>
        </is>
      </c>
      <c r="U1" s="16" t="inlineStr">
        <is>
          <t>Transfer</t>
        </is>
      </c>
    </row>
    <row r="2" ht="15.75" customHeight="1" s="15">
      <c r="A2" s="16" t="inlineStr">
        <is>
          <t>Trade-offs: see H1:U5 (live, blueprint rule).</t>
        </is>
      </c>
      <c r="B2" s="16" t="n"/>
      <c r="H2" t="inlineStr">
        <is>
          <t>Q10</t>
        </is>
      </c>
      <c r="I2" t="inlineStr">
        <is>
          <t>Nature</t>
        </is>
      </c>
      <c r="J2" t="inlineStr">
        <is>
          <t>Near family in GW</t>
        </is>
      </c>
      <c r="K2">
        <f>IF(OR(CleanedAnswers!B15=$I2,LEFT(CleanedAnswers!B15,3)="A —"),"A",IF(OR(CleanedAnswers!B15=$J2,LEFT(CleanedAnswers!B15,3)="B —"),"B",""))</f>
        <v/>
      </c>
      <c r="L2">
        <f>IF(OR(CleanedAnswers!C15=$I2,LEFT(CleanedAnswers!C15,3)="A —"),"A",IF(OR(CleanedAnswers!C15=$J2,LEFT(CleanedAnswers!C15,3)="B —"),"B",""))</f>
        <v/>
      </c>
      <c r="M2">
        <f>IF(OR(CleanedAnswers!D15=$I2,LEFT(CleanedAnswers!D15,3)="A —"),"A",IF(OR(CleanedAnswers!D15=$J2,LEFT(CleanedAnswers!D15,3)="B —"),"B",""))</f>
        <v/>
      </c>
      <c r="N2">
        <f>(K2="A")*Settings!$B$2+(L2="A")*Settings!$B$3+(M2="A")*Settings!$B$4</f>
        <v/>
      </c>
      <c r="O2">
        <f>(K2="B")*Settings!$B$2+(L2="B")*Settings!$B$3+(M2="B")*Settings!$B$4</f>
        <v/>
      </c>
      <c r="P2">
        <f>IF(N2+O2=0,"",IF(N2&gt;O2,"A",IF(O2&gt;N2,"B","Split")))</f>
        <v/>
      </c>
      <c r="Q2">
        <f>IF(P2="A",I2,IF(P2="B",J2,""))</f>
        <v/>
      </c>
      <c r="R2">
        <f>IF(P2="A",J2,IF(P2="B",I2,""))</f>
        <v/>
      </c>
      <c r="S2">
        <f>IF(Q2="","",INDEX($D$6:$D$15,MATCH(Q2,$A$6:$A$15,0)))</f>
        <v/>
      </c>
      <c r="T2">
        <f>IF(R2="","",INDEX($D$6:$D$15,MATCH(R2,$A$6:$A$15,0)))</f>
        <v/>
      </c>
      <c r="U2">
        <f>IF(OR(Q2="",NOT(ISNUMBER(S2)),NOT(ISNUMBER(T2))),0,IF(S2&lt;T2+Settings!$B$7,MIN(T2,(T2-S2+Settings!$B$7)/2),0))</f>
        <v/>
      </c>
    </row>
    <row r="3" ht="15.75" customHeight="1" s="15">
      <c r="A3" s="16" t="n"/>
      <c r="B3" s="16" t="n"/>
      <c r="H3" t="inlineStr">
        <is>
          <t>Q11</t>
        </is>
      </c>
      <c r="I3" t="inlineStr">
        <is>
          <t>Beach</t>
        </is>
      </c>
      <c r="J3" t="inlineStr">
        <is>
          <t>Nature</t>
        </is>
      </c>
      <c r="K3">
        <f>IF(OR(CleanedAnswers!B16=$I3,LEFT(CleanedAnswers!B16,3)="A —"),"A",IF(OR(CleanedAnswers!B16=$J3,LEFT(CleanedAnswers!B16,3)="B —"),"B",""))</f>
        <v/>
      </c>
      <c r="L3">
        <f>IF(OR(CleanedAnswers!C16=$I3,LEFT(CleanedAnswers!C16,3)="A —"),"A",IF(OR(CleanedAnswers!C16=$J3,LEFT(CleanedAnswers!C16,3)="B —"),"B",""))</f>
        <v/>
      </c>
      <c r="M3">
        <f>IF(OR(CleanedAnswers!D16=$I3,LEFT(CleanedAnswers!D16,3)="A —"),"A",IF(OR(CleanedAnswers!D16=$J3,LEFT(CleanedAnswers!D16,3)="B —"),"B",""))</f>
        <v/>
      </c>
      <c r="N3">
        <f>(K3="A")*Settings!$B$2+(L3="A")*Settings!$B$3+(M3="A")*Settings!$B$4</f>
        <v/>
      </c>
      <c r="O3">
        <f>(K3="B")*Settings!$B$2+(L3="B")*Settings!$B$3+(M3="B")*Settings!$B$4</f>
        <v/>
      </c>
      <c r="P3">
        <f>IF(N3+O3=0,"",IF(N3&gt;O3,"A",IF(O3&gt;N3,"B","Split")))</f>
        <v/>
      </c>
      <c r="Q3">
        <f>IF(P3="A",I3,IF(P3="B",J3,""))</f>
        <v/>
      </c>
      <c r="R3">
        <f>IF(P3="A",J3,IF(P3="B",I3,""))</f>
        <v/>
      </c>
      <c r="S3">
        <f>IF(Q3="","",INDEX($D$6:$D$15,MATCH(Q3,$A$6:$A$15,0)))</f>
        <v/>
      </c>
      <c r="T3">
        <f>IF(R3="","",INDEX($D$6:$D$15,MATCH(R3,$A$6:$A$15,0)))</f>
        <v/>
      </c>
      <c r="U3">
        <f>IF(OR(Q3="",NOT(ISNUMBER(S3)),NOT(ISNUMBER(T3))),0,IF(S3&lt;T3+Settings!$B$7,MIN(T3,(T3-S3+Settings!$B$7)/2),0))</f>
        <v/>
      </c>
    </row>
    <row r="4">
      <c r="H4" t="inlineStr">
        <is>
          <t>Q12</t>
        </is>
      </c>
      <c r="I4" t="inlineStr">
        <is>
          <t>Village character</t>
        </is>
      </c>
      <c r="J4" t="inlineStr">
        <is>
          <t>Shops &amp; doctor</t>
        </is>
      </c>
      <c r="K4">
        <f>IF(OR(CleanedAnswers!B17=$I4,LEFT(CleanedAnswers!B17,3)="A —"),"A",IF(OR(CleanedAnswers!B17=$J4,LEFT(CleanedAnswers!B17,3)="B —"),"B",""))</f>
        <v/>
      </c>
      <c r="L4">
        <f>IF(OR(CleanedAnswers!C17=$I4,LEFT(CleanedAnswers!C17,3)="A —"),"A",IF(OR(CleanedAnswers!C17=$J4,LEFT(CleanedAnswers!C17,3)="B —"),"B",""))</f>
        <v/>
      </c>
      <c r="M4">
        <f>IF(OR(CleanedAnswers!D17=$I4,LEFT(CleanedAnswers!D17,3)="A —"),"A",IF(OR(CleanedAnswers!D17=$J4,LEFT(CleanedAnswers!D17,3)="B —"),"B",""))</f>
        <v/>
      </c>
      <c r="N4">
        <f>(K4="A")*Settings!$B$2+(L4="A")*Settings!$B$3+(M4="A")*Settings!$B$4</f>
        <v/>
      </c>
      <c r="O4">
        <f>(K4="B")*Settings!$B$2+(L4="B")*Settings!$B$3+(M4="B")*Settings!$B$4</f>
        <v/>
      </c>
      <c r="P4">
        <f>IF(N4+O4=0,"",IF(N4&gt;O4,"A",IF(O4&gt;N4,"B","Split")))</f>
        <v/>
      </c>
      <c r="Q4">
        <f>IF(P4="A",I4,IF(P4="B",J4,""))</f>
        <v/>
      </c>
      <c r="R4">
        <f>IF(P4="A",J4,IF(P4="B",I4,""))</f>
        <v/>
      </c>
      <c r="S4">
        <f>IF(Q4="","",INDEX($D$6:$D$15,MATCH(Q4,$A$6:$A$15,0)))</f>
        <v/>
      </c>
      <c r="T4">
        <f>IF(R4="","",INDEX($D$6:$D$15,MATCH(R4,$A$6:$A$15,0)))</f>
        <v/>
      </c>
      <c r="U4">
        <f>IF(OR(Q4="",NOT(ISNUMBER(S4)),NOT(ISNUMBER(T4))),0,IF(S4&lt;T4+Settings!$B$7,MIN(T4,(T4-S4+Settings!$B$7)/2),0))</f>
        <v/>
      </c>
    </row>
    <row r="5" ht="15.75" customHeight="1" s="15">
      <c r="A5" s="16" t="inlineStr">
        <is>
          <t>Final Normalized Weights</t>
        </is>
      </c>
      <c r="B5" s="16" t="inlineStr">
        <is>
          <t>Weight</t>
        </is>
      </c>
      <c r="C5" s="16" t="inlineStr">
        <is>
          <t>Net forced-choice correction (live)</t>
        </is>
      </c>
      <c r="D5" s="16" t="inlineStr">
        <is>
          <t>Survey weight (PriorityWeights K)</t>
        </is>
      </c>
      <c r="E5" s="16" t="inlineStr">
        <is>
          <t>Previous typed weight (pre 27 Oct link)</t>
        </is>
      </c>
      <c r="F5" s="16" t="inlineStr">
        <is>
          <t>Manual tweak (editable, e.g. 0.03 = +3 pts)</t>
        </is>
      </c>
      <c r="H5" t="inlineStr">
        <is>
          <t>Q13</t>
        </is>
      </c>
      <c r="I5" t="inlineStr">
        <is>
          <t>Indian community</t>
        </is>
      </c>
      <c r="J5" t="inlineStr">
        <is>
          <t>Nature</t>
        </is>
      </c>
      <c r="K5">
        <f>IF(OR(CleanedAnswers!B18=$I5,LEFT(CleanedAnswers!B18,3)="A —"),"A",IF(OR(CleanedAnswers!B18=$J5,LEFT(CleanedAnswers!B18,3)="B —"),"B",""))</f>
        <v/>
      </c>
      <c r="L5">
        <f>IF(OR(CleanedAnswers!C18=$I5,LEFT(CleanedAnswers!C18,3)="A —"),"A",IF(OR(CleanedAnswers!C18=$J5,LEFT(CleanedAnswers!C18,3)="B —"),"B",""))</f>
        <v/>
      </c>
      <c r="M5">
        <f>IF(OR(CleanedAnswers!D18=$I5,LEFT(CleanedAnswers!D18,3)="A —"),"A",IF(OR(CleanedAnswers!D18=$J5,LEFT(CleanedAnswers!D18,3)="B —"),"B",""))</f>
        <v/>
      </c>
      <c r="N5">
        <f>(K5="A")*Settings!$B$2+(L5="A")*Settings!$B$3+(M5="A")*Settings!$B$4</f>
        <v/>
      </c>
      <c r="O5">
        <f>(K5="B")*Settings!$B$2+(L5="B")*Settings!$B$3+(M5="B")*Settings!$B$4</f>
        <v/>
      </c>
      <c r="P5">
        <f>IF(N5+O5=0,"",IF(N5&gt;O5,"A",IF(O5&gt;N5,"B","Split")))</f>
        <v/>
      </c>
      <c r="Q5">
        <f>IF(P5="A",I5,IF(P5="B",J5,""))</f>
        <v/>
      </c>
      <c r="R5">
        <f>IF(P5="A",J5,IF(P5="B",I5,""))</f>
        <v/>
      </c>
      <c r="S5">
        <f>IF(Q5="","",INDEX($D$6:$D$15,MATCH(Q5,$A$6:$A$15,0)))</f>
        <v/>
      </c>
      <c r="T5">
        <f>IF(R5="","",INDEX($D$6:$D$15,MATCH(R5,$A$6:$A$15,0)))</f>
        <v/>
      </c>
      <c r="U5">
        <f>IF(OR(Q5="",NOT(ISNUMBER(S5)),NOT(ISNUMBER(T5))),0,IF(S5&lt;T5+Settings!$B$7,MIN(T5,(T5-S5+Settings!$B$7)/2),0))</f>
        <v/>
      </c>
    </row>
    <row r="6" ht="15.75" customHeight="1" s="15">
      <c r="A6" s="16" t="inlineStr">
        <is>
          <t>Near family in GW</t>
        </is>
      </c>
      <c r="B6" s="16">
        <f>MAX(0,D6+C6+F6)/SUMPRODUCT((D$6:D$15+C$6:C$15+F$6:F$15&gt;0)*(D$6:D$15+C$6:C$15+F$6:F$15))</f>
        <v/>
      </c>
      <c r="C6" s="16">
        <f>SUMIF($Q$2:$Q$5,A6,$U$2:$U$5)-SUMIF($R$2:$R$5,A6,$U$2:$U$5)</f>
        <v/>
      </c>
      <c r="D6" s="16">
        <f>PriorityWeights!K3</f>
        <v/>
      </c>
      <c r="E6" s="16" t="n">
        <v>0.153</v>
      </c>
      <c r="F6" s="16" t="n">
        <v>0</v>
      </c>
    </row>
    <row r="7" ht="15.75" customHeight="1" s="15">
      <c r="A7" s="16" t="inlineStr">
        <is>
          <t>Nature</t>
        </is>
      </c>
      <c r="B7" s="16">
        <f>MAX(0,D7+C7+F7)/SUMPRODUCT((D$6:D$15+C$6:C$15+F$6:F$15&gt;0)*(D$6:D$15+C$6:C$15+F$6:F$15))</f>
        <v/>
      </c>
      <c r="C7" s="16">
        <f>SUMIF($Q$2:$Q$5,A7,$U$2:$U$5)-SUMIF($R$2:$R$5,A7,$U$2:$U$5)</f>
        <v/>
      </c>
      <c r="D7" s="16">
        <f>PriorityWeights!K2</f>
        <v/>
      </c>
      <c r="E7" s="16" t="n">
        <v>0.133</v>
      </c>
      <c r="F7" s="16" t="n">
        <v>0</v>
      </c>
    </row>
    <row r="8" ht="15.75" customHeight="1" s="15">
      <c r="A8" s="16" t="inlineStr">
        <is>
          <t>Hospital</t>
        </is>
      </c>
      <c r="B8" s="16">
        <f>MAX(0,D8+C8+F8)/SUMPRODUCT((D$6:D$15+C$6:C$15+F$6:F$15&gt;0)*(D$6:D$15+C$6:C$15+F$6:F$15))</f>
        <v/>
      </c>
      <c r="C8" s="16">
        <f>SUMIF($Q$2:$Q$5,A8,$U$2:$U$5)-SUMIF($R$2:$R$5,A8,$U$2:$U$5)</f>
        <v/>
      </c>
      <c r="D8" s="16">
        <f>PriorityWeights!K6</f>
        <v/>
      </c>
      <c r="E8" s="16" t="n">
        <v>0.133</v>
      </c>
      <c r="F8" s="16" t="n">
        <v>0</v>
      </c>
    </row>
    <row r="9" ht="15.75" customHeight="1" s="15">
      <c r="A9" s="16" t="inlineStr">
        <is>
          <t>Indian community</t>
        </is>
      </c>
      <c r="B9" s="16">
        <f>MAX(0,D9+C9+F9)/SUMPRODUCT((D$6:D$15+C$6:C$15+F$6:F$15&gt;0)*(D$6:D$15+C$6:C$15+F$6:F$15))</f>
        <v/>
      </c>
      <c r="C9" s="16">
        <f>SUMIF($Q$2:$Q$5,A9,$U$2:$U$5)-SUMIF($R$2:$R$5,A9,$U$2:$U$5)</f>
        <v/>
      </c>
      <c r="D9" s="16">
        <f>PriorityWeights!K4</f>
        <v/>
      </c>
      <c r="E9" s="16" t="n">
        <v>0.117</v>
      </c>
      <c r="F9" s="16" t="n">
        <v>0</v>
      </c>
    </row>
    <row r="10" ht="15.75" customHeight="1" s="15">
      <c r="A10" s="16" t="inlineStr">
        <is>
          <t>Shops &amp; doctor</t>
        </is>
      </c>
      <c r="B10" s="16">
        <f>MAX(0,D10+C10+F10)/SUMPRODUCT((D$6:D$15+C$6:C$15+F$6:F$15&gt;0)*(D$6:D$15+C$6:C$15+F$6:F$15))</f>
        <v/>
      </c>
      <c r="C10" s="16">
        <f>SUMIF($Q$2:$Q$5,A10,$U$2:$U$5)-SUMIF($R$2:$R$5,A10,$U$2:$U$5)</f>
        <v/>
      </c>
      <c r="D10" s="16">
        <f>PriorityWeights!K8</f>
        <v/>
      </c>
      <c r="E10" s="16" t="n">
        <v>0.108</v>
      </c>
      <c r="F10" s="16" t="n">
        <v>0</v>
      </c>
    </row>
    <row r="11" ht="15.75" customHeight="1" s="15">
      <c r="A11" s="16" t="inlineStr">
        <is>
          <t>Village character</t>
        </is>
      </c>
      <c r="B11" s="16">
        <f>MAX(0,D11+C11+F11)/SUMPRODUCT((D$6:D$15+C$6:C$15+F$6:F$15&gt;0)*(D$6:D$15+C$6:C$15+F$6:F$15))</f>
        <v/>
      </c>
      <c r="C11" s="16">
        <f>SUMIF($Q$2:$Q$5,A11,$U$2:$U$5)-SUMIF($R$2:$R$5,A11,$U$2:$U$5)</f>
        <v/>
      </c>
      <c r="D11" s="16">
        <f>PriorityWeights!K9</f>
        <v/>
      </c>
      <c r="E11" s="16" t="n">
        <v>0.08799999999999999</v>
      </c>
      <c r="F11" s="16" t="n">
        <v>0</v>
      </c>
    </row>
    <row r="12" ht="15.75" customHeight="1" s="15">
      <c r="A12" s="16" t="inlineStr">
        <is>
          <t>Train/bus</t>
        </is>
      </c>
      <c r="B12" s="16">
        <f>MAX(0,D12+C12+F12)/SUMPRODUCT((D$6:D$15+C$6:C$15+F$6:F$15&gt;0)*(D$6:D$15+C$6:C$15+F$6:F$15))</f>
        <v/>
      </c>
      <c r="C12" s="16">
        <f>SUMIF($Q$2:$Q$5,A12,$U$2:$U$5)-SUMIF($R$2:$R$5,A12,$U$2:$U$5)</f>
        <v/>
      </c>
      <c r="D12" s="16">
        <f>PriorityWeights!K7</f>
        <v/>
      </c>
      <c r="E12" s="16" t="n">
        <v>0.081</v>
      </c>
      <c r="F12" s="16" t="n">
        <v>0</v>
      </c>
    </row>
    <row r="13" ht="15.75" customHeight="1" s="15">
      <c r="A13" s="16" t="inlineStr">
        <is>
          <t>Price</t>
        </is>
      </c>
      <c r="B13" s="16">
        <f>MAX(0,D13+C13+F13)/SUMPRODUCT((D$6:D$15+C$6:C$15+F$6:F$15&gt;0)*(D$6:D$15+C$6:C$15+F$6:F$15))</f>
        <v/>
      </c>
      <c r="C13" s="16">
        <f>SUMIF($Q$2:$Q$5,A13,$U$2:$U$5)-SUMIF($R$2:$R$5,A13,$U$2:$U$5)</f>
        <v/>
      </c>
      <c r="D13" s="16">
        <f>PriorityWeights!K10</f>
        <v/>
      </c>
      <c r="E13" s="16" t="n">
        <v>0.081</v>
      </c>
      <c r="F13" s="16" t="n">
        <v>0</v>
      </c>
    </row>
    <row r="14" ht="15.75" customHeight="1" s="15">
      <c r="A14" s="16" t="inlineStr">
        <is>
          <t>Beach</t>
        </is>
      </c>
      <c r="B14" s="16">
        <f>MAX(0,D14+C14+F14)/SUMPRODUCT((D$6:D$15+C$6:C$15+F$6:F$15&gt;0)*(D$6:D$15+C$6:C$15+F$6:F$15))</f>
        <v/>
      </c>
      <c r="C14" s="16">
        <f>SUMIF($Q$2:$Q$5,A14,$U$2:$U$5)-SUMIF($R$2:$R$5,A14,$U$2:$U$5)</f>
        <v/>
      </c>
      <c r="D14" s="16">
        <f>PriorityWeights!K5</f>
        <v/>
      </c>
      <c r="E14" s="16" t="n">
        <v>0.061</v>
      </c>
      <c r="F14" s="16" t="n">
        <v>0</v>
      </c>
    </row>
    <row r="15" ht="15.75" customHeight="1" s="15">
      <c r="A15" s="16" t="inlineStr">
        <is>
          <t>City trip</t>
        </is>
      </c>
      <c r="B15" s="16">
        <f>MAX(0,D15+C15+F15)/SUMPRODUCT((D$6:D$15+C$6:C$15+F$6:F$15&gt;0)*(D$6:D$15+C$6:C$15+F$6:F$15))</f>
        <v/>
      </c>
      <c r="C15" s="16">
        <f>SUMIF($Q$2:$Q$5,A15,$U$2:$U$5)-SUMIF($R$2:$R$5,A15,$U$2:$U$5)</f>
        <v/>
      </c>
      <c r="D15" s="16">
        <f>PriorityWeights!K11</f>
        <v/>
      </c>
      <c r="E15" s="16" t="n">
        <v>0.045</v>
      </c>
      <c r="F15" s="16" t="n">
        <v>0</v>
      </c>
    </row>
    <row r="16">
      <c r="A16" s="22" t="inlineStr">
        <is>
          <t>Total</t>
        </is>
      </c>
      <c r="B16" s="22">
        <f>SUM(B6:B15)</f>
        <v/>
      </c>
    </row>
    <row r="18">
      <c r="A18" s="22" t="inlineStr">
        <is>
          <t>Note (27 Oct 2026): B = survey weight (D) + live trade-off correction (C, rule from survey blueprint: winner moved 2 pts ahead of loser) + manual tweak (F), floored at 0 and renormalised. E = old typed weights.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J9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41.75" customHeight="1" s="15">
      <c r="A1" s="17" t="inlineStr">
        <is>
          <t>Location</t>
        </is>
      </c>
      <c r="B1" s="17" t="inlineStr">
        <is>
          <t>Region</t>
        </is>
      </c>
      <c r="C1" s="17" t="inlineStr">
        <is>
          <t>Shortlist Status</t>
        </is>
      </c>
      <c r="D1" s="17" t="inlineStr">
        <is>
          <t>Parents Inland/Bush Fit (P)</t>
        </is>
      </c>
      <c r="E1" s="17" t="inlineStr">
        <is>
          <t>My Coastal-Nature Fit (Y)</t>
        </is>
      </c>
      <c r="F1" s="17" t="inlineStr">
        <is>
          <t>Primary Investigation Lens</t>
        </is>
      </c>
      <c r="G1" s="17" t="inlineStr">
        <is>
          <t>Published House Price</t>
        </is>
      </c>
      <c r="H1" s="17" t="inlineStr">
        <is>
          <t>Price Basis</t>
        </is>
      </c>
      <c r="I1" s="17" t="inlineStr">
        <is>
          <t>Price + Est. 6% Costs</t>
        </is>
      </c>
      <c r="J1" s="17" t="inlineStr">
        <is>
          <t>Drive to GW (min)</t>
        </is>
      </c>
      <c r="K1" s="17" t="inlineStr">
        <is>
          <t>Drive to 24-Hr Public ED (min)</t>
        </is>
      </c>
      <c r="L1" s="17" t="inlineStr">
        <is>
          <t>Hard Filter Status</t>
        </is>
      </c>
      <c r="M1" s="17" t="inlineStr">
        <is>
          <t>Score: Near family in GW</t>
        </is>
      </c>
      <c r="N1" s="17" t="inlineStr">
        <is>
          <t>Score: Nature</t>
        </is>
      </c>
      <c r="O1" s="17" t="inlineStr">
        <is>
          <t>Score: Hospital</t>
        </is>
      </c>
      <c r="P1" s="17" t="inlineStr">
        <is>
          <t>Score: Indian community</t>
        </is>
      </c>
      <c r="Q1" s="17" t="inlineStr">
        <is>
          <t>Score: Shops &amp; doctor</t>
        </is>
      </c>
      <c r="R1" s="17" t="inlineStr">
        <is>
          <t>Score: Village character</t>
        </is>
      </c>
      <c r="S1" s="17" t="inlineStr">
        <is>
          <t>Score: Train/bus</t>
        </is>
      </c>
      <c r="T1" s="17" t="inlineStr">
        <is>
          <t>Score: Price</t>
        </is>
      </c>
      <c r="U1" s="17" t="inlineStr">
        <is>
          <t>Score: Beach</t>
        </is>
      </c>
      <c r="V1" s="17" t="inlineStr">
        <is>
          <t>Score: City trip</t>
        </is>
      </c>
      <c r="W1" s="17" t="inlineStr">
        <is>
          <t>Scores Entered</t>
        </is>
      </c>
      <c r="X1" s="17" t="inlineStr">
        <is>
          <t>Weighted Score (0-10)</t>
        </is>
      </c>
      <c r="Y1" s="17" t="inlineStr">
        <is>
          <t>Rank (Passing Only)</t>
        </is>
      </c>
      <c r="Z1" s="17" t="inlineStr">
        <is>
          <t>Healthcare &amp; ABS Verification Notes</t>
        </is>
      </c>
      <c r="AA1" s="22" t="inlineStr">
        <is>
          <t>Legacy import text (frozen 27 Oct 2026; not used by any formula — edit columns A–H and Z instead)</t>
        </is>
      </c>
      <c r="AB1" s="16" t="inlineStr">
        <is>
          <t>Train Option (Yes/No)</t>
        </is>
      </c>
      <c r="AC1" s="16" t="inlineStr">
        <is>
          <t>Train Station / Basis</t>
        </is>
      </c>
      <c r="AD1" s="16" t="inlineStr">
        <is>
          <t>ED Used for Drive Time (K)</t>
        </is>
      </c>
      <c r="AE1" s="23" t="inlineStr">
        <is>
          <t>Budget cap — purchase price</t>
        </is>
      </c>
      <c r="AF1" s="23" t="inlineStr">
        <is>
          <t>Budget basis</t>
        </is>
      </c>
      <c r="AG1" s="23" t="inlineStr">
        <is>
          <t>Price evidence type</t>
        </is>
      </c>
      <c r="AH1" s="23" t="inlineStr">
        <is>
          <t>Price evidence date</t>
        </is>
      </c>
      <c r="AI1" s="23" t="inlineStr">
        <is>
          <t>Budget result</t>
        </is>
      </c>
      <c r="AJ1" s="23" t="inlineStr">
        <is>
          <t>Budget note</t>
        </is>
      </c>
    </row>
    <row r="2" ht="15.75" customHeight="1" s="15">
      <c r="A2" s="18" t="inlineStr">
        <is>
          <t>Blackburn</t>
        </is>
      </c>
      <c r="B2" s="18" t="inlineStr">
        <is>
          <t>East Melbourne</t>
        </is>
      </c>
      <c r="C2" s="18" t="inlineStr">
        <is>
          <t>Active Shortlist</t>
        </is>
      </c>
      <c r="D2" s="18" t="inlineStr">
        <is>
          <t>Medium (Leafy streets)</t>
        </is>
      </c>
      <c r="E2" s="18" t="inlineStr">
        <is>
          <t>Low (Inland)</t>
        </is>
      </c>
      <c r="F2" s="18" t="inlineStr">
        <is>
          <t>Leafy daily living vs housing cost</t>
        </is>
      </c>
      <c r="G2" s="18" t="n">
        <v>1600000</v>
      </c>
      <c r="H2" s="18" t="inlineStr">
        <is>
          <t>Sale median, rolling 12m (OnTheHouse); unit $820k</t>
        </is>
      </c>
      <c r="I2" s="18">
        <f t="array" ref="I2:I90">IF(ISNUMBER(G2:G90), IF(G2:G90&gt;0, G2:G90 * (1 + Settings!$B$6), ""), "")</f>
        <v/>
      </c>
      <c r="J2" s="19" t="n">
        <v>11</v>
      </c>
      <c r="K2" s="19" t="n">
        <v>7</v>
      </c>
      <c r="L2" s="18" t="inlineStr">
        <is>
          <t>Active — needs data</t>
        </is>
      </c>
      <c r="M2" s="19" t="n"/>
      <c r="N2" s="19" t="n"/>
      <c r="O2" s="19">
        <f>IF(K2="","",ROUND(MAX(0,10*(1-K2/Filters!$B$5)),1))</f>
        <v/>
      </c>
      <c r="P2" s="19" t="n"/>
      <c r="Q2" s="19" t="n"/>
      <c r="R2" s="19" t="n"/>
      <c r="S2" s="19" t="n"/>
      <c r="T2" s="19" t="n"/>
      <c r="U2" s="19" t="n"/>
      <c r="V2" s="19" t="n"/>
      <c r="W2" s="18">
        <f>IF(M2="",0,COUNT(M2:V2))</f>
        <v/>
      </c>
      <c r="X2" s="18">
        <f>IF(W2&lt;10,"",M2*ForcedChoiceCorrections!$B$6+N2*ForcedChoiceCorrections!$B$7+O2*ForcedChoiceCorrections!$B$8+P2*ForcedChoiceCorrections!$B$9+Q2*ForcedChoiceCorrections!$B$10+R2*ForcedChoiceCorrections!$B$11+S2*ForcedChoiceCorrections!$B$12+T2*ForcedChoiceCorrections!$B$13+U2*ForcedChoiceCorrections!$B$14+V2*ForcedChoiceCorrections!$B$15)</f>
        <v/>
      </c>
      <c r="Y2" s="18">
        <f>IF(AND(ISNUMBER(SEARCH("pass",L2)),ISNUMBER(X2)),COUNTIFS(L$2:L$90,"*pass*",X$2:X$90,"&gt;"&amp;X2)+1,"")</f>
        <v/>
      </c>
      <c r="Z2" s="18" t="inlineStr">
        <is>
          <t>ABS 2021: 32.4% overseas-born, 31.6% non-Eng HH. Station/ED journeys unverified.</t>
        </is>
      </c>
      <c r="AA2" s="16" t="inlineStr">
        <is>
          <t>1. Blackburn | East Melbourne | Active Shortlist | P: Medium (Leafy streets) | Y: Low (Inland) | Lens: Leafy daily living vs housing cost | Price: 1600000 | Basis: Sale median, rolling 12m (OnTheHouse); unit $820k | Note: ABS 2021: 32.4% overseas-born, 31.6% non-Eng HH. Station/ED journeys unverified.</t>
        </is>
      </c>
      <c r="AB2" s="16" t="inlineStr">
        <is>
          <t>Yes</t>
        </is>
      </c>
      <c r="AC2" s="16" t="inlineStr">
        <is>
          <t>Blackburn station, Lilydale line (recall; verify)</t>
        </is>
      </c>
      <c r="AD2" s="16" t="inlineStr">
        <is>
          <t>Box Hill Hospital ED</t>
        </is>
      </c>
      <c r="AE2" s="24" t="n">
        <v>1500000</v>
      </c>
      <c r="AF2" s="22" t="inlineStr">
        <is>
          <t>Maximum purchase price, excluding transaction and moving costs</t>
        </is>
      </c>
      <c r="AG2" s="22" t="inlineStr">
        <is>
          <t>Suburb median</t>
        </is>
      </c>
      <c r="AH2" s="22" t="inlineStr">
        <is>
          <t>26 Oct 2026</t>
        </is>
      </c>
      <c r="AI2" s="22" t="inlineStr">
        <is>
          <t>Needs data</t>
        </is>
      </c>
      <c r="AJ2" s="22" t="inlineStr">
        <is>
          <t>House median $1.60M (OnTheHouse) exceeds $1.5M cap, but unit/villa median is $820k. Awaiting documented search for suitable single-level homes/units under $1.5M.</t>
        </is>
      </c>
    </row>
    <row r="3" ht="15.75" customHeight="1" s="15">
      <c r="A3" s="18" t="inlineStr">
        <is>
          <t>Ringwood</t>
        </is>
      </c>
      <c r="B3" s="18" t="inlineStr">
        <is>
          <t>East Melbourne</t>
        </is>
      </c>
      <c r="C3" s="18" t="inlineStr">
        <is>
          <t>Active Shortlist</t>
        </is>
      </c>
      <c r="D3" s="18" t="inlineStr">
        <is>
          <t>Medium-High (Foothills gateway)</t>
        </is>
      </c>
      <c r="E3" s="18" t="inlineStr">
        <is>
          <t>Low (Inland)</t>
        </is>
      </c>
      <c r="F3" s="18" t="inlineStr">
        <is>
          <t>Rail, services &amp; access to greener surroundings</t>
        </is>
      </c>
      <c r="G3" s="18" t="n">
        <v>1045000</v>
      </c>
      <c r="H3" s="18" t="inlineStr">
        <is>
          <t>Sale median, rolling 12m (OnTheHouse); unit $650k</t>
        </is>
      </c>
      <c r="I3" s="18" t="n">
        <v>1107700</v>
      </c>
      <c r="J3" s="19" t="n">
        <v>12</v>
      </c>
      <c r="K3" s="19" t="n">
        <v>5</v>
      </c>
      <c r="L3" s="18" t="inlineStr">
        <is>
          <t>Active — provisional pass</t>
        </is>
      </c>
      <c r="M3" s="19" t="n"/>
      <c r="N3" s="19" t="n"/>
      <c r="O3" s="19">
        <f>IF(K3="","",ROUND(MAX(0,10*(1-K3/Filters!$B$5)),1))</f>
        <v/>
      </c>
      <c r="P3" s="19" t="n"/>
      <c r="Q3" s="19" t="n"/>
      <c r="R3" s="19" t="n"/>
      <c r="S3" s="19" t="n"/>
      <c r="T3" s="19" t="n"/>
      <c r="U3" s="19" t="n"/>
      <c r="V3" s="19" t="n"/>
      <c r="W3" s="18">
        <f>IF(M3="",0,COUNT(M3:V3))</f>
        <v/>
      </c>
      <c r="X3" s="18">
        <f>IF(W3&lt;10,"",M3*ForcedChoiceCorrections!$B$6+N3*ForcedChoiceCorrections!$B$7+O3*ForcedChoiceCorrections!$B$8+P3*ForcedChoiceCorrections!$B$9+Q3*ForcedChoiceCorrections!$B$10+R3*ForcedChoiceCorrections!$B$11+S3*ForcedChoiceCorrections!$B$12+T3*ForcedChoiceCorrections!$B$13+U3*ForcedChoiceCorrections!$B$14+V3*ForcedChoiceCorrections!$B$15)</f>
        <v/>
      </c>
      <c r="Y3" s="18">
        <f>IF(AND(ISNUMBER(SEARCH("pass",L3)),ISNUMBER(X3)),COUNTIFS(L$2:L$90,"*pass*",X$2:X$90,"&gt;"&amp;X3)+1,"")</f>
        <v/>
      </c>
      <c r="Z3" s="18" t="inlineStr">
        <is>
          <t>ABS 2021: 35.7% overseas-born, 33.3% non-Eng HH. Belgrave/Lilydale rail; Maroondah Hospital ED nearby (verify drive).</t>
        </is>
      </c>
      <c r="AA3" s="16" t="inlineStr">
        <is>
          <t>2. Ringwood | East Melbourne | Active Shortlist | P: Medium-High (Foothills gateway) | Y: Low (Inland) | Lens: Rail, services &amp; access to greener surroundings | Price: 1045000 | Basis: Sale median, rolling 12m (OnTheHouse); unit $650k | Note: ABS 2021: 35.7% overseas-born, 33.3% non-Eng HH. Belgrave/Lilydale rail; Maroondah Hospital ED nearby (verify drive).</t>
        </is>
      </c>
      <c r="AB3" s="16" t="inlineStr">
        <is>
          <t>Yes</t>
        </is>
      </c>
      <c r="AC3" s="16" t="inlineStr">
        <is>
          <t>Ringwood station, Lilydale/Belgrave lines (recall; verify)</t>
        </is>
      </c>
      <c r="AD3" s="16" t="inlineStr">
        <is>
          <t>Maroondah Hospital ED</t>
        </is>
      </c>
      <c r="AE3" s="24" t="n">
        <v>1500000</v>
      </c>
      <c r="AF3" s="22" t="inlineStr">
        <is>
          <t>Maximum purchase price, excluding transaction and moving costs</t>
        </is>
      </c>
      <c r="AG3" s="22" t="inlineStr">
        <is>
          <t>Suburb median</t>
        </is>
      </c>
      <c r="AH3" s="22" t="inlineStr">
        <is>
          <t>26 Oct 2026</t>
        </is>
      </c>
      <c r="AI3" s="22" t="inlineStr">
        <is>
          <t>Pass</t>
        </is>
      </c>
      <c r="AJ3" s="22" t="inlineStr">
        <is>
          <t>Published house price ($1,045,000) is under $1.5M cap.</t>
        </is>
      </c>
    </row>
    <row r="4" ht="15.75" customHeight="1" s="15">
      <c r="A4" s="18" t="inlineStr">
        <is>
          <t>Heidelberg</t>
        </is>
      </c>
      <c r="B4" s="18" t="inlineStr">
        <is>
          <t>North-East Melbourne</t>
        </is>
      </c>
      <c r="C4" s="18" t="inlineStr">
        <is>
          <t>Active Shortlist</t>
        </is>
      </c>
      <c r="D4" s="18" t="inlineStr">
        <is>
          <t>Medium (Yarra parkland)</t>
        </is>
      </c>
      <c r="E4" s="18" t="inlineStr">
        <is>
          <t>Low (Inland)</t>
        </is>
      </c>
      <c r="F4" s="18" t="inlineStr">
        <is>
          <t>Healthcare-led established suburb option</t>
        </is>
      </c>
      <c r="G4" s="18" t="n">
        <v>1452000</v>
      </c>
      <c r="H4" s="18" t="inlineStr">
        <is>
          <t>Sale median, rolling 12m (35 sales); unit $700k</t>
        </is>
      </c>
      <c r="I4" s="18" t="n">
        <v>1539120</v>
      </c>
      <c r="J4" s="19" t="n">
        <v>25</v>
      </c>
      <c r="K4" s="19" t="n">
        <v>4</v>
      </c>
      <c r="L4" s="18" t="inlineStr">
        <is>
          <t>Active — provisional pass</t>
        </is>
      </c>
      <c r="M4" s="19" t="n"/>
      <c r="N4" s="19" t="n"/>
      <c r="O4" s="19">
        <f>IF(K4="","",ROUND(MAX(0,10*(1-K4/Filters!$B$5)),1))</f>
        <v/>
      </c>
      <c r="P4" s="19" t="n"/>
      <c r="Q4" s="19" t="n"/>
      <c r="R4" s="19" t="n"/>
      <c r="S4" s="19" t="n"/>
      <c r="T4" s="19" t="n"/>
      <c r="U4" s="19" t="n"/>
      <c r="V4" s="19" t="n"/>
      <c r="W4" s="18">
        <f>IF(M4="",0,COUNT(M4:V4))</f>
        <v/>
      </c>
      <c r="X4" s="18">
        <f>IF(W4&lt;10,"",M4*ForcedChoiceCorrections!$B$6+N4*ForcedChoiceCorrections!$B$7+O4*ForcedChoiceCorrections!$B$8+P4*ForcedChoiceCorrections!$B$9+Q4*ForcedChoiceCorrections!$B$10+R4*ForcedChoiceCorrections!$B$11+S4*ForcedChoiceCorrections!$B$12+T4*ForcedChoiceCorrections!$B$13+U4*ForcedChoiceCorrections!$B$14+V4*ForcedChoiceCorrections!$B$15)</f>
        <v/>
      </c>
      <c r="Y4" s="18">
        <f>IF(AND(ISNUMBER(SEARCH("pass",L4)),ISNUMBER(X4)),COUNTIFS(L$2:L$90,"*pass*",X$2:X$90,"&gt;"&amp;X4)+1,"")</f>
        <v/>
      </c>
      <c r="Z4" s="18" t="inlineStr">
        <is>
          <t>ABS 2021: 28.1% overseas-born, 28.4% non-Eng HH. Austin Hospital precinct; verify residential pocket &amp; gradients.</t>
        </is>
      </c>
      <c r="AA4" s="16" t="inlineStr">
        <is>
          <t>3. Heidelberg | North-East Melbourne | Active Shortlist | P: Medium (Yarra parkland) | Y: Low (Inland) | Lens: Healthcare-led established suburb option | Price: 1452000 | Basis: Sale median, rolling 12m (35 sales); unit $700k | Note: ABS 2021: 28.1% overseas-born, 28.4% non-Eng HH. Austin Hospital precinct; verify residential pocket &amp; gradients.</t>
        </is>
      </c>
      <c r="AB4" s="16" t="inlineStr">
        <is>
          <t>Yes</t>
        </is>
      </c>
      <c r="AC4" s="16" t="inlineStr">
        <is>
          <t>Heidelberg station, Hurstbridge line (recall; verify)</t>
        </is>
      </c>
      <c r="AD4" s="16" t="inlineStr">
        <is>
          <t>Austin Hospital ED</t>
        </is>
      </c>
      <c r="AE4" s="24" t="n">
        <v>1500000</v>
      </c>
      <c r="AF4" s="22" t="inlineStr">
        <is>
          <t>Maximum purchase price, excluding transaction and moving costs</t>
        </is>
      </c>
      <c r="AG4" s="22" t="inlineStr">
        <is>
          <t>Suburb median</t>
        </is>
      </c>
      <c r="AH4" s="22" t="inlineStr">
        <is>
          <t>26 Oct 2026</t>
        </is>
      </c>
      <c r="AI4" s="22" t="inlineStr">
        <is>
          <t>Pass</t>
        </is>
      </c>
      <c r="AJ4" s="22" t="inlineStr">
        <is>
          <t>House median $1.452M (35 sales) is under $1.5M cap. Passes GW drive (25m) and ED drive (4m).</t>
        </is>
      </c>
    </row>
    <row r="5" ht="15.75" customHeight="1" s="15">
      <c r="A5" s="18" t="inlineStr">
        <is>
          <t>Eltham</t>
        </is>
      </c>
      <c r="B5" s="18" t="inlineStr">
        <is>
          <t>North-East Melbourne</t>
        </is>
      </c>
      <c r="C5" s="18" t="inlineStr">
        <is>
          <t>Active Shortlist</t>
        </is>
      </c>
      <c r="D5" s="18" t="inlineStr">
        <is>
          <t>High (Bushland/trees)</t>
        </is>
      </c>
      <c r="E5" s="18" t="inlineStr">
        <is>
          <t>Low (Inland)</t>
        </is>
      </c>
      <c r="F5" s="18" t="inlineStr">
        <is>
          <t>Green/scenic lifestyle hypothesis</t>
        </is>
      </c>
      <c r="G5" s="18" t="n">
        <v>1273000</v>
      </c>
      <c r="H5" s="18" t="inlineStr">
        <is>
          <t>Sale median, rolling 12m (195 sales); unit $805k</t>
        </is>
      </c>
      <c r="I5" s="18" t="n">
        <v>1349380</v>
      </c>
      <c r="J5" s="19" t="n">
        <v>26</v>
      </c>
      <c r="K5" s="19" t="n">
        <v>16</v>
      </c>
      <c r="L5" s="18" t="inlineStr">
        <is>
          <t>Active — provisional pass</t>
        </is>
      </c>
      <c r="M5" s="19" t="n"/>
      <c r="N5" s="19" t="n"/>
      <c r="O5" s="19">
        <f>IF(K5="","",ROUND(MAX(0,10*(1-K5/Filters!$B$5)),1))</f>
        <v/>
      </c>
      <c r="P5" s="19" t="n"/>
      <c r="Q5" s="19" t="n"/>
      <c r="R5" s="19" t="n"/>
      <c r="S5" s="19" t="n"/>
      <c r="T5" s="19" t="n"/>
      <c r="U5" s="19" t="n"/>
      <c r="V5" s="19" t="n"/>
      <c r="W5" s="18">
        <f>IF(M5="",0,COUNT(M5:V5))</f>
        <v/>
      </c>
      <c r="X5" s="18">
        <f>IF(W5&lt;10,"",M5*ForcedChoiceCorrections!$B$6+N5*ForcedChoiceCorrections!$B$7+O5*ForcedChoiceCorrections!$B$8+P5*ForcedChoiceCorrections!$B$9+Q5*ForcedChoiceCorrections!$B$10+R5*ForcedChoiceCorrections!$B$11+S5*ForcedChoiceCorrections!$B$12+T5*ForcedChoiceCorrections!$B$13+U5*ForcedChoiceCorrections!$B$14+V5*ForcedChoiceCorrections!$B$15)</f>
        <v/>
      </c>
      <c r="Y5" s="18">
        <f>IF(AND(ISNUMBER(SEARCH("pass",L5)),ISNUMBER(X5)),COUNTIFS(L$2:L$90,"*pass*",X$2:X$90,"&gt;"&amp;X5)+1,"")</f>
        <v/>
      </c>
      <c r="Z5" s="18" t="inlineStr">
        <is>
          <t>ABS 2021: 18.5% overseas-born, 14.0% non-Eng HH. Hurstbridge line; verify ED &amp; GW drive times.</t>
        </is>
      </c>
      <c r="AA5" s="16" t="inlineStr">
        <is>
          <t>4. Eltham | North-East Melbourne | Active Shortlist | P: High (Bushland/trees) | Y: Low (Inland) | Lens: Green/scenic lifestyle hypothesis | Price: 1273000 | Basis: Sale median, rolling 12m (195 sales); unit $805k | Note: ABS 2021: 18.5% overseas-born, 14.0% non-Eng HH. Hurstbridge line; verify ED &amp; GW drive times.</t>
        </is>
      </c>
      <c r="AB5" s="16" t="inlineStr">
        <is>
          <t>Yes</t>
        </is>
      </c>
      <c r="AC5" s="16" t="inlineStr">
        <is>
          <t>Eltham station, Hurstbridge line (recall; verify)</t>
        </is>
      </c>
      <c r="AD5" s="16" t="inlineStr">
        <is>
          <t>Austin Hospital ED</t>
        </is>
      </c>
      <c r="AE5" s="24" t="n">
        <v>1500000</v>
      </c>
      <c r="AF5" s="22" t="inlineStr">
        <is>
          <t>Maximum purchase price, excluding transaction and moving costs</t>
        </is>
      </c>
      <c r="AG5" s="22" t="inlineStr">
        <is>
          <t>Suburb median</t>
        </is>
      </c>
      <c r="AH5" s="22" t="inlineStr">
        <is>
          <t>26 Oct 2026</t>
        </is>
      </c>
      <c r="AI5" s="22" t="inlineStr">
        <is>
          <t>Pass</t>
        </is>
      </c>
      <c r="AJ5" s="22" t="inlineStr">
        <is>
          <t>House median $1.273M (195 sales) is under $1.5M cap. Passes GW drive (26m) and ED drive (16m).</t>
        </is>
      </c>
    </row>
    <row r="6" ht="15.75" customHeight="1" s="15">
      <c r="A6" s="18" t="inlineStr">
        <is>
          <t>Upper Ferntree Gully</t>
        </is>
      </c>
      <c r="B6" s="18" t="inlineStr">
        <is>
          <t>East / Foothills</t>
        </is>
      </c>
      <c r="C6" s="18" t="inlineStr">
        <is>
          <t>Active Shortlist</t>
        </is>
      </c>
      <c r="D6" s="18" t="inlineStr">
        <is>
          <t>High (Foothills/forest)</t>
        </is>
      </c>
      <c r="E6" s="18" t="inlineStr">
        <is>
          <t>Low (Inland)</t>
        </is>
      </c>
      <c r="F6" s="18" t="inlineStr">
        <is>
          <t>Forest/foothills lifestyle with hospital &amp; rail access</t>
        </is>
      </c>
      <c r="G6" s="18" t="n">
        <v>872133</v>
      </c>
      <c r="H6" s="18" t="inlineStr">
        <is>
          <t>AVM estimate (30 Sep 2026), NOT a verified sale median</t>
        </is>
      </c>
      <c r="I6" s="18" t="n">
        <v>924460.98</v>
      </c>
      <c r="J6" s="19" t="n">
        <v>16</v>
      </c>
      <c r="K6" s="19" t="n">
        <v>2</v>
      </c>
      <c r="L6" s="18" t="inlineStr">
        <is>
          <t>Active — provisional pass</t>
        </is>
      </c>
      <c r="M6" s="19" t="n"/>
      <c r="N6" s="19" t="n"/>
      <c r="O6" s="19">
        <f>IF(K6="","",ROUND(MAX(0,10*(1-K6/Filters!$B$5)),1))</f>
        <v/>
      </c>
      <c r="P6" s="19" t="n"/>
      <c r="Q6" s="19" t="n"/>
      <c r="R6" s="19" t="n"/>
      <c r="S6" s="19" t="n"/>
      <c r="T6" s="19" t="n"/>
      <c r="U6" s="19" t="n"/>
      <c r="V6" s="19" t="n"/>
      <c r="W6" s="18">
        <f>IF(M6="",0,COUNT(M6:V6))</f>
        <v/>
      </c>
      <c r="X6" s="18">
        <f>IF(W6&lt;10,"",M6*ForcedChoiceCorrections!$B$6+N6*ForcedChoiceCorrections!$B$7+O6*ForcedChoiceCorrections!$B$8+P6*ForcedChoiceCorrections!$B$9+Q6*ForcedChoiceCorrections!$B$10+R6*ForcedChoiceCorrections!$B$11+S6*ForcedChoiceCorrections!$B$12+T6*ForcedChoiceCorrections!$B$13+U6*ForcedChoiceCorrections!$B$14+V6*ForcedChoiceCorrections!$B$15)</f>
        <v/>
      </c>
      <c r="Y6" s="18">
        <f>IF(AND(ISNUMBER(SEARCH("pass",L6)),ISNUMBER(X6)),COUNTIFS(L$2:L$90,"*pass*",X$2:X$90,"&gt;"&amp;X6)+1,"")</f>
        <v/>
      </c>
      <c r="Z6" s="18" t="inlineStr">
        <is>
          <t>ABS 2021: 19.2% overseas-born, 12.2% non-Eng HH. Belgrave line; 10-min walk/bus 732 to Angliss Hospital (verify 24-hr ED status &amp; drive). 27 Oct 2026: OnTheHouse gives the same house AVM ($872,133) for Upper Ferntree Gully and Ferntree Gully — likely postcode-level, weak.</t>
        </is>
      </c>
      <c r="AA6" s="16" t="inlineStr">
        <is>
          <t>5. Upper Ferntree Gully | East / Foothills | Active Shortlist | P: High (Foothills/forest) | Y: Low (Inland) | Lens: Forest/foothills lifestyle with hospital &amp; rail access | Price: 872133 | Basis: AVM estimate (30 Sep 2026), NOT a verified sale median | Note: ABS 2021: 19.2% overseas-born, 12.2% non-Eng HH. Belgrave line; 10-min walk/bus 732 to Angliss Hospital (verify 24-hr ED status &amp; drive).</t>
        </is>
      </c>
      <c r="AB6" s="16" t="inlineStr">
        <is>
          <t>Yes</t>
        </is>
      </c>
      <c r="AC6" s="16" t="inlineStr">
        <is>
          <t>Upper Ferntree Gully station, Belgrave line (per sheet note)</t>
        </is>
      </c>
      <c r="AD6" s="16" t="inlineStr">
        <is>
          <t>Angliss Hospital ED (24-hr status still to verify)</t>
        </is>
      </c>
      <c r="AE6" s="24" t="n">
        <v>1500000</v>
      </c>
      <c r="AF6" s="22" t="inlineStr">
        <is>
          <t>Maximum purchase price, excluding transaction and moving costs</t>
        </is>
      </c>
      <c r="AG6" s="22" t="inlineStr">
        <is>
          <t>Suburb median</t>
        </is>
      </c>
      <c r="AH6" s="22" t="inlineStr">
        <is>
          <t>26 Oct 2026</t>
        </is>
      </c>
      <c r="AI6" s="22" t="inlineStr">
        <is>
          <t>Pass</t>
        </is>
      </c>
      <c r="AJ6" s="22" t="inlineStr">
        <is>
          <t>Published house price ($872,133) is under $1.5M cap.</t>
        </is>
      </c>
    </row>
    <row r="7" ht="15.75" customHeight="1" s="15">
      <c r="A7" s="18" t="inlineStr">
        <is>
          <t>Glen Waverley</t>
        </is>
      </c>
      <c r="B7" s="18" t="inlineStr">
        <is>
          <t>East Melbourne</t>
        </is>
      </c>
      <c r="C7" s="18" t="inlineStr">
        <is>
          <t>Active Shortlist</t>
        </is>
      </c>
      <c r="D7" s="18" t="inlineStr">
        <is>
          <t>Low-Medium (Suburban)</t>
        </is>
      </c>
      <c r="E7" s="18" t="inlineStr">
        <is>
          <t>Low (Inland)</t>
        </is>
      </c>
      <c r="F7" s="18" t="inlineStr">
        <is>
          <t>Current stay baseline — multicultural convenience</t>
        </is>
      </c>
      <c r="G7" s="18" t="n">
        <v>1763500</v>
      </c>
      <c r="H7" s="18" t="inlineStr">
        <is>
          <t>Sale median, rolling 12m (454 sales); unit $930k</t>
        </is>
      </c>
      <c r="I7" s="18" t="n">
        <v>1869310</v>
      </c>
      <c r="J7" s="19" t="n">
        <v>0</v>
      </c>
      <c r="K7" s="19" t="n">
        <v>13</v>
      </c>
      <c r="L7" s="18" t="inlineStr">
        <is>
          <t>Active — needs data</t>
        </is>
      </c>
      <c r="M7" s="19" t="n"/>
      <c r="N7" s="19" t="n"/>
      <c r="O7" s="19">
        <f>IF(K7="","",ROUND(MAX(0,10*(1-K7/Filters!$B$5)),1))</f>
        <v/>
      </c>
      <c r="P7" s="19" t="n"/>
      <c r="Q7" s="19" t="n"/>
      <c r="R7" s="19" t="n"/>
      <c r="S7" s="19" t="n"/>
      <c r="T7" s="19" t="n"/>
      <c r="U7" s="19" t="n"/>
      <c r="V7" s="19" t="n"/>
      <c r="W7" s="18">
        <f>IF(M7="",0,COUNT(M7:V7))</f>
        <v/>
      </c>
      <c r="X7" s="18">
        <f>IF(W7&lt;10,"",M7*ForcedChoiceCorrections!$B$6+N7*ForcedChoiceCorrections!$B$7+O7*ForcedChoiceCorrections!$B$8+P7*ForcedChoiceCorrections!$B$9+Q7*ForcedChoiceCorrections!$B$10+R7*ForcedChoiceCorrections!$B$11+S7*ForcedChoiceCorrections!$B$12+T7*ForcedChoiceCorrections!$B$13+U7*ForcedChoiceCorrections!$B$14+V7*ForcedChoiceCorrections!$B$15)</f>
        <v/>
      </c>
      <c r="Y7" s="18">
        <f>IF(AND(ISNUMBER(SEARCH("pass",L7)),ISNUMBER(X7)),COUNTIFS(L$2:L$90,"*pass*",X$2:X$90,"&gt;"&amp;X7)+1,"")</f>
        <v/>
      </c>
      <c r="Z7" s="18" t="inlineStr">
        <is>
          <t>ABS 2021: 58.7% overseas-born, 63.0% non-Eng HH. Baseline benchmark for family proximity.</t>
        </is>
      </c>
      <c r="AA7" s="16" t="inlineStr">
        <is>
          <t>6. Glen Waverley | East Melbourne | Active Shortlist | P: Low-Medium (Suburban) | Y: Low (Inland) | Lens: Current stay baseline — multicultural convenience | Price: 1763500 | Basis: Sale median, rolling 12m (454 sales); unit $930k | Note: ABS 2021: 58.7% overseas-born, 63.0% non-Eng HH. Baseline benchmark for family proximity.</t>
        </is>
      </c>
      <c r="AB7" s="16" t="inlineStr">
        <is>
          <t>Yes</t>
        </is>
      </c>
      <c r="AC7" s="16" t="inlineStr">
        <is>
          <t>Glen Waverley station, Glen Waverley line (recall; verify)</t>
        </is>
      </c>
      <c r="AD7" s="16" t="inlineStr">
        <is>
          <t>Monash Medical Centre Clayton ED</t>
        </is>
      </c>
      <c r="AE7" s="24" t="n">
        <v>1500000</v>
      </c>
      <c r="AF7" s="22" t="inlineStr">
        <is>
          <t>Maximum purchase price, excluding transaction and moving costs</t>
        </is>
      </c>
      <c r="AG7" s="22" t="inlineStr">
        <is>
          <t>Suburb median</t>
        </is>
      </c>
      <c r="AH7" s="22" t="inlineStr">
        <is>
          <t>26 Oct 2026</t>
        </is>
      </c>
      <c r="AI7" s="22" t="inlineStr">
        <is>
          <t>Needs data</t>
        </is>
      </c>
      <c r="AJ7" s="22" t="inlineStr">
        <is>
          <t>House median $1.76M (454 sales) exceeds $1.5M cap; unit median $930k. Awaiting documented search for suitable single-level homes/units under $1.5M.</t>
        </is>
      </c>
    </row>
    <row r="8" ht="15.75" customHeight="1" s="15">
      <c r="A8" s="18" t="inlineStr">
        <is>
          <t>Warrandyte</t>
        </is>
      </c>
      <c r="B8" s="18" t="inlineStr">
        <is>
          <t>North-East / Yarra</t>
        </is>
      </c>
      <c r="C8" s="18" t="inlineStr">
        <is>
          <t>Active Shortlist</t>
        </is>
      </c>
      <c r="D8" s="18" t="inlineStr">
        <is>
          <t>High (River &amp; state park)</t>
        </is>
      </c>
      <c r="E8" s="18" t="inlineStr">
        <is>
          <t>Low (River, non-coastal)</t>
        </is>
      </c>
      <c r="F8" s="18" t="inlineStr">
        <is>
          <t>River-and-bush living within metro boundary</t>
        </is>
      </c>
      <c r="G8" s="18" t="n">
        <v>1348901</v>
      </c>
      <c r="H8" s="18" t="inlineStr">
        <is>
          <t>AVM estimate (30 Sep 2026), NOT a verified sale median; unit $824,796; 84 sales in last 12m (OnTheHouse/Cotality, read 27 Oct 2026)</t>
        </is>
      </c>
      <c r="I8" s="18">
        <f>G8*(1+Settings!$B$6)</f>
        <v/>
      </c>
      <c r="J8" s="19" t="n">
        <v>20</v>
      </c>
      <c r="K8" s="19" t="n">
        <v>14</v>
      </c>
      <c r="L8" s="18" t="inlineStr">
        <is>
          <t>Active — provisional pass</t>
        </is>
      </c>
      <c r="M8" s="19" t="n"/>
      <c r="N8" s="19" t="n"/>
      <c r="O8" s="19">
        <f>IF(K8="","",ROUND(MAX(0,10*(1-K8/Filters!$B$5)),1))</f>
        <v/>
      </c>
      <c r="P8" s="19" t="n"/>
      <c r="Q8" s="19" t="n"/>
      <c r="R8" s="19" t="n"/>
      <c r="S8" s="19" t="n"/>
      <c r="T8" s="19" t="n"/>
      <c r="U8" s="19" t="n"/>
      <c r="V8" s="19" t="n"/>
      <c r="W8" s="18">
        <f>IF(M8="",0,COUNT(M8:V8))</f>
        <v/>
      </c>
      <c r="X8" s="18">
        <f>IF(W8&lt;10,"",M8*ForcedChoiceCorrections!$B$6+N8*ForcedChoiceCorrections!$B$7+O8*ForcedChoiceCorrections!$B$8+P8*ForcedChoiceCorrections!$B$9+Q8*ForcedChoiceCorrections!$B$10+R8*ForcedChoiceCorrections!$B$11+S8*ForcedChoiceCorrections!$B$12+T8*ForcedChoiceCorrections!$B$13+U8*ForcedChoiceCorrections!$B$14+V8*ForcedChoiceCorrections!$B$15)</f>
        <v/>
      </c>
      <c r="Y8" s="18">
        <f>IF(AND(ISNUMBER(SEARCH("pass",L8)),ISNUMBER(X8)),COUNTIFS(L$2:L$90,"*pass*",X$2:X$90,"&gt;"&amp;X8)+1,"")</f>
        <v/>
      </c>
      <c r="Z8" s="18" t="inlineStr">
        <is>
          <t>ABS 2021: 17.7% aged 65+, 17.0% non-Eng HH. Direct city bus 906; no local rail; check fire overlay &amp; ED drive. 27 Oct 2026 research pass: drive times/ED and/or AVM price added; L re-evaluated.</t>
        </is>
      </c>
      <c r="AA8" s="16" t="inlineStr">
        <is>
          <t>7. Warrandyte | North-East / Yarra | Active Shortlist | P: High (River &amp; state park) | Y: Low (River, non-coastal) | Lens: River-and-bush living within metro boundary | Price: [Blank] | Basis: Not verified in report | Note: ABS 2021: 17.7% aged 65+, 17.0% non-Eng HH. Direct city bus 906; no local rail; check fire overlay &amp; ED drive.</t>
        </is>
      </c>
      <c r="AB8" s="16" t="inlineStr">
        <is>
          <t>No</t>
        </is>
      </c>
      <c r="AC8" s="16" t="inlineStr">
        <is>
          <t>No rail; bus 906 (per sheet note)</t>
        </is>
      </c>
      <c r="AD8" s="16" t="inlineStr">
        <is>
          <t>Maroondah Hospital ED</t>
        </is>
      </c>
      <c r="AE8" s="24" t="n">
        <v>1500000</v>
      </c>
      <c r="AF8" s="22" t="inlineStr">
        <is>
          <t>Maximum purchase price, excluding transaction and moving costs</t>
        </is>
      </c>
      <c r="AG8" s="22" t="inlineStr">
        <is>
          <t>AVM estimate</t>
        </is>
      </c>
      <c r="AH8" s="22" t="inlineStr">
        <is>
          <t>27 Oct 2026</t>
        </is>
      </c>
      <c r="AI8" s="22" t="inlineStr">
        <is>
          <t>Pass</t>
        </is>
      </c>
      <c r="AJ8" s="22" t="inlineStr">
        <is>
          <t>AVM house value ($1,348,901) is under $1.5M cap. Not a sale median.</t>
        </is>
      </c>
    </row>
    <row r="9" ht="15.75" customHeight="1" s="15">
      <c r="A9" s="18" t="inlineStr">
        <is>
          <t>Diamond Creek</t>
        </is>
      </c>
      <c r="B9" s="18" t="inlineStr">
        <is>
          <t>North-East Fringe</t>
        </is>
      </c>
      <c r="C9" s="18" t="inlineStr">
        <is>
          <t>Active Shortlist</t>
        </is>
      </c>
      <c r="D9" s="18" t="inlineStr">
        <is>
          <t>High (Green wedge &amp; trail)</t>
        </is>
      </c>
      <c r="E9" s="18" t="inlineStr">
        <is>
          <t>Low (Inland)</t>
        </is>
      </c>
      <c r="F9" s="18" t="inlineStr">
        <is>
          <t>Practical metro nature compromise with rail</t>
        </is>
      </c>
      <c r="G9" s="18" t="n">
        <v>885000</v>
      </c>
      <c r="H9" s="18" t="inlineStr">
        <is>
          <t>3-bed house median $885k; 4-bed $1,240k (Domain)</t>
        </is>
      </c>
      <c r="I9" s="18" t="n">
        <v>938100</v>
      </c>
      <c r="J9" s="19" t="n">
        <v>33</v>
      </c>
      <c r="K9" s="19" t="n">
        <v>19</v>
      </c>
      <c r="L9" s="18" t="inlineStr">
        <is>
          <t>Active — provisional pass</t>
        </is>
      </c>
      <c r="M9" s="19" t="n"/>
      <c r="N9" s="19" t="n"/>
      <c r="O9" s="19">
        <f>IF(K9="","",ROUND(MAX(0,10*(1-K9/Filters!$B$5)),1))</f>
        <v/>
      </c>
      <c r="P9" s="19" t="n"/>
      <c r="Q9" s="19" t="n"/>
      <c r="R9" s="19" t="n"/>
      <c r="S9" s="19" t="n"/>
      <c r="T9" s="19" t="n"/>
      <c r="U9" s="19" t="n"/>
      <c r="V9" s="19" t="n"/>
      <c r="W9" s="18">
        <f>IF(M9="",0,COUNT(M9:V9))</f>
        <v/>
      </c>
      <c r="X9" s="18">
        <f>IF(W9&lt;10,"",M9*ForcedChoiceCorrections!$B$6+N9*ForcedChoiceCorrections!$B$7+O9*ForcedChoiceCorrections!$B$8+P9*ForcedChoiceCorrections!$B$9+Q9*ForcedChoiceCorrections!$B$10+R9*ForcedChoiceCorrections!$B$11+S9*ForcedChoiceCorrections!$B$12+T9*ForcedChoiceCorrections!$B$13+U9*ForcedChoiceCorrections!$B$14+V9*ForcedChoiceCorrections!$B$15)</f>
        <v/>
      </c>
      <c r="Y9" s="18">
        <f>IF(AND(ISNUMBER(SEARCH("pass",L9)),ISNUMBER(X9)),COUNTIFS(L$2:L$90,"*pass*",X$2:X$90,"&gt;"&amp;X9)+1,"")</f>
        <v/>
      </c>
      <c r="Z9" s="18" t="inlineStr">
        <is>
          <t>ABS 2021: 13.1% aged 65+, 12.2% non-Eng HH. Hurstbridge line station &amp; trail; verify ED &amp; GW drive.</t>
        </is>
      </c>
      <c r="AA9" s="16" t="inlineStr">
        <is>
          <t>8. Diamond Creek | North-East Fringe | Active Shortlist | P: High (Green wedge &amp; trail) | Y: Low (Inland) | Lens: Practical metro nature compromise with rail | Price: 885000 | Basis: 3-bed house median $885k; 4-bed $1,240k (Domain) | Note: ABS 2021: 13.1% aged 65+, 12.2% non-Eng HH. Hurstbridge line station &amp; trail; verify ED &amp; GW drive.</t>
        </is>
      </c>
      <c r="AB9" s="16" t="inlineStr">
        <is>
          <t>Yes</t>
        </is>
      </c>
      <c r="AC9" s="16" t="inlineStr">
        <is>
          <t>Diamond Creek station, Hurstbridge line (per sheet note)</t>
        </is>
      </c>
      <c r="AD9" s="16" t="inlineStr">
        <is>
          <t>Austin Hospital ED</t>
        </is>
      </c>
      <c r="AE9" s="24" t="n">
        <v>1500000</v>
      </c>
      <c r="AF9" s="22" t="inlineStr">
        <is>
          <t>Maximum purchase price, excluding transaction and moving costs</t>
        </is>
      </c>
      <c r="AG9" s="22" t="inlineStr">
        <is>
          <t>Suburb median</t>
        </is>
      </c>
      <c r="AH9" s="22" t="inlineStr">
        <is>
          <t>26 Oct 2026</t>
        </is>
      </c>
      <c r="AI9" s="22" t="inlineStr">
        <is>
          <t>Pass</t>
        </is>
      </c>
      <c r="AJ9" s="22" t="inlineStr">
        <is>
          <t>Published house price ($885,000) is under $1.5M cap.</t>
        </is>
      </c>
    </row>
    <row r="10" ht="15.75" customHeight="1" s="15">
      <c r="A10" s="18" t="inlineStr">
        <is>
          <t>Mentone</t>
        </is>
      </c>
      <c r="B10" s="18" t="inlineStr">
        <is>
          <t>Bayside Melbourne</t>
        </is>
      </c>
      <c r="C10" s="18" t="inlineStr">
        <is>
          <t>Active Shortlist</t>
        </is>
      </c>
      <c r="D10" s="18" t="inlineStr">
        <is>
          <t>Low-Medium (Suburban gardens)</t>
        </is>
      </c>
      <c r="E10" s="18" t="inlineStr">
        <is>
          <t>High (Bay beach)</t>
        </is>
      </c>
      <c r="F10" s="18" t="inlineStr">
        <is>
          <t>Coastal daily living on metro rail line</t>
        </is>
      </c>
      <c r="G10" s="18" t="n">
        <v>1497099</v>
      </c>
      <c r="H10" s="18" t="inlineStr">
        <is>
          <t>Sale median (Aussie/CoreLogic); Woodards shows $1.30m</t>
        </is>
      </c>
      <c r="I10" s="18" t="n">
        <v>1586924.94</v>
      </c>
      <c r="J10" s="19" t="n">
        <v>25</v>
      </c>
      <c r="K10" s="19" t="n">
        <v>16</v>
      </c>
      <c r="L10" s="18" t="inlineStr">
        <is>
          <t>Active — provisional pass</t>
        </is>
      </c>
      <c r="M10" s="19" t="n"/>
      <c r="N10" s="19" t="n"/>
      <c r="O10" s="19">
        <f>IF(K10="","",ROUND(MAX(0,10*(1-K10/Filters!$B$5)),1))</f>
        <v/>
      </c>
      <c r="P10" s="19" t="n"/>
      <c r="Q10" s="19" t="n"/>
      <c r="R10" s="19" t="n"/>
      <c r="S10" s="19" t="n"/>
      <c r="T10" s="19" t="n"/>
      <c r="U10" s="19" t="n"/>
      <c r="V10" s="19" t="n"/>
      <c r="W10" s="18">
        <f>IF(M10="",0,COUNT(M10:V10))</f>
        <v/>
      </c>
      <c r="X10" s="18">
        <f>IF(W10&lt;10,"",M10*ForcedChoiceCorrections!$B$6+N10*ForcedChoiceCorrections!$B$7+O10*ForcedChoiceCorrections!$B$8+P10*ForcedChoiceCorrections!$B$9+Q10*ForcedChoiceCorrections!$B$10+R10*ForcedChoiceCorrections!$B$11+S10*ForcedChoiceCorrections!$B$12+T10*ForcedChoiceCorrections!$B$13+U10*ForcedChoiceCorrections!$B$14+V10*ForcedChoiceCorrections!$B$15)</f>
        <v/>
      </c>
      <c r="Y10" s="18">
        <f>IF(AND(ISNUMBER(SEARCH("pass",L10)),ISNUMBER(X10)),COUNTIFS(L$2:L$90,"*pass*",X$2:X$90,"&gt;"&amp;X10)+1,"")</f>
        <v/>
      </c>
      <c r="Z10" s="18" t="inlineStr">
        <is>
          <t>ABS 2021: 28.8% overseas-born, 22.4% non-Eng HH. Reconcile price sources &amp; verify ED drive.</t>
        </is>
      </c>
      <c r="AA10" s="16" t="inlineStr">
        <is>
          <t>9. Mentone | Bayside Melbourne | Active Shortlist | P: Low-Medium (Suburban gardens) | Y: High (Bay beach) | Lens: Coastal daily living on metro rail line | Price: 1497099 | Basis: Sale median (Aussie/CoreLogic); Woodards shows $1.30m | Note: ABS 2021: 28.8% overseas-born, 22.4% non-Eng HH. Reconcile price sources &amp; verify ED drive.</t>
        </is>
      </c>
      <c r="AB10" s="16" t="inlineStr">
        <is>
          <t>Yes</t>
        </is>
      </c>
      <c r="AC10" s="16" t="inlineStr">
        <is>
          <t>Mentone station, Frankston line (recall; verify)</t>
        </is>
      </c>
      <c r="AD10" s="16" t="inlineStr">
        <is>
          <t>Monash Medical Centre Clayton ED</t>
        </is>
      </c>
      <c r="AE10" s="24" t="n">
        <v>1500000</v>
      </c>
      <c r="AF10" s="22" t="inlineStr">
        <is>
          <t>Maximum purchase price, excluding transaction and moving costs</t>
        </is>
      </c>
      <c r="AG10" s="22" t="inlineStr">
        <is>
          <t>Suburb median</t>
        </is>
      </c>
      <c r="AH10" s="22" t="inlineStr">
        <is>
          <t>26 Oct 2026</t>
        </is>
      </c>
      <c r="AI10" s="22" t="inlineStr">
        <is>
          <t>Pass</t>
        </is>
      </c>
      <c r="AJ10" s="22" t="inlineStr">
        <is>
          <t>House median $1.497M (CoreLogic) / $1.30M (Woodards) is under $1.5M cap. Passes GW drive (25m) and ED drive (16m).</t>
        </is>
      </c>
    </row>
    <row r="11" ht="15.75" customHeight="1" s="15">
      <c r="A11" s="18" t="inlineStr">
        <is>
          <t>Frankston</t>
        </is>
      </c>
      <c r="B11" s="18" t="inlineStr">
        <is>
          <t>South / Coastal</t>
        </is>
      </c>
      <c r="C11" s="18" t="inlineStr">
        <is>
          <t>Active Shortlist</t>
        </is>
      </c>
      <c r="D11" s="18" t="inlineStr">
        <is>
          <t>Medium (Sweetwater/gullies)</t>
        </is>
      </c>
      <c r="E11" s="18" t="inlineStr">
        <is>
          <t>High (Bay beach)</t>
        </is>
      </c>
      <c r="F11" s="18" t="inlineStr">
        <is>
          <t>Coastal practicality &amp; accessible property price</t>
        </is>
      </c>
      <c r="G11" s="18" t="n">
        <v>834296</v>
      </c>
      <c r="H11" s="18" t="inlineStr">
        <is>
          <t>Sale median, rolling 12m (Aussie/Cotality); unit $573k</t>
        </is>
      </c>
      <c r="I11" s="18" t="n">
        <v>884353.76</v>
      </c>
      <c r="J11" s="19" t="n">
        <v>25</v>
      </c>
      <c r="K11" s="19" t="n">
        <v>4</v>
      </c>
      <c r="L11" s="18" t="inlineStr">
        <is>
          <t>Active — provisional pass</t>
        </is>
      </c>
      <c r="M11" s="19" t="n"/>
      <c r="N11" s="19" t="n"/>
      <c r="O11" s="19">
        <f>IF(K11="","",ROUND(MAX(0,10*(1-K11/Filters!$B$5)),1))</f>
        <v/>
      </c>
      <c r="P11" s="19" t="n"/>
      <c r="Q11" s="19" t="n"/>
      <c r="R11" s="19" t="n"/>
      <c r="S11" s="19" t="n"/>
      <c r="T11" s="19" t="n"/>
      <c r="U11" s="19" t="n"/>
      <c r="V11" s="19" t="n"/>
      <c r="W11" s="18">
        <f>IF(M11="",0,COUNT(M11:V11))</f>
        <v/>
      </c>
      <c r="X11" s="18">
        <f>IF(W11&lt;10,"",M11*ForcedChoiceCorrections!$B$6+N11*ForcedChoiceCorrections!$B$7+O11*ForcedChoiceCorrections!$B$8+P11*ForcedChoiceCorrections!$B$9+Q11*ForcedChoiceCorrections!$B$10+R11*ForcedChoiceCorrections!$B$11+S11*ForcedChoiceCorrections!$B$12+T11*ForcedChoiceCorrections!$B$13+U11*ForcedChoiceCorrections!$B$14+V11*ForcedChoiceCorrections!$B$15)</f>
        <v/>
      </c>
      <c r="Y11" s="18">
        <f>IF(AND(ISNUMBER(SEARCH("pass",L11)),ISNUMBER(X11)),COUNTIFS(L$2:L$90,"*pass*",X$2:X$90,"&gt;"&amp;X11)+1,"")</f>
        <v/>
      </c>
      <c r="Z11" s="18" t="inlineStr">
        <is>
          <t>ABS 2021: 22.5% overseas-born, 15.2% non-Eng HH. Peninsula Univ Hospital ED; ~66m train to CBD.</t>
        </is>
      </c>
      <c r="AA11" s="16" t="inlineStr">
        <is>
          <t>10. Frankston | South / Coastal | Active Shortlist | P: Medium (Sweetwater/gullies) | Y: High (Bay beach) | Lens: Coastal practicality &amp; accessible property price | Price: 834296 | Basis: Sale median, rolling 12m (Aussie/Cotality); unit $573k | Note: ABS 2021: 22.5% overseas-born, 15.2% non-Eng HH. Peninsula Univ Hospital ED; ~66m train to CBD.</t>
        </is>
      </c>
      <c r="AB11" s="16" t="inlineStr">
        <is>
          <t>Yes</t>
        </is>
      </c>
      <c r="AC11" s="16" t="inlineStr">
        <is>
          <t>Frankston station, Frankston line (recall; verify)</t>
        </is>
      </c>
      <c r="AD11" s="16" t="inlineStr">
        <is>
          <t>Peninsula University Hospital ED</t>
        </is>
      </c>
      <c r="AE11" s="24" t="n">
        <v>1500000</v>
      </c>
      <c r="AF11" s="22" t="inlineStr">
        <is>
          <t>Maximum purchase price, excluding transaction and moving costs</t>
        </is>
      </c>
      <c r="AG11" s="22" t="inlineStr">
        <is>
          <t>Suburb median</t>
        </is>
      </c>
      <c r="AH11" s="22" t="inlineStr">
        <is>
          <t>26 Oct 2026</t>
        </is>
      </c>
      <c r="AI11" s="22" t="inlineStr">
        <is>
          <t>Pass</t>
        </is>
      </c>
      <c r="AJ11" s="22" t="inlineStr">
        <is>
          <t>Published house price ($834,296) is under $1.5M cap.</t>
        </is>
      </c>
    </row>
    <row r="12" ht="15.75" customHeight="1" s="15">
      <c r="A12" s="18" t="inlineStr">
        <is>
          <t>Altona</t>
        </is>
      </c>
      <c r="B12" s="18" t="inlineStr">
        <is>
          <t>West Coastal</t>
        </is>
      </c>
      <c r="C12" s="18" t="inlineStr">
        <is>
          <t>Active Shortlist</t>
        </is>
      </c>
      <c r="D12" s="18" t="inlineStr">
        <is>
          <t>Low-Medium (Flat coastal)</t>
        </is>
      </c>
      <c r="E12" s="18" t="inlineStr">
        <is>
          <t>High (Bay beach/wetlands)</t>
        </is>
      </c>
      <c r="F12" s="18" t="inlineStr">
        <is>
          <t>Coastal village alternative at lower price point</t>
        </is>
      </c>
      <c r="G12" s="18" t="n">
        <v>1155073</v>
      </c>
      <c r="H12" s="18" t="inlineStr">
        <is>
          <t>AVM estimate (31 Aug 2026), NOT a verified sale median</t>
        </is>
      </c>
      <c r="I12" s="18" t="n">
        <v>1224377.38</v>
      </c>
      <c r="J12" s="19" t="n">
        <v>35</v>
      </c>
      <c r="K12" s="19" t="n">
        <v>15</v>
      </c>
      <c r="L12" s="18" t="inlineStr">
        <is>
          <t>Active — provisional pass</t>
        </is>
      </c>
      <c r="M12" s="19" t="n"/>
      <c r="N12" s="19" t="n"/>
      <c r="O12" s="19">
        <f>IF(K12="","",ROUND(MAX(0,10*(1-K12/Filters!$B$5)),1))</f>
        <v/>
      </c>
      <c r="P12" s="19" t="n"/>
      <c r="Q12" s="19" t="n"/>
      <c r="R12" s="19" t="n"/>
      <c r="S12" s="19" t="n"/>
      <c r="T12" s="19" t="n"/>
      <c r="U12" s="19" t="n"/>
      <c r="V12" s="19" t="n"/>
      <c r="W12" s="18">
        <f>IF(M12="",0,COUNT(M12:V12))</f>
        <v/>
      </c>
      <c r="X12" s="18">
        <f>IF(W12&lt;10,"",M12*ForcedChoiceCorrections!$B$6+N12*ForcedChoiceCorrections!$B$7+O12*ForcedChoiceCorrections!$B$8+P12*ForcedChoiceCorrections!$B$9+Q12*ForcedChoiceCorrections!$B$10+R12*ForcedChoiceCorrections!$B$11+S12*ForcedChoiceCorrections!$B$12+T12*ForcedChoiceCorrections!$B$13+U12*ForcedChoiceCorrections!$B$14+V12*ForcedChoiceCorrections!$B$15)</f>
        <v/>
      </c>
      <c r="Y12" s="18">
        <f>IF(AND(ISNUMBER(SEARCH("pass",L12)),ISNUMBER(X12)),COUNTIFS(L$2:L$90,"*pass*",X$2:X$90,"&gt;"&amp;X12)+1,"")</f>
        <v/>
      </c>
      <c r="Z12" s="18" t="inlineStr">
        <is>
          <t>ABS 2021: 28.3% overseas-born, 23.8% non-Eng HH. Cross-city drive to Glen Waverley needs testing.</t>
        </is>
      </c>
      <c r="AA12" s="16" t="inlineStr">
        <is>
          <t>11. Altona | West Coastal | Active Shortlist | P: Low-Medium (Flat coastal) | Y: High (Bay beach/wetlands) | Lens: Coastal village alternative at lower price point | Price: 1155073 | Basis: AVM estimate (31 Aug 2026), NOT a verified sale median | Note: ABS 2021: 28.3% overseas-born, 23.8% non-Eng HH. Cross-city drive to Glen Waverley needs testing.</t>
        </is>
      </c>
      <c r="AB12" s="16" t="inlineStr">
        <is>
          <t>Yes</t>
        </is>
      </c>
      <c r="AC12" s="16" t="inlineStr">
        <is>
          <t>Altona station, Werribee line (recall; verify)</t>
        </is>
      </c>
      <c r="AD12" s="16" t="inlineStr">
        <is>
          <t>Footscray Hospital ED</t>
        </is>
      </c>
      <c r="AE12" s="24" t="n">
        <v>1500000</v>
      </c>
      <c r="AF12" s="22" t="inlineStr">
        <is>
          <t>Maximum purchase price, excluding transaction and moving costs</t>
        </is>
      </c>
      <c r="AG12" s="22" t="inlineStr">
        <is>
          <t>Suburb median</t>
        </is>
      </c>
      <c r="AH12" s="22" t="inlineStr">
        <is>
          <t>26 Oct 2026</t>
        </is>
      </c>
      <c r="AI12" s="22" t="inlineStr">
        <is>
          <t>Pass</t>
        </is>
      </c>
      <c r="AJ12" s="22" t="inlineStr">
        <is>
          <t>Published house price ($1,155,073) is under $1.5M cap.</t>
        </is>
      </c>
    </row>
    <row r="13" ht="15.75" customHeight="1" s="15">
      <c r="A13" s="18" t="inlineStr">
        <is>
          <t>Williamstown</t>
        </is>
      </c>
      <c r="B13" s="18" t="inlineStr">
        <is>
          <t>West Coastal</t>
        </is>
      </c>
      <c r="C13" s="18" t="inlineStr">
        <is>
          <t>Active Shortlist</t>
        </is>
      </c>
      <c r="D13" s="18" t="inlineStr">
        <is>
          <t>Medium (Botanic gardens)</t>
        </is>
      </c>
      <c r="E13" s="18" t="inlineStr">
        <is>
          <t>High (Historic harbor/beach)</t>
        </is>
      </c>
      <c r="F13" s="18" t="inlineStr">
        <is>
          <t>Picturesque coastal character vs cost</t>
        </is>
      </c>
      <c r="G13" s="18" t="n">
        <v>1642163</v>
      </c>
      <c r="H13" s="18" t="inlineStr">
        <is>
          <t>AVM estimate (30 Sep 2026), NOT a verified sale median</t>
        </is>
      </c>
      <c r="I13" s="18" t="n">
        <v>1740692.78</v>
      </c>
      <c r="J13" s="19" t="n">
        <v>31</v>
      </c>
      <c r="K13" s="19" t="n">
        <v>13</v>
      </c>
      <c r="L13" s="18" t="inlineStr">
        <is>
          <t>Active — needs data</t>
        </is>
      </c>
      <c r="M13" s="19" t="n"/>
      <c r="N13" s="19" t="n"/>
      <c r="O13" s="19">
        <f>IF(K13="","",ROUND(MAX(0,10*(1-K13/Filters!$B$5)),1))</f>
        <v/>
      </c>
      <c r="P13" s="19" t="n"/>
      <c r="Q13" s="19" t="n"/>
      <c r="R13" s="19" t="n"/>
      <c r="S13" s="19" t="n"/>
      <c r="T13" s="19" t="n"/>
      <c r="U13" s="19" t="n"/>
      <c r="V13" s="19" t="n"/>
      <c r="W13" s="18">
        <f>IF(M13="",0,COUNT(M13:V13))</f>
        <v/>
      </c>
      <c r="X13" s="18">
        <f>IF(W13&lt;10,"",M13*ForcedChoiceCorrections!$B$6+N13*ForcedChoiceCorrections!$B$7+O13*ForcedChoiceCorrections!$B$8+P13*ForcedChoiceCorrections!$B$9+Q13*ForcedChoiceCorrections!$B$10+R13*ForcedChoiceCorrections!$B$11+S13*ForcedChoiceCorrections!$B$12+T13*ForcedChoiceCorrections!$B$13+U13*ForcedChoiceCorrections!$B$14+V13*ForcedChoiceCorrections!$B$15)</f>
        <v/>
      </c>
      <c r="Y13" s="18">
        <f>IF(AND(ISNUMBER(SEARCH("pass",L13)),ISNUMBER(X13)),COUNTIFS(L$2:L$90,"*pass*",X$2:X$90,"&gt;"&amp;X13)+1,"")</f>
        <v/>
      </c>
      <c r="Z13" s="18" t="inlineStr">
        <is>
          <t>ABS 2021: 22.6% overseas-born, 20.0% non-Eng HH. Cross-city travel to Glen Waverley &amp; ED capacity need checking.</t>
        </is>
      </c>
      <c r="AA13" s="16" t="inlineStr">
        <is>
          <t>12. Williamstown | West Coastal | Active Shortlist | P: Medium (Botanic gardens) | Y: High (Historic harbor/beach) | Lens: Picturesque coastal character vs cost | Price: 1642163 | Basis: AVM estimate (30 Sep 2026), NOT a verified sale median | Note: ABS 2021: 22.6% overseas-born, 20.0% non-Eng HH. Cross-city travel to Glen Waverley &amp; ED capacity need checking.</t>
        </is>
      </c>
      <c r="AB13" s="16" t="inlineStr">
        <is>
          <t>Yes</t>
        </is>
      </c>
      <c r="AC13" s="16" t="inlineStr">
        <is>
          <t>Williamstown station, Williamstown line (recall; verify)</t>
        </is>
      </c>
      <c r="AD13" s="16" t="inlineStr">
        <is>
          <t>Footscray Hospital ED</t>
        </is>
      </c>
      <c r="AE13" s="24" t="n">
        <v>1500000</v>
      </c>
      <c r="AF13" s="22" t="inlineStr">
        <is>
          <t>Maximum purchase price, excluding transaction and moving costs</t>
        </is>
      </c>
      <c r="AG13" s="22" t="inlineStr">
        <is>
          <t>AVM estimate</t>
        </is>
      </c>
      <c r="AH13" s="22" t="inlineStr">
        <is>
          <t>26 Oct 2026</t>
        </is>
      </c>
      <c r="AI13" s="22" t="inlineStr">
        <is>
          <t>Needs data</t>
        </is>
      </c>
      <c r="AJ13" s="22" t="inlineStr">
        <is>
          <t>Figure is an automated valuation model ($1.64M), not a verified sale median or specific property. Awaiting documented listing search under $1.5M.</t>
        </is>
      </c>
    </row>
    <row r="14" ht="15.75" customHeight="1" s="15">
      <c r="A14" s="18" t="inlineStr">
        <is>
          <t>Healesville</t>
        </is>
      </c>
      <c r="B14" s="18" t="inlineStr">
        <is>
          <t>Yarra Valley</t>
        </is>
      </c>
      <c r="C14" s="18" t="inlineStr">
        <is>
          <t>Active Shortlist</t>
        </is>
      </c>
      <c r="D14" s="18" t="inlineStr">
        <is>
          <t>High (Valley &amp; mountains)</t>
        </is>
      </c>
      <c r="E14" s="18" t="inlineStr">
        <is>
          <t>Low (Inland)</t>
        </is>
      </c>
      <c r="F14" s="18" t="inlineStr">
        <is>
          <t>Larger Yarra Valley town comparator</t>
        </is>
      </c>
      <c r="G14" s="18" t="n">
        <v>837893</v>
      </c>
      <c r="H14" s="18" t="inlineStr">
        <is>
          <t>AVM estimate (30 Sep 2026), NOT a verified sale median; unit $618,926; 160 sales in last 12m (OnTheHouse/Cotality, read 27 Oct 2026)</t>
        </is>
      </c>
      <c r="I14" s="18">
        <f>G14*(1+Settings!$B$6)</f>
        <v/>
      </c>
      <c r="J14" s="19" t="n">
        <v>43</v>
      </c>
      <c r="K14" s="19" t="n">
        <v>33</v>
      </c>
      <c r="L14" s="18" t="inlineStr">
        <is>
          <t>Active — provisional pass</t>
        </is>
      </c>
      <c r="M14" s="19" t="n"/>
      <c r="N14" s="19" t="n"/>
      <c r="O14" s="19">
        <f>IF(K14="","",ROUND(MAX(0,10*(1-K14/Filters!$B$5)),1))</f>
        <v/>
      </c>
      <c r="P14" s="19" t="n"/>
      <c r="Q14" s="19" t="n"/>
      <c r="R14" s="19" t="n"/>
      <c r="S14" s="19" t="n"/>
      <c r="T14" s="19" t="n"/>
      <c r="U14" s="19" t="n"/>
      <c r="V14" s="19" t="n"/>
      <c r="W14" s="18">
        <f>IF(M14="",0,COUNT(M14:V14))</f>
        <v/>
      </c>
      <c r="X14" s="18">
        <f>IF(W14&lt;10,"",M14*ForcedChoiceCorrections!$B$6+N14*ForcedChoiceCorrections!$B$7+O14*ForcedChoiceCorrections!$B$8+P14*ForcedChoiceCorrections!$B$9+Q14*ForcedChoiceCorrections!$B$10+R14*ForcedChoiceCorrections!$B$11+S14*ForcedChoiceCorrections!$B$12+T14*ForcedChoiceCorrections!$B$13+U14*ForcedChoiceCorrections!$B$14+V14*ForcedChoiceCorrections!$B$15)</f>
        <v/>
      </c>
      <c r="Y14" s="18">
        <f>IF(AND(ISNUMBER(SEARCH("pass",L14)),ISNUMBER(X14)),COUNTIFS(L$2:L$90,"*pass*",X$2:X$90,"&gt;"&amp;X14)+1,"")</f>
        <v/>
      </c>
      <c r="Z14" s="18" t="inlineStr">
        <is>
          <t>2021 pop 7,589. CAUTION: Eastern Health directs urgent ED patients to Maroondah Hospital ED (not local). 27 Oct 2026 research pass: drive times/ED and/or AVM price added; L re-evaluated.</t>
        </is>
      </c>
      <c r="AA14" s="16" t="inlineStr">
        <is>
          <t>13. Healesville | Yarra Valley | Active Shortlist | P: High (Valley &amp; mountains) | Y: Low (Inland) | Lens: Larger Yarra Valley town comparator | Price: [Blank] | Basis: Not verified in report | Note: 2021 pop 7,589. CAUTION: Eastern Health directs urgent ED patients to Maroondah Hospital ED (not local).</t>
        </is>
      </c>
      <c r="AB14" s="16" t="inlineStr">
        <is>
          <t>No</t>
        </is>
      </c>
      <c r="AC14" s="16" t="inlineStr">
        <is>
          <t>No rail (recall; verify)</t>
        </is>
      </c>
      <c r="AD14" s="16" t="inlineStr">
        <is>
          <t>Maroondah Hospital ED (sheet note: urgent ED cases go here)</t>
        </is>
      </c>
      <c r="AE14" s="24" t="n">
        <v>1500000</v>
      </c>
      <c r="AF14" s="22" t="inlineStr">
        <is>
          <t>Maximum purchase price, excluding transaction and moving costs</t>
        </is>
      </c>
      <c r="AG14" s="22" t="inlineStr">
        <is>
          <t>AVM estimate</t>
        </is>
      </c>
      <c r="AH14" s="22" t="inlineStr">
        <is>
          <t>27 Oct 2026</t>
        </is>
      </c>
      <c r="AI14" s="22" t="inlineStr">
        <is>
          <t>Pass</t>
        </is>
      </c>
      <c r="AJ14" s="22" t="inlineStr">
        <is>
          <t>AVM house value ($837,893) is under $1.5M cap. Not a sale median.</t>
        </is>
      </c>
    </row>
    <row r="15" ht="15.75" customHeight="1" s="15">
      <c r="A15" s="18" t="inlineStr">
        <is>
          <t>Kyneton</t>
        </is>
      </c>
      <c r="B15" s="18" t="inlineStr">
        <is>
          <t>Macedon Ranges</t>
        </is>
      </c>
      <c r="C15" s="18" t="inlineStr">
        <is>
          <t>Active Shortlist</t>
        </is>
      </c>
      <c r="D15" s="18" t="inlineStr">
        <is>
          <t>High (Country town &amp; gardens)</t>
        </is>
      </c>
      <c r="E15" s="18" t="inlineStr">
        <is>
          <t>Low (Inland river)</t>
        </is>
      </c>
      <c r="F15" s="18" t="inlineStr">
        <is>
          <t>Country-town practicality with V/Line rail</t>
        </is>
      </c>
      <c r="G15" s="18" t="n">
        <v>810000</v>
      </c>
      <c r="H15" s="18" t="inlineStr">
        <is>
          <t>3-bed house median $810k; 4-bed $980k (Domain)</t>
        </is>
      </c>
      <c r="I15" s="18" t="n">
        <v>858600</v>
      </c>
      <c r="J15" s="19" t="n">
        <v>77</v>
      </c>
      <c r="K15" s="19" t="n">
        <v>47</v>
      </c>
      <c r="L15" s="18" t="inlineStr">
        <is>
          <t>Active — provisional pass</t>
        </is>
      </c>
      <c r="M15" s="19" t="n"/>
      <c r="N15" s="19" t="n"/>
      <c r="O15" s="19">
        <f>IF(K15="","",ROUND(MAX(0,10*(1-K15/Filters!$B$5)),1))</f>
        <v/>
      </c>
      <c r="P15" s="19" t="n"/>
      <c r="Q15" s="19" t="n"/>
      <c r="R15" s="19" t="n"/>
      <c r="S15" s="19" t="n"/>
      <c r="T15" s="19" t="n"/>
      <c r="U15" s="19" t="n"/>
      <c r="V15" s="19" t="n"/>
      <c r="W15" s="18">
        <f>IF(M15="",0,COUNT(M15:V15))</f>
        <v/>
      </c>
      <c r="X15" s="18">
        <f>IF(W15&lt;10,"",M15*ForcedChoiceCorrections!$B$6+N15*ForcedChoiceCorrections!$B$7+O15*ForcedChoiceCorrections!$B$8+P15*ForcedChoiceCorrections!$B$9+Q15*ForcedChoiceCorrections!$B$10+R15*ForcedChoiceCorrections!$B$11+S15*ForcedChoiceCorrections!$B$12+T15*ForcedChoiceCorrections!$B$13+U15*ForcedChoiceCorrections!$B$14+V15*ForcedChoiceCorrections!$B$15)</f>
        <v/>
      </c>
      <c r="Y15" s="18">
        <f>IF(AND(ISNUMBER(SEARCH("pass",L15)),ISNUMBER(X15)),COUNTIFS(L$2:L$90,"*pass*",X$2:X$90,"&gt;"&amp;X15)+1,"")</f>
        <v/>
      </c>
      <c r="Z15" s="18" t="inlineStr">
        <is>
          <t>ABS 2021: 25.0% aged 65+, 6.9% non-Eng HH. CAUTION: Local facility is 24-hr Urgent Care Centre, NOT a major public ED.</t>
        </is>
      </c>
      <c r="AA15" s="16" t="inlineStr">
        <is>
          <t>14. Kyneton | Macedon Ranges | Active Shortlist | P: High (Country town &amp; gardens) | Y: Low (Inland river) | Lens: Country-town practicality with V/Line rail | Price: 810000 | Basis: 3-bed house median $810k; 4-bed $980k (Domain) | Note: ABS 2021: 25.0% aged 65+, 6.9% non-Eng HH. CAUTION: Local facility is 24-hr Urgent Care Centre, NOT a major public ED.</t>
        </is>
      </c>
      <c r="AB15" s="16" t="inlineStr">
        <is>
          <t>Yes</t>
        </is>
      </c>
      <c r="AC15" s="16" t="inlineStr">
        <is>
          <t>Kyneton station, V/Line Bendigo (per sheet note)</t>
        </is>
      </c>
      <c r="AD15" s="16" t="inlineStr">
        <is>
          <t>Bendigo Hospital ED (local 24-hr urgent care is not an ED)</t>
        </is>
      </c>
      <c r="AE15" s="24" t="n">
        <v>1500000</v>
      </c>
      <c r="AF15" s="22" t="inlineStr">
        <is>
          <t>Maximum purchase price, excluding transaction and moving costs</t>
        </is>
      </c>
      <c r="AG15" s="22" t="inlineStr">
        <is>
          <t>Suburb median</t>
        </is>
      </c>
      <c r="AH15" s="22" t="inlineStr">
        <is>
          <t>26 Oct 2026</t>
        </is>
      </c>
      <c r="AI15" s="22" t="inlineStr">
        <is>
          <t>Pass</t>
        </is>
      </c>
      <c r="AJ15" s="22" t="inlineStr">
        <is>
          <t>Published house price ($810,000) is under $1.5M cap.</t>
        </is>
      </c>
    </row>
    <row r="16" ht="15.75" customHeight="1" s="15">
      <c r="A16" s="18" t="inlineStr">
        <is>
          <t>Woodend</t>
        </is>
      </c>
      <c r="B16" s="18" t="inlineStr">
        <is>
          <t>Macedon Ranges</t>
        </is>
      </c>
      <c r="C16" s="18" t="inlineStr">
        <is>
          <t>Active Shortlist</t>
        </is>
      </c>
      <c r="D16" s="18" t="inlineStr">
        <is>
          <t>High (Macedon Ranges forest)</t>
        </is>
      </c>
      <c r="E16" s="18" t="inlineStr">
        <is>
          <t>Low (Inland)</t>
        </is>
      </c>
      <c r="F16" s="18" t="inlineStr">
        <is>
          <t>Walkable station country town in Macedon Ranges</t>
        </is>
      </c>
      <c r="G16" s="18" t="n">
        <v>890000</v>
      </c>
      <c r="H16" s="18" t="inlineStr">
        <is>
          <t>3-bed house median $890k; 4-bed $1,150k (Domain)</t>
        </is>
      </c>
      <c r="I16" s="18" t="n">
        <v>943400</v>
      </c>
      <c r="J16" s="19" t="n">
        <v>68</v>
      </c>
      <c r="K16" s="19" t="n">
        <v>55</v>
      </c>
      <c r="L16" s="18" t="inlineStr">
        <is>
          <t>Active — provisional pass</t>
        </is>
      </c>
      <c r="M16" s="19" t="n"/>
      <c r="N16" s="19" t="n"/>
      <c r="O16" s="19">
        <f>IF(K16="","",ROUND(MAX(0,10*(1-K16/Filters!$B$5)),1))</f>
        <v/>
      </c>
      <c r="P16" s="19" t="n"/>
      <c r="Q16" s="19" t="n"/>
      <c r="R16" s="19" t="n"/>
      <c r="S16" s="19" t="n"/>
      <c r="T16" s="19" t="n"/>
      <c r="U16" s="19" t="n"/>
      <c r="V16" s="19" t="n"/>
      <c r="W16" s="18">
        <f>IF(M16="",0,COUNT(M16:V16))</f>
        <v/>
      </c>
      <c r="X16" s="18">
        <f>IF(W16&lt;10,"",M16*ForcedChoiceCorrections!$B$6+N16*ForcedChoiceCorrections!$B$7+O16*ForcedChoiceCorrections!$B$8+P16*ForcedChoiceCorrections!$B$9+Q16*ForcedChoiceCorrections!$B$10+R16*ForcedChoiceCorrections!$B$11+S16*ForcedChoiceCorrections!$B$12+T16*ForcedChoiceCorrections!$B$13+U16*ForcedChoiceCorrections!$B$14+V16*ForcedChoiceCorrections!$B$15)</f>
        <v/>
      </c>
      <c r="Y16" s="18">
        <f>IF(AND(ISNUMBER(SEARCH("pass",L16)),ISNUMBER(X16)),COUNTIFS(L$2:L$90,"*pass*",X$2:X$90,"&gt;"&amp;X16)+1,"")</f>
        <v/>
      </c>
      <c r="Z16" s="18" t="inlineStr">
        <is>
          <t>V/Line Bendigo line. Check winter comfort, major public ED drive time &amp; family trip frequency.</t>
        </is>
      </c>
      <c r="AA16" s="16" t="inlineStr">
        <is>
          <t>15. Woodend | Macedon Ranges | Active Shortlist | P: High (Macedon Ranges forest) | Y: Low (Inland) | Lens: Walkable station country town in Macedon Ranges | Price: 890000 | Basis: 3-bed house median $890k; 4-bed $1,150k (Domain) | Note: V/Line Bendigo line. Check winter comfort, major public ED drive time &amp; family trip frequency.</t>
        </is>
      </c>
      <c r="AB16" s="16" t="inlineStr">
        <is>
          <t>Yes</t>
        </is>
      </c>
      <c r="AC16" s="16" t="inlineStr">
        <is>
          <t>Woodend station, V/Line Bendigo (per sheet note)</t>
        </is>
      </c>
      <c r="AD16" s="16" t="inlineStr">
        <is>
          <t>Bendigo Hospital ED (nearest ED not confirmed; Northern Hospital Epping not tested)</t>
        </is>
      </c>
      <c r="AE16" s="24" t="n">
        <v>1500000</v>
      </c>
      <c r="AF16" s="22" t="inlineStr">
        <is>
          <t>Maximum purchase price, excluding transaction and moving costs</t>
        </is>
      </c>
      <c r="AG16" s="22" t="inlineStr">
        <is>
          <t>Suburb median</t>
        </is>
      </c>
      <c r="AH16" s="22" t="inlineStr">
        <is>
          <t>26 Oct 2026</t>
        </is>
      </c>
      <c r="AI16" s="22" t="inlineStr">
        <is>
          <t>Pass</t>
        </is>
      </c>
      <c r="AJ16" s="22" t="inlineStr">
        <is>
          <t>Published house price ($890,000) is under $1.5M cap.</t>
        </is>
      </c>
    </row>
    <row r="17" ht="15.75" customHeight="1" s="15">
      <c r="A17" s="18" t="inlineStr">
        <is>
          <t>Macedon</t>
        </is>
      </c>
      <c r="B17" s="18" t="inlineStr">
        <is>
          <t>Macedon Ranges</t>
        </is>
      </c>
      <c r="C17" s="18" t="inlineStr">
        <is>
          <t>Active Shortlist</t>
        </is>
      </c>
      <c r="D17" s="18" t="inlineStr">
        <is>
          <t>High (Forest &amp; Honour Ave)</t>
        </is>
      </c>
      <c r="E17" s="18" t="inlineStr">
        <is>
          <t>Low (Inland)</t>
        </is>
      </c>
      <c r="F17" s="18" t="inlineStr">
        <is>
          <t>Landscape-led Macedon Ranges option</t>
        </is>
      </c>
      <c r="G17" s="18" t="n">
        <v>1147643</v>
      </c>
      <c r="H17" s="18" t="inlineStr">
        <is>
          <t>AVM estimate (30 Sep 2026), NOT a verified sale median; unit $836,750; 31 sales in last 12m (OnTheHouse/Cotality, read 27 Oct 2026) — few sales, weak</t>
        </is>
      </c>
      <c r="I17" s="18">
        <f>G17*(1+Settings!$B$6)</f>
        <v/>
      </c>
      <c r="J17" s="19" t="n">
        <v>62</v>
      </c>
      <c r="K17" s="19" t="n">
        <v>60</v>
      </c>
      <c r="L17" s="18" t="inlineStr">
        <is>
          <t>Active — provisional pass</t>
        </is>
      </c>
      <c r="M17" s="19" t="n"/>
      <c r="N17" s="19" t="n"/>
      <c r="O17" s="19">
        <f>IF(K17="","",ROUND(MAX(0,10*(1-K17/Filters!$B$5)),1))</f>
        <v/>
      </c>
      <c r="P17" s="19" t="n"/>
      <c r="Q17" s="19" t="n"/>
      <c r="R17" s="19" t="n"/>
      <c r="S17" s="19" t="n"/>
      <c r="T17" s="19" t="n"/>
      <c r="U17" s="19" t="n"/>
      <c r="V17" s="19" t="n"/>
      <c r="W17" s="18">
        <f>IF(M17="",0,COUNT(M17:V17))</f>
        <v/>
      </c>
      <c r="X17" s="18">
        <f>IF(W17&lt;10,"",M17*ForcedChoiceCorrections!$B$6+N17*ForcedChoiceCorrections!$B$7+O17*ForcedChoiceCorrections!$B$8+P17*ForcedChoiceCorrections!$B$9+Q17*ForcedChoiceCorrections!$B$10+R17*ForcedChoiceCorrections!$B$11+S17*ForcedChoiceCorrections!$B$12+T17*ForcedChoiceCorrections!$B$13+U17*ForcedChoiceCorrections!$B$14+V17*ForcedChoiceCorrections!$B$15)</f>
        <v/>
      </c>
      <c r="Y17" s="18">
        <f>IF(AND(ISNUMBER(SEARCH("pass",L17)),ISNUMBER(X17)),COUNTIFS(L$2:L$90,"*pass*",X$2:X$90,"&gt;"&amp;X17)+1,"")</f>
        <v/>
      </c>
      <c r="Z17" s="18" t="inlineStr">
        <is>
          <t>Distinguish Macedon from Mount Macedon; check bushfire overlay, gradients &amp; major ED journey. 27 Oct 2026 research pass: drive times/ED and/or AVM price added; L re-evaluated.</t>
        </is>
      </c>
      <c r="AA17" s="16" t="inlineStr">
        <is>
          <t>16. Macedon | Macedon Ranges | Active Shortlist | P: High (Forest &amp; Honour Ave) | Y: Low (Inland) | Lens: Landscape-led Macedon Ranges option | Price: [Blank] | Basis: Not verified in report | Note: Distinguish Macedon from Mount Macedon; check bushfire overlay, gradients &amp; major ED journey.</t>
        </is>
      </c>
      <c r="AB17" s="16" t="inlineStr">
        <is>
          <t>Yes</t>
        </is>
      </c>
      <c r="AC17" s="16" t="inlineStr">
        <is>
          <t>Macedon station, V/Line Bendigo (recall; verify)</t>
        </is>
      </c>
      <c r="AD17" s="16" t="inlineStr">
        <is>
          <t>Bendigo Hospital ED (nearest ED not confirmed; Northern Hospital Epping not tested)</t>
        </is>
      </c>
      <c r="AE17" s="24" t="n">
        <v>1500000</v>
      </c>
      <c r="AF17" s="22" t="inlineStr">
        <is>
          <t>Maximum purchase price, excluding transaction and moving costs</t>
        </is>
      </c>
      <c r="AG17" s="22" t="inlineStr">
        <is>
          <t>AVM estimate</t>
        </is>
      </c>
      <c r="AH17" s="22" t="inlineStr">
        <is>
          <t>27 Oct 2026</t>
        </is>
      </c>
      <c r="AI17" s="22" t="inlineStr">
        <is>
          <t>Pass</t>
        </is>
      </c>
      <c r="AJ17" s="22" t="inlineStr">
        <is>
          <t>AVM house value ($1,147,643) is under $1.5M cap. Not a sale median.</t>
        </is>
      </c>
    </row>
    <row r="18" ht="15.75" customHeight="1" s="15">
      <c r="A18" s="18" t="inlineStr">
        <is>
          <t>Torquay</t>
        </is>
      </c>
      <c r="B18" s="18" t="inlineStr">
        <is>
          <t>Surf Coast</t>
        </is>
      </c>
      <c r="C18" s="18" t="inlineStr">
        <is>
          <t>Active Shortlist</t>
        </is>
      </c>
      <c r="D18" s="18" t="inlineStr">
        <is>
          <t>Medium (Coastal heath)</t>
        </is>
      </c>
      <c r="E18" s="18" t="inlineStr">
        <is>
          <t>High (Surf Coast walk/beach)</t>
        </is>
      </c>
      <c r="F18" s="18" t="inlineStr">
        <is>
          <t>Everyday surf-coast walking lifestyle</t>
        </is>
      </c>
      <c r="G18" s="18" t="n">
        <v>1180000</v>
      </c>
      <c r="H18" s="18" t="inlineStr">
        <is>
          <t>House sale median $1,180,000; unit $891,250 (REA)</t>
        </is>
      </c>
      <c r="I18" s="18" t="n">
        <v>1250800</v>
      </c>
      <c r="J18" s="19" t="n">
        <v>88</v>
      </c>
      <c r="K18" s="19" t="n">
        <v>23</v>
      </c>
      <c r="L18" s="18" t="inlineStr">
        <is>
          <t>Active — provisional pass</t>
        </is>
      </c>
      <c r="M18" s="19" t="n"/>
      <c r="N18" s="19" t="n"/>
      <c r="O18" s="19">
        <f>IF(K18="","",ROUND(MAX(0,10*(1-K18/Filters!$B$5)),1))</f>
        <v/>
      </c>
      <c r="P18" s="19" t="n"/>
      <c r="Q18" s="19" t="n"/>
      <c r="R18" s="19" t="n"/>
      <c r="S18" s="19" t="n"/>
      <c r="T18" s="19" t="n"/>
      <c r="U18" s="19" t="n"/>
      <c r="V18" s="19" t="n"/>
      <c r="W18" s="18">
        <f>IF(M18="",0,COUNT(M18:V18))</f>
        <v/>
      </c>
      <c r="X18" s="18">
        <f>IF(W18&lt;10,"",M18*ForcedChoiceCorrections!$B$6+N18*ForcedChoiceCorrections!$B$7+O18*ForcedChoiceCorrections!$B$8+P18*ForcedChoiceCorrections!$B$9+Q18*ForcedChoiceCorrections!$B$10+R18*ForcedChoiceCorrections!$B$11+S18*ForcedChoiceCorrections!$B$12+T18*ForcedChoiceCorrections!$B$13+U18*ForcedChoiceCorrections!$B$14+V18*ForcedChoiceCorrections!$B$15)</f>
        <v/>
      </c>
      <c r="Y18" s="18">
        <f>IF(AND(ISNUMBER(SEARCH("pass",L18)),ISNUMBER(X18)),COUNTIFS(L$2:L$90,"*pass*",X$2:X$90,"&gt;"&amp;X18)+1,"")</f>
        <v/>
      </c>
      <c r="Z18" s="18" t="inlineStr">
        <is>
          <t>ABS 2021: 16.4% aged 65+, 7.4% non-Eng HH. Bus 54 to Marshall Station; relies on Univ Hospital Geelong for major public ED.</t>
        </is>
      </c>
      <c r="AA18" s="16" t="inlineStr">
        <is>
          <t>17. Torquay | Surf Coast | Active Shortlist | P: Medium (Coastal heath) | Y: High (Surf Coast walk/beach) | Lens: Everyday surf-coast walking lifestyle | Price: 1180000 | Basis: House sale median $1,180,000; unit $891,250 (REA) | Note: ABS 2021: 16.4% aged 65+, 7.4% non-Eng HH. Bus 54 to Marshall Station; relies on Univ Hospital Geelong for major public ED.</t>
        </is>
      </c>
      <c r="AB18" s="16" t="inlineStr">
        <is>
          <t>No</t>
        </is>
      </c>
      <c r="AC18" s="16" t="inlineStr">
        <is>
          <t>No rail; bus 54 to Marshall Station (per sheet note)</t>
        </is>
      </c>
      <c r="AD18" s="16" t="inlineStr">
        <is>
          <t>University Hospital Geelong ED</t>
        </is>
      </c>
      <c r="AE18" s="24" t="n">
        <v>1500000</v>
      </c>
      <c r="AF18" s="22" t="inlineStr">
        <is>
          <t>Maximum purchase price, excluding transaction and moving costs</t>
        </is>
      </c>
      <c r="AG18" s="22" t="inlineStr">
        <is>
          <t>Suburb median</t>
        </is>
      </c>
      <c r="AH18" s="22" t="inlineStr">
        <is>
          <t>26 Oct 2026</t>
        </is>
      </c>
      <c r="AI18" s="22" t="inlineStr">
        <is>
          <t>Pass</t>
        </is>
      </c>
      <c r="AJ18" s="22" t="inlineStr">
        <is>
          <t>House median $1.180M is under $1.5M cap. Passes GW drive (88m &lt;= 90m cap) and ED drive (23m).</t>
        </is>
      </c>
    </row>
    <row r="19" ht="15.75" customHeight="1" s="15">
      <c r="A19" s="18" t="inlineStr">
        <is>
          <t>Ocean Grove</t>
        </is>
      </c>
      <c r="B19" s="18" t="inlineStr">
        <is>
          <t>Bellarine Peninsula</t>
        </is>
      </c>
      <c r="C19" s="18" t="inlineStr">
        <is>
          <t>Active Shortlist</t>
        </is>
      </c>
      <c r="D19" s="18" t="inlineStr">
        <is>
          <t>Medium-High (Nature reserve)</t>
        </is>
      </c>
      <c r="E19" s="18" t="inlineStr">
        <is>
          <t>High (Beach + woodland)</t>
        </is>
      </c>
      <c r="F19" s="18" t="inlineStr">
        <is>
          <t>Coast-plus-bushland alternative to Torquay</t>
        </is>
      </c>
      <c r="G19" s="18" t="n">
        <v>980000</v>
      </c>
      <c r="H19" s="18" t="inlineStr">
        <is>
          <t>House sale median $980,000 (325 sales); unit $770k</t>
        </is>
      </c>
      <c r="I19" s="18" t="n">
        <v>1038800</v>
      </c>
      <c r="J19" s="19" t="n">
        <v>92</v>
      </c>
      <c r="K19" s="19" t="n">
        <v>21</v>
      </c>
      <c r="L19" s="18" t="inlineStr">
        <is>
          <t>Fails: GW drive</t>
        </is>
      </c>
      <c r="M19" s="19" t="n"/>
      <c r="N19" s="19" t="n"/>
      <c r="O19" s="19">
        <f>IF(K19="","",ROUND(MAX(0,10*(1-K19/Filters!$B$5)),1))</f>
        <v/>
      </c>
      <c r="P19" s="19" t="n"/>
      <c r="Q19" s="19" t="n"/>
      <c r="R19" s="19" t="n"/>
      <c r="S19" s="19" t="n"/>
      <c r="T19" s="19" t="n"/>
      <c r="U19" s="19" t="n"/>
      <c r="V19" s="19" t="n"/>
      <c r="W19" s="18">
        <f>IF(M19="",0,COUNT(M19:V19))</f>
        <v/>
      </c>
      <c r="X19" s="18">
        <f>IF(W19&lt;10,"",M19*ForcedChoiceCorrections!$B$6+N19*ForcedChoiceCorrections!$B$7+O19*ForcedChoiceCorrections!$B$8+P19*ForcedChoiceCorrections!$B$9+Q19*ForcedChoiceCorrections!$B$10+R19*ForcedChoiceCorrections!$B$11+S19*ForcedChoiceCorrections!$B$12+T19*ForcedChoiceCorrections!$B$13+U19*ForcedChoiceCorrections!$B$14+V19*ForcedChoiceCorrections!$B$15)</f>
        <v/>
      </c>
      <c r="Y19" s="18">
        <f>IF(AND(ISNUMBER(SEARCH("pass",L19)),ISNUMBER(X19)),COUNTIFS(L$2:L$90,"*pass*",X$2:X$90,"&gt;"&amp;X19)+1,"")</f>
        <v/>
      </c>
      <c r="Z19" s="18" t="inlineStr">
        <is>
          <t>ABS 2021: 22.2% aged 65+, 5.1% non-Eng HH. 143-ha Nature Reserve; bus 55/56 to Geelong; relies on Univ Hospital Geelong ED.</t>
        </is>
      </c>
      <c r="AA19" s="16" t="inlineStr">
        <is>
          <t>18. Ocean Grove | Bellarine Peninsula | Active Shortlist | P: Medium-High (Nature reserve) | Y: High (Beach + woodland) | Lens: Coast-plus-bushland alternative to Torquay | Price: 980000 | Basis: House sale median $980,000 (325 sales); unit $770k | Note: ABS 2021: 22.2% aged 65+, 5.1% non-Eng HH. 143-ha Nature Reserve; bus 55/56 to Geelong; relies on Univ Hospital Geelong ED.</t>
        </is>
      </c>
      <c r="AB19" s="16" t="inlineStr">
        <is>
          <t>No</t>
        </is>
      </c>
      <c r="AC19" s="16" t="inlineStr">
        <is>
          <t>No rail; bus 55/56 to Geelong (per sheet note)</t>
        </is>
      </c>
      <c r="AD19" s="16" t="inlineStr">
        <is>
          <t>University Hospital Geelong ED</t>
        </is>
      </c>
      <c r="AE19" s="24" t="n">
        <v>1500000</v>
      </c>
      <c r="AF19" s="22" t="inlineStr">
        <is>
          <t>Maximum purchase price, excluding transaction and moving costs</t>
        </is>
      </c>
      <c r="AG19" s="22" t="inlineStr">
        <is>
          <t>Suburb median</t>
        </is>
      </c>
      <c r="AH19" s="22" t="inlineStr">
        <is>
          <t>26 Oct 2026</t>
        </is>
      </c>
      <c r="AI19" s="22" t="inlineStr">
        <is>
          <t>Pass</t>
        </is>
      </c>
      <c r="AJ19" s="22" t="inlineStr">
        <is>
          <t>Published house price ($980,000) is under $1.5M cap.</t>
        </is>
      </c>
    </row>
    <row r="20" ht="15.75" customHeight="1" s="15">
      <c r="A20" s="18" t="inlineStr">
        <is>
          <t>Newtown (Geelong)</t>
        </is>
      </c>
      <c r="B20" s="18" t="inlineStr">
        <is>
          <t>Geelong</t>
        </is>
      </c>
      <c r="C20" s="18" t="inlineStr">
        <is>
          <t>Active Shortlist</t>
        </is>
      </c>
      <c r="D20" s="18" t="inlineStr">
        <is>
          <t>Medium-High (Barwon River)</t>
        </is>
      </c>
      <c r="E20" s="18" t="inlineStr">
        <is>
          <t>Medium (Near bay/coast)</t>
        </is>
      </c>
      <c r="F20" s="18" t="inlineStr">
        <is>
          <t>Regional-city services + river sanctuary</t>
        </is>
      </c>
      <c r="G20" s="18" t="n">
        <v>1182945</v>
      </c>
      <c r="H20" s="18" t="inlineStr">
        <is>
          <t>AVM estimate (30 Sep 2026), NOT a verified sale median; unit $615,303; 216 sales in last 12m (OnTheHouse/Cotality, read 27 Oct 2026)</t>
        </is>
      </c>
      <c r="I20" s="18">
        <f>G20*(1+Settings!$B$6)</f>
        <v/>
      </c>
      <c r="J20" s="19" t="n">
        <v>72</v>
      </c>
      <c r="K20" s="19" t="n">
        <v>7</v>
      </c>
      <c r="L20" s="18" t="inlineStr">
        <is>
          <t>Active — provisional pass</t>
        </is>
      </c>
      <c r="M20" s="19" t="n"/>
      <c r="N20" s="19" t="n"/>
      <c r="O20" s="19">
        <f>IF(K20="","",ROUND(MAX(0,10*(1-K20/Filters!$B$5)),1))</f>
        <v/>
      </c>
      <c r="P20" s="19" t="n"/>
      <c r="Q20" s="19" t="n"/>
      <c r="R20" s="19" t="n"/>
      <c r="S20" s="19" t="n"/>
      <c r="T20" s="19" t="n"/>
      <c r="U20" s="19" t="n"/>
      <c r="V20" s="19" t="n"/>
      <c r="W20" s="18">
        <f>IF(M20="",0,COUNT(M20:V20))</f>
        <v/>
      </c>
      <c r="X20" s="18">
        <f>IF(W20&lt;10,"",M20*ForcedChoiceCorrections!$B$6+N20*ForcedChoiceCorrections!$B$7+O20*ForcedChoiceCorrections!$B$8+P20*ForcedChoiceCorrections!$B$9+Q20*ForcedChoiceCorrections!$B$10+R20*ForcedChoiceCorrections!$B$11+S20*ForcedChoiceCorrections!$B$12+T20*ForcedChoiceCorrections!$B$13+U20*ForcedChoiceCorrections!$B$14+V20*ForcedChoiceCorrections!$B$15)</f>
        <v/>
      </c>
      <c r="Y20" s="18">
        <f>IF(AND(ISNUMBER(SEARCH("pass",L20)),ISNUMBER(X20)),COUNTIFS(L$2:L$90,"*pass*",X$2:X$90,"&gt;"&amp;X20)+1,"")</f>
        <v/>
      </c>
      <c r="Z20" s="18" t="inlineStr">
        <is>
          <t>ABS 2021: 17.6% aged 65+, 10.9% non-Eng HH. Balyang Sanctuary on Barwon River; major public ED at Univ Hospital Geelong. 27 Oct 2026 research pass: drive times/ED and/or AVM price added; L re-evaluated.</t>
        </is>
      </c>
      <c r="AA20" s="16" t="inlineStr">
        <is>
          <t>19. Newtown (Geelong) | Geelong | Active Shortlist | P: Medium-High (Barwon River) | Y: Medium (Near bay/coast) | Lens: Regional-city services + river sanctuary | Price: [Blank] | Basis: Not verified in report | Note: ABS 2021: 17.6% aged 65+, 10.9% non-Eng HH. Balyang Sanctuary on Barwon River; major public ED at Univ Hospital Geelong.</t>
        </is>
      </c>
      <c r="AB20" s="16" t="inlineStr">
        <is>
          <t>No</t>
        </is>
      </c>
      <c r="AC20" s="16" t="inlineStr">
        <is>
          <t>No station in suburb; Geelong stations nearby (recall; verify)</t>
        </is>
      </c>
      <c r="AD20" s="16" t="inlineStr">
        <is>
          <t>University Hospital Geelong ED. Origin approximated (Balyang area); GW time from Geelong centre</t>
        </is>
      </c>
      <c r="AE20" s="24" t="n">
        <v>1500000</v>
      </c>
      <c r="AF20" s="22" t="inlineStr">
        <is>
          <t>Maximum purchase price, excluding transaction and moving costs</t>
        </is>
      </c>
      <c r="AG20" s="22" t="inlineStr">
        <is>
          <t>AVM estimate</t>
        </is>
      </c>
      <c r="AH20" s="22" t="inlineStr">
        <is>
          <t>27 Oct 2026</t>
        </is>
      </c>
      <c r="AI20" s="22" t="inlineStr">
        <is>
          <t>Pass</t>
        </is>
      </c>
      <c r="AJ20" s="22" t="inlineStr">
        <is>
          <t>AVM house value ($1,182,945) is under $1.5M cap. Not a sale median.</t>
        </is>
      </c>
    </row>
    <row r="21" ht="15.75" customHeight="1" s="15">
      <c r="A21" s="18" t="inlineStr">
        <is>
          <t>Highton (Geelong)</t>
        </is>
      </c>
      <c r="B21" s="18" t="inlineStr">
        <is>
          <t>Geelong</t>
        </is>
      </c>
      <c r="C21" s="18" t="inlineStr">
        <is>
          <t>Active Shortlist</t>
        </is>
      </c>
      <c r="D21" s="18" t="inlineStr">
        <is>
          <t>Medium-High (Hills/river)</t>
        </is>
      </c>
      <c r="E21" s="18" t="inlineStr">
        <is>
          <t>Medium (Near coast)</t>
        </is>
      </c>
      <c r="F21" s="18" t="inlineStr">
        <is>
          <t>Village-centre regional-city comparator</t>
        </is>
      </c>
      <c r="G21" s="18" t="n">
        <v>957797</v>
      </c>
      <c r="H21" s="18" t="inlineStr">
        <is>
          <t>AVM estimate (30 Sep 2026), NOT a verified sale median; unit $538,492; 504 sales in last 12m (OnTheHouse/Cotality, read 27 Oct 2026)</t>
        </is>
      </c>
      <c r="I21" s="18">
        <f>G21*(1+Settings!$B$6)</f>
        <v/>
      </c>
      <c r="J21" s="19" t="n">
        <v>74</v>
      </c>
      <c r="K21" s="19" t="n">
        <v>9</v>
      </c>
      <c r="L21" s="18" t="inlineStr">
        <is>
          <t>Active — provisional pass</t>
        </is>
      </c>
      <c r="M21" s="19" t="n"/>
      <c r="N21" s="19" t="n"/>
      <c r="O21" s="19">
        <f>IF(K21="","",ROUND(MAX(0,10*(1-K21/Filters!$B$5)),1))</f>
        <v/>
      </c>
      <c r="P21" s="19" t="n"/>
      <c r="Q21" s="19" t="n"/>
      <c r="R21" s="19" t="n"/>
      <c r="S21" s="19" t="n"/>
      <c r="T21" s="19" t="n"/>
      <c r="U21" s="19" t="n"/>
      <c r="V21" s="19" t="n"/>
      <c r="W21" s="18">
        <f>IF(M21="",0,COUNT(M21:V21))</f>
        <v/>
      </c>
      <c r="X21" s="18">
        <f>IF(W21&lt;10,"",M21*ForcedChoiceCorrections!$B$6+N21*ForcedChoiceCorrections!$B$7+O21*ForcedChoiceCorrections!$B$8+P21*ForcedChoiceCorrections!$B$9+Q21*ForcedChoiceCorrections!$B$10+R21*ForcedChoiceCorrections!$B$11+S21*ForcedChoiceCorrections!$B$12+T21*ForcedChoiceCorrections!$B$13+U21*ForcedChoiceCorrections!$B$14+V21*ForcedChoiceCorrections!$B$15)</f>
        <v/>
      </c>
      <c r="Y21" s="18">
        <f>IF(AND(ISNUMBER(SEARCH("pass",L21)),ISNUMBER(X21)),COUNTIFS(L$2:L$90,"*pass*",X$2:X$90,"&gt;"&amp;X21)+1,"")</f>
        <v/>
      </c>
      <c r="Z21" s="18" t="inlineStr">
        <is>
          <t>Highton Village UDF; compare pocket gradients, station access &amp; Univ Hospital Geelong ED journey. 27 Oct 2026 research pass: drive times/ED and/or AVM price added; L re-evaluated.</t>
        </is>
      </c>
      <c r="AA21" s="16" t="inlineStr">
        <is>
          <t>20. Highton (Geelong) | Geelong | Active Shortlist | P: Medium-High (Hills/river) | Y: Medium (Near coast) | Lens: Village-centre regional-city comparator | Price: [Blank] | Basis: Not verified in report | Note: Highton Village UDF; compare pocket gradients, station access &amp; Univ Hospital Geelong ED journey.</t>
        </is>
      </c>
      <c r="AB21" s="16" t="inlineStr">
        <is>
          <t>No</t>
        </is>
      </c>
      <c r="AC21" s="16" t="inlineStr">
        <is>
          <t>No station; bus to Geelong (recall; verify)</t>
        </is>
      </c>
      <c r="AD21" s="16" t="inlineStr">
        <is>
          <t>University Hospital Geelong ED</t>
        </is>
      </c>
      <c r="AE21" s="24" t="n">
        <v>1500000</v>
      </c>
      <c r="AF21" s="22" t="inlineStr">
        <is>
          <t>Maximum purchase price, excluding transaction and moving costs</t>
        </is>
      </c>
      <c r="AG21" s="22" t="inlineStr">
        <is>
          <t>AVM estimate</t>
        </is>
      </c>
      <c r="AH21" s="22" t="inlineStr">
        <is>
          <t>27 Oct 2026</t>
        </is>
      </c>
      <c r="AI21" s="22" t="inlineStr">
        <is>
          <t>Pass</t>
        </is>
      </c>
      <c r="AJ21" s="22" t="inlineStr">
        <is>
          <t>AVM house value ($957,797) is under $1.5M cap. Not a sale median.</t>
        </is>
      </c>
    </row>
    <row r="22" ht="15.75" customHeight="1" s="15">
      <c r="A22" s="18" t="inlineStr">
        <is>
          <t>Belgrave</t>
        </is>
      </c>
      <c r="B22" s="18" t="inlineStr">
        <is>
          <t>Dandenong Ranges</t>
        </is>
      </c>
      <c r="C22" s="18" t="inlineStr">
        <is>
          <t>Active Shortlist</t>
        </is>
      </c>
      <c r="D22" s="18" t="inlineStr">
        <is>
          <t>High (Forest &amp; hills)</t>
        </is>
      </c>
      <c r="E22" s="18" t="inlineStr">
        <is>
          <t>Low (Inland)</t>
        </is>
      </c>
      <c r="F22" s="18" t="inlineStr">
        <is>
          <t>Stronger hills lifestyle on metro rail line</t>
        </is>
      </c>
      <c r="G22" s="18" t="n">
        <v>856437</v>
      </c>
      <c r="H22" s="18" t="inlineStr">
        <is>
          <t>AVM estimate (30 Sep 2026), NOT a verified sale median; unit $647,854; 72 sales in last 12m (OnTheHouse/Cotality, read 27 Oct 2026)</t>
        </is>
      </c>
      <c r="I22" s="18">
        <f>G22*(1+Settings!$B$6)</f>
        <v/>
      </c>
      <c r="J22" s="19" t="n">
        <v>21</v>
      </c>
      <c r="K22" s="19" t="n">
        <v>7</v>
      </c>
      <c r="L22" s="18" t="inlineStr">
        <is>
          <t>Active — provisional pass</t>
        </is>
      </c>
      <c r="M22" s="19" t="n"/>
      <c r="N22" s="19" t="n"/>
      <c r="O22" s="19">
        <f>IF(K22="","",ROUND(MAX(0,10*(1-K22/Filters!$B$5)),1))</f>
        <v/>
      </c>
      <c r="P22" s="19" t="n"/>
      <c r="Q22" s="19" t="n"/>
      <c r="R22" s="19" t="n"/>
      <c r="S22" s="19" t="n"/>
      <c r="T22" s="19" t="n"/>
      <c r="U22" s="19" t="n"/>
      <c r="V22" s="19" t="n"/>
      <c r="W22" s="18">
        <f>IF(M22="",0,COUNT(M22:V22))</f>
        <v/>
      </c>
      <c r="X22" s="18">
        <f>IF(W22&lt;10,"",M22*ForcedChoiceCorrections!$B$6+N22*ForcedChoiceCorrections!$B$7+O22*ForcedChoiceCorrections!$B$8+P22*ForcedChoiceCorrections!$B$9+Q22*ForcedChoiceCorrections!$B$10+R22*ForcedChoiceCorrections!$B$11+S22*ForcedChoiceCorrections!$B$12+T22*ForcedChoiceCorrections!$B$13+U22*ForcedChoiceCorrections!$B$14+V22*ForcedChoiceCorrections!$B$15)</f>
        <v/>
      </c>
      <c r="Y22" s="18">
        <f>IF(AND(ISNUMBER(SEARCH("pass",L22)),ISNUMBER(X22)),COUNTIFS(L$2:L$90,"*pass*",X$2:X$90,"&gt;"&amp;X22)+1,"")</f>
        <v/>
      </c>
      <c r="Z22" s="18" t="inlineStr">
        <is>
          <t>Belgrave metro rail terminus; check steep gradients, bushfire/storm closures &amp; Angliss/Maroondah ED drive. 27 Oct 2026 research pass: drive times/ED and/or AVM price added; L re-evaluated.</t>
        </is>
      </c>
      <c r="AA22" s="16" t="inlineStr">
        <is>
          <t>21. Belgrave | Dandenong Ranges | Active Shortlist | P: High (Forest &amp; hills) | Y: Low (Inland) | Lens: Stronger hills lifestyle on metro rail line | Price: [Blank] | Basis: Not verified in report | Note: Belgrave metro rail terminus; check steep gradients, bushfire/storm closures &amp; Angliss/Maroondah ED drive.</t>
        </is>
      </c>
      <c r="AB22" s="16" t="inlineStr">
        <is>
          <t>Yes</t>
        </is>
      </c>
      <c r="AC22" s="16" t="inlineStr">
        <is>
          <t>Belgrave station, Belgrave line terminus (per sheet note)</t>
        </is>
      </c>
      <c r="AD22" s="16" t="inlineStr">
        <is>
          <t>Angliss Hospital ED (24-hr status still to verify)</t>
        </is>
      </c>
      <c r="AE22" s="24" t="n">
        <v>1500000</v>
      </c>
      <c r="AF22" s="22" t="inlineStr">
        <is>
          <t>Maximum purchase price, excluding transaction and moving costs</t>
        </is>
      </c>
      <c r="AG22" s="22" t="inlineStr">
        <is>
          <t>AVM estimate</t>
        </is>
      </c>
      <c r="AH22" s="22" t="inlineStr">
        <is>
          <t>27 Oct 2026</t>
        </is>
      </c>
      <c r="AI22" s="22" t="inlineStr">
        <is>
          <t>Pass</t>
        </is>
      </c>
      <c r="AJ22" s="22" t="inlineStr">
        <is>
          <t>AVM house value ($856,437) is under $1.5M cap. Not a sale median.</t>
        </is>
      </c>
    </row>
    <row r="23" ht="15.75" customHeight="1" s="15">
      <c r="A23" s="18" t="inlineStr">
        <is>
          <t>Upwey</t>
        </is>
      </c>
      <c r="B23" s="18" t="inlineStr">
        <is>
          <t>Dandenong Ranges</t>
        </is>
      </c>
      <c r="C23" s="18" t="inlineStr">
        <is>
          <t>Active Shortlist</t>
        </is>
      </c>
      <c r="D23" s="18" t="inlineStr">
        <is>
          <t>High (Foothills village)</t>
        </is>
      </c>
      <c r="E23" s="18" t="inlineStr">
        <is>
          <t>Low (Inland)</t>
        </is>
      </c>
      <c r="F23" s="18" t="inlineStr">
        <is>
          <t>Village character vs healthcare/transport practicality</t>
        </is>
      </c>
      <c r="G23" s="18" t="n">
        <v>929500</v>
      </c>
      <c r="H23" s="18" t="inlineStr">
        <is>
          <t>House sale median $929,500 (104 sales, Property.com.au)</t>
        </is>
      </c>
      <c r="I23" s="18" t="n">
        <v>985270</v>
      </c>
      <c r="J23" s="19" t="n">
        <v>17</v>
      </c>
      <c r="K23" s="19" t="n">
        <v>4</v>
      </c>
      <c r="L23" s="18" t="inlineStr">
        <is>
          <t>Active — provisional pass</t>
        </is>
      </c>
      <c r="M23" s="19" t="n"/>
      <c r="N23" s="19" t="n"/>
      <c r="O23" s="19">
        <f>IF(K23="","",ROUND(MAX(0,10*(1-K23/Filters!$B$5)),1))</f>
        <v/>
      </c>
      <c r="P23" s="19" t="n"/>
      <c r="Q23" s="19" t="n"/>
      <c r="R23" s="19" t="n"/>
      <c r="S23" s="19" t="n"/>
      <c r="T23" s="19" t="n"/>
      <c r="U23" s="19" t="n"/>
      <c r="V23" s="19" t="n"/>
      <c r="W23" s="18">
        <f>IF(M23="",0,COUNT(M23:V23))</f>
        <v/>
      </c>
      <c r="X23" s="18">
        <f>IF(W23&lt;10,"",M23*ForcedChoiceCorrections!$B$6+N23*ForcedChoiceCorrections!$B$7+O23*ForcedChoiceCorrections!$B$8+P23*ForcedChoiceCorrections!$B$9+Q23*ForcedChoiceCorrections!$B$10+R23*ForcedChoiceCorrections!$B$11+S23*ForcedChoiceCorrections!$B$12+T23*ForcedChoiceCorrections!$B$13+U23*ForcedChoiceCorrections!$B$14+V23*ForcedChoiceCorrections!$B$15)</f>
        <v/>
      </c>
      <c r="Y23" s="18">
        <f>IF(AND(ISNUMBER(SEARCH("pass",L23)),ISNUMBER(X23)),COUNTIFS(L$2:L$90,"*pass*",X$2:X$90,"&gt;"&amp;X23)+1,"")</f>
        <v/>
      </c>
      <c r="Z23" s="18" t="inlineStr">
        <is>
          <t>Belgrave rail line township; closer to foothills edge than Belgrave.</t>
        </is>
      </c>
      <c r="AA23" s="16" t="inlineStr">
        <is>
          <t>22. Upwey | Dandenong Ranges | Active Shortlist | P: High (Foothills village) | Y: Low (Inland) | Lens: Village character vs healthcare/transport practicality | Price: 929500 | Basis: House sale median $929,500 (104 sales, Property.com.au) | Note: Belgrave rail line township; closer to foothills edge than Belgrave.</t>
        </is>
      </c>
      <c r="AB23" s="16" t="inlineStr">
        <is>
          <t>Yes</t>
        </is>
      </c>
      <c r="AC23" s="16" t="inlineStr">
        <is>
          <t>Upwey station, Belgrave line (per sheet note)</t>
        </is>
      </c>
      <c r="AD23" s="16" t="inlineStr">
        <is>
          <t>Angliss Hospital ED (24-hr status still to verify)</t>
        </is>
      </c>
      <c r="AE23" s="24" t="n">
        <v>1500000</v>
      </c>
      <c r="AF23" s="22" t="inlineStr">
        <is>
          <t>Maximum purchase price, excluding transaction and moving costs</t>
        </is>
      </c>
      <c r="AG23" s="22" t="inlineStr">
        <is>
          <t>Suburb median</t>
        </is>
      </c>
      <c r="AH23" s="22" t="inlineStr">
        <is>
          <t>26 Oct 2026</t>
        </is>
      </c>
      <c r="AI23" s="22" t="inlineStr">
        <is>
          <t>Pass</t>
        </is>
      </c>
      <c r="AJ23" s="22" t="inlineStr">
        <is>
          <t>Published house price ($929,500) is under $1.5M cap.</t>
        </is>
      </c>
    </row>
    <row r="24" ht="15.75" customHeight="1" s="15">
      <c r="A24" s="18" t="inlineStr">
        <is>
          <t>Tecoma</t>
        </is>
      </c>
      <c r="B24" s="18" t="inlineStr">
        <is>
          <t>Dandenong Ranges</t>
        </is>
      </c>
      <c r="C24" s="18" t="inlineStr">
        <is>
          <t>Active Shortlist</t>
        </is>
      </c>
      <c r="D24" s="18" t="inlineStr">
        <is>
          <t>High (Foothills/forest)</t>
        </is>
      </c>
      <c r="E24" s="18" t="inlineStr">
        <is>
          <t>Low (Inland)</t>
        </is>
      </c>
      <c r="F24" s="18" t="inlineStr">
        <is>
          <t>Established rail township between Upwey &amp; Belgrave</t>
        </is>
      </c>
      <c r="G24" s="18" t="n">
        <v>894304</v>
      </c>
      <c r="H24" s="18" t="inlineStr">
        <is>
          <t>AVM estimate (30 Sep 2026), NOT a verified sale median; unit $655,831; 38 sales in last 12m (OnTheHouse/Cotality, read 27 Oct 2026) — few sales, weak</t>
        </is>
      </c>
      <c r="I24" s="18">
        <f>G24*(1+Settings!$B$6)</f>
        <v/>
      </c>
      <c r="J24" s="19" t="n">
        <v>19</v>
      </c>
      <c r="K24" s="19" t="n">
        <v>5</v>
      </c>
      <c r="L24" s="18" t="inlineStr">
        <is>
          <t>Active — provisional pass</t>
        </is>
      </c>
      <c r="M24" s="19" t="n"/>
      <c r="N24" s="19" t="n"/>
      <c r="O24" s="19">
        <f>IF(K24="","",ROUND(MAX(0,10*(1-K24/Filters!$B$5)),1))</f>
        <v/>
      </c>
      <c r="P24" s="19" t="n"/>
      <c r="Q24" s="19" t="n"/>
      <c r="R24" s="19" t="n"/>
      <c r="S24" s="19" t="n"/>
      <c r="T24" s="19" t="n"/>
      <c r="U24" s="19" t="n"/>
      <c r="V24" s="19" t="n"/>
      <c r="W24" s="18">
        <f>IF(M24="",0,COUNT(M24:V24))</f>
        <v/>
      </c>
      <c r="X24" s="18">
        <f>IF(W24&lt;10,"",M24*ForcedChoiceCorrections!$B$6+N24*ForcedChoiceCorrections!$B$7+O24*ForcedChoiceCorrections!$B$8+P24*ForcedChoiceCorrections!$B$9+Q24*ForcedChoiceCorrections!$B$10+R24*ForcedChoiceCorrections!$B$11+S24*ForcedChoiceCorrections!$B$12+T24*ForcedChoiceCorrections!$B$13+U24*ForcedChoiceCorrections!$B$14+V24*ForcedChoiceCorrections!$B$15)</f>
        <v/>
      </c>
      <c r="Y24" s="18">
        <f>IF(AND(ISNUMBER(SEARCH("pass",L24)),ISNUMBER(X24)),COUNTIFS(L$2:L$90,"*pass*",X$2:X$90,"&gt;"&amp;X24)+1,"")</f>
        <v/>
      </c>
      <c r="Z24" s="18" t="inlineStr">
        <is>
          <t>Belgrave rail line; council groups Belgrave-Tecoma-Upwey as established townships. 27 Oct 2026 research pass: drive times/ED and/or AVM price added; L re-evaluated.</t>
        </is>
      </c>
      <c r="AA24" s="16" t="inlineStr">
        <is>
          <t>23. Tecoma | Dandenong Ranges | Active Shortlist | P: High (Foothills/forest) | Y: Low (Inland) | Lens: Established rail township between Upwey &amp; Belgrave | Price: [Blank] | Basis: Not verified in report | Note: Belgrave rail line; council groups Belgrave-Tecoma-Upwey as established townships.</t>
        </is>
      </c>
      <c r="AB24" s="16" t="inlineStr">
        <is>
          <t>Yes</t>
        </is>
      </c>
      <c r="AC24" s="16" t="inlineStr">
        <is>
          <t>Tecoma station, Belgrave line (per sheet note)</t>
        </is>
      </c>
      <c r="AD24" s="16" t="inlineStr">
        <is>
          <t>Angliss Hospital ED (24-hr status still to verify)</t>
        </is>
      </c>
      <c r="AE24" s="24" t="n">
        <v>1500000</v>
      </c>
      <c r="AF24" s="22" t="inlineStr">
        <is>
          <t>Maximum purchase price, excluding transaction and moving costs</t>
        </is>
      </c>
      <c r="AG24" s="22" t="inlineStr">
        <is>
          <t>AVM estimate</t>
        </is>
      </c>
      <c r="AH24" s="22" t="inlineStr">
        <is>
          <t>27 Oct 2026</t>
        </is>
      </c>
      <c r="AI24" s="22" t="inlineStr">
        <is>
          <t>Pass</t>
        </is>
      </c>
      <c r="AJ24" s="22" t="inlineStr">
        <is>
          <t>AVM house value ($894,304) is under $1.5M cap. Not a sale median.</t>
        </is>
      </c>
    </row>
    <row r="25" ht="15.75" customHeight="1" s="15">
      <c r="A25" s="18" t="inlineStr">
        <is>
          <t>The Basin</t>
        </is>
      </c>
      <c r="B25" s="18" t="inlineStr">
        <is>
          <t>Dandenong Foothills</t>
        </is>
      </c>
      <c r="C25" s="18" t="inlineStr">
        <is>
          <t>Active Shortlist</t>
        </is>
      </c>
      <c r="D25" s="18" t="inlineStr">
        <is>
          <t>High (National park edge)</t>
        </is>
      </c>
      <c r="E25" s="18" t="inlineStr">
        <is>
          <t>Low (Inland)</t>
        </is>
      </c>
      <c r="F25" s="18" t="inlineStr">
        <is>
          <t>Forest-edge living without a ridge village</t>
        </is>
      </c>
      <c r="G25" s="18" t="n">
        <v>845187</v>
      </c>
      <c r="H25" s="18" t="inlineStr">
        <is>
          <t>AVM estimate (30 Sep 2026), NOT a verified sale median; unit $728,871; 66 sales in last 12m (OnTheHouse/Cotality, read 27 Oct 2026)</t>
        </is>
      </c>
      <c r="I25" s="18">
        <f>G25*(1+Settings!$B$6)</f>
        <v/>
      </c>
      <c r="J25" s="19" t="n">
        <v>17</v>
      </c>
      <c r="K25" s="19" t="n">
        <v>10</v>
      </c>
      <c r="L25" s="18" t="inlineStr">
        <is>
          <t>Active — provisional pass</t>
        </is>
      </c>
      <c r="M25" s="19" t="n"/>
      <c r="N25" s="19" t="n"/>
      <c r="O25" s="19">
        <f>IF(K25="","",ROUND(MAX(0,10*(1-K25/Filters!$B$5)),1))</f>
        <v/>
      </c>
      <c r="P25" s="19" t="n"/>
      <c r="Q25" s="19" t="n"/>
      <c r="R25" s="19" t="n"/>
      <c r="S25" s="19" t="n"/>
      <c r="T25" s="19" t="n"/>
      <c r="U25" s="19" t="n"/>
      <c r="V25" s="19" t="n"/>
      <c r="W25" s="18">
        <f>IF(M25="",0,COUNT(M25:V25))</f>
        <v/>
      </c>
      <c r="X25" s="18">
        <f>IF(W25&lt;10,"",M25*ForcedChoiceCorrections!$B$6+N25*ForcedChoiceCorrections!$B$7+O25*ForcedChoiceCorrections!$B$8+P25*ForcedChoiceCorrections!$B$9+Q25*ForcedChoiceCorrections!$B$10+R25*ForcedChoiceCorrections!$B$11+S25*ForcedChoiceCorrections!$B$12+T25*ForcedChoiceCorrections!$B$13+U25*ForcedChoiceCorrections!$B$14+V25*ForcedChoiceCorrections!$B$15)</f>
        <v/>
      </c>
      <c r="Y25" s="18">
        <f>IF(AND(ISNUMBER(SEARCH("pass",L25)),ISNUMBER(X25)),COUNTIFS(L$2:L$90,"*pass*",X$2:X$90,"&gt;"&amp;X25)+1,"")</f>
        <v/>
      </c>
      <c r="Z25" s="18" t="inlineStr">
        <is>
          <t>Adjoins Dandenong Ranges National Park; verify bus/station link &amp; Angliss Hospital ED drive. 27 Oct 2026 research pass: drive times/ED and/or AVM price added; L re-evaluated.</t>
        </is>
      </c>
      <c r="AA25" s="16" t="inlineStr">
        <is>
          <t>24. The Basin | Dandenong Foothills | Active Shortlist | P: High (National park edge) | Y: Low (Inland) | Lens: Forest-edge living without a ridge village | Price: [Blank] | Basis: Not verified in report | Note: Adjoins Dandenong Ranges National Park; verify bus/station link &amp; Angliss Hospital ED drive.</t>
        </is>
      </c>
      <c r="AB25" s="16" t="inlineStr">
        <is>
          <t>No</t>
        </is>
      </c>
      <c r="AC25" s="16" t="inlineStr">
        <is>
          <t>No station; bus link unverified (per sheet note)</t>
        </is>
      </c>
      <c r="AD25" s="16" t="inlineStr">
        <is>
          <t>Angliss Hospital ED (24-hr status still to verify)</t>
        </is>
      </c>
      <c r="AE25" s="24" t="n">
        <v>1500000</v>
      </c>
      <c r="AF25" s="22" t="inlineStr">
        <is>
          <t>Maximum purchase price, excluding transaction and moving costs</t>
        </is>
      </c>
      <c r="AG25" s="22" t="inlineStr">
        <is>
          <t>AVM estimate</t>
        </is>
      </c>
      <c r="AH25" s="22" t="inlineStr">
        <is>
          <t>27 Oct 2026</t>
        </is>
      </c>
      <c r="AI25" s="22" t="inlineStr">
        <is>
          <t>Pass</t>
        </is>
      </c>
      <c r="AJ25" s="22" t="inlineStr">
        <is>
          <t>AVM house value ($845,187) is under $1.5M cap. Not a sale median.</t>
        </is>
      </c>
    </row>
    <row r="26" ht="15.75" customHeight="1" s="15">
      <c r="A26" s="18" t="inlineStr">
        <is>
          <t>Montrose</t>
        </is>
      </c>
      <c r="B26" s="18" t="inlineStr">
        <is>
          <t>Dandenong Foothills</t>
        </is>
      </c>
      <c r="C26" s="18" t="inlineStr">
        <is>
          <t>Active Shortlist</t>
        </is>
      </c>
      <c r="D26" s="18" t="inlineStr">
        <is>
          <t>High (Mountain backdrop)</t>
        </is>
      </c>
      <c r="E26" s="18" t="inlineStr">
        <is>
          <t>Low (Inland)</t>
        </is>
      </c>
      <c r="F26" s="18" t="inlineStr">
        <is>
          <t>Foothills township between suburbs &amp; ridge</t>
        </is>
      </c>
      <c r="G26" s="18" t="n">
        <v>968458</v>
      </c>
      <c r="H26" s="18" t="inlineStr">
        <is>
          <t>AVM estimate (30 Sep 2026), NOT a verified sale median; unit $712,988; 85 sales in last 12m (OnTheHouse/Cotality, read 27 Oct 2026)</t>
        </is>
      </c>
      <c r="I26" s="18">
        <f>G26*(1+Settings!$B$6)</f>
        <v/>
      </c>
      <c r="J26" s="19" t="n">
        <v>22</v>
      </c>
      <c r="K26" s="19" t="n">
        <v>12</v>
      </c>
      <c r="L26" s="18" t="inlineStr">
        <is>
          <t>Active — provisional pass</t>
        </is>
      </c>
      <c r="M26" s="19" t="n"/>
      <c r="N26" s="19" t="n"/>
      <c r="O26" s="19">
        <f>IF(K26="","",ROUND(MAX(0,10*(1-K26/Filters!$B$5)),1))</f>
        <v/>
      </c>
      <c r="P26" s="19" t="n"/>
      <c r="Q26" s="19" t="n"/>
      <c r="R26" s="19" t="n"/>
      <c r="S26" s="19" t="n"/>
      <c r="T26" s="19" t="n"/>
      <c r="U26" s="19" t="n"/>
      <c r="V26" s="19" t="n"/>
      <c r="W26" s="18">
        <f>IF(M26="",0,COUNT(M26:V26))</f>
        <v/>
      </c>
      <c r="X26" s="18">
        <f>IF(W26&lt;10,"",M26*ForcedChoiceCorrections!$B$6+N26*ForcedChoiceCorrections!$B$7+O26*ForcedChoiceCorrections!$B$8+P26*ForcedChoiceCorrections!$B$9+Q26*ForcedChoiceCorrections!$B$10+R26*ForcedChoiceCorrections!$B$11+S26*ForcedChoiceCorrections!$B$12+T26*ForcedChoiceCorrections!$B$13+U26*ForcedChoiceCorrections!$B$14+V26*ForcedChoiceCorrections!$B$15)</f>
        <v/>
      </c>
      <c r="Y26" s="18">
        <f>IF(AND(ISNUMBER(SEARCH("pass",L26)),ISNUMBER(X26)),COUNTIFS(L$2:L$90,"*pass*",X$2:X$90,"&gt;"&amp;X26)+1,"")</f>
        <v/>
      </c>
      <c r="Z26" s="18" t="inlineStr">
        <is>
          <t>Township shopping &amp; community hub; verify non-rail transport, fire exposure &amp; ED journey. 27 Oct 2026 research pass: drive times/ED and/or AVM price added; L re-evaluated.</t>
        </is>
      </c>
      <c r="AA26" s="16" t="inlineStr">
        <is>
          <t>25. Montrose | Dandenong Foothills | Active Shortlist | P: High (Mountain backdrop) | Y: Low (Inland) | Lens: Foothills township between suburbs &amp; ridge | Price: [Blank] | Basis: Not verified in report | Note: Township shopping &amp; community hub; verify non-rail transport, fire exposure &amp; ED journey.</t>
        </is>
      </c>
      <c r="AB26" s="16" t="inlineStr">
        <is>
          <t>No</t>
        </is>
      </c>
      <c r="AC26" s="16" t="inlineStr">
        <is>
          <t>No station; Mooroolbark/Lilydale stations nearby (recall; verify)</t>
        </is>
      </c>
      <c r="AD26" s="16" t="inlineStr">
        <is>
          <t>Maroondah Hospital ED</t>
        </is>
      </c>
      <c r="AE26" s="24" t="n">
        <v>1500000</v>
      </c>
      <c r="AF26" s="22" t="inlineStr">
        <is>
          <t>Maximum purchase price, excluding transaction and moving costs</t>
        </is>
      </c>
      <c r="AG26" s="22" t="inlineStr">
        <is>
          <t>AVM estimate</t>
        </is>
      </c>
      <c r="AH26" s="22" t="inlineStr">
        <is>
          <t>27 Oct 2026</t>
        </is>
      </c>
      <c r="AI26" s="22" t="inlineStr">
        <is>
          <t>Pass</t>
        </is>
      </c>
      <c r="AJ26" s="22" t="inlineStr">
        <is>
          <t>AVM house value ($968,458) is under $1.5M cap. Not a sale median.</t>
        </is>
      </c>
    </row>
    <row r="27" ht="15.75" customHeight="1" s="15">
      <c r="A27" s="18" t="inlineStr">
        <is>
          <t>Mount Evelyn</t>
        </is>
      </c>
      <c r="B27" s="18" t="inlineStr">
        <is>
          <t>Yarra Ranges</t>
        </is>
      </c>
      <c r="C27" s="18" t="inlineStr">
        <is>
          <t>Active Shortlist</t>
        </is>
      </c>
      <c r="D27" s="18" t="inlineStr">
        <is>
          <t>High (Aqueduct &amp; rail trails)</t>
        </is>
      </c>
      <c r="E27" s="18" t="inlineStr">
        <is>
          <t>Low (Inland)</t>
        </is>
      </c>
      <c r="F27" s="18" t="inlineStr">
        <is>
          <t>Forest village closer than Warburton</t>
        </is>
      </c>
      <c r="G27" s="18" t="n">
        <v>915472</v>
      </c>
      <c r="H27" s="18" t="inlineStr">
        <is>
          <t>AVM estimate (30 Sep 2026), NOT a verified sale median; unit $693,463; 130 sales in last 12m (OnTheHouse/Cotality, read 27 Oct 2026)</t>
        </is>
      </c>
      <c r="I27" s="18">
        <f>G27*(1+Settings!$B$6)</f>
        <v/>
      </c>
      <c r="J27" s="19" t="n">
        <v>27</v>
      </c>
      <c r="K27" s="19" t="n">
        <v>17</v>
      </c>
      <c r="L27" s="18" t="inlineStr">
        <is>
          <t>Active — provisional pass</t>
        </is>
      </c>
      <c r="M27" s="19" t="n"/>
      <c r="N27" s="19" t="n"/>
      <c r="O27" s="19">
        <f>IF(K27="","",ROUND(MAX(0,10*(1-K27/Filters!$B$5)),1))</f>
        <v/>
      </c>
      <c r="P27" s="19" t="n"/>
      <c r="Q27" s="19" t="n"/>
      <c r="R27" s="19" t="n"/>
      <c r="S27" s="19" t="n"/>
      <c r="T27" s="19" t="n"/>
      <c r="U27" s="19" t="n"/>
      <c r="V27" s="19" t="n"/>
      <c r="W27" s="18">
        <f>IF(M27="",0,COUNT(M27:V27))</f>
        <v/>
      </c>
      <c r="X27" s="18">
        <f>IF(W27&lt;10,"",M27*ForcedChoiceCorrections!$B$6+N27*ForcedChoiceCorrections!$B$7+O27*ForcedChoiceCorrections!$B$8+P27*ForcedChoiceCorrections!$B$9+Q27*ForcedChoiceCorrections!$B$10+R27*ForcedChoiceCorrections!$B$11+S27*ForcedChoiceCorrections!$B$12+T27*ForcedChoiceCorrections!$B$13+U27*ForcedChoiceCorrections!$B$14+V27*ForcedChoiceCorrections!$B$15)</f>
        <v/>
      </c>
      <c r="Y27" s="18">
        <f>IF(AND(ISNUMBER(SEARCH("pass",L27)),ISNUMBER(X27)),COUNTIFS(L$2:L$90,"*pass*",X$2:X$90,"&gt;"&amp;X27)+1,"")</f>
        <v/>
      </c>
      <c r="Z27" s="18" t="inlineStr">
        <is>
          <t>Warburton Rail Trail &amp; Aqueduct Trail (no passenger rail); verify Maroondah ED journey. 27 Oct 2026 research pass: drive times/ED and/or AVM price added; L re-evaluated.</t>
        </is>
      </c>
      <c r="AA27" s="16" t="inlineStr">
        <is>
          <t>26. Mount Evelyn | Yarra Ranges | Active Shortlist | P: High (Aqueduct &amp; rail trails) | Y: Low (Inland) | Lens: Forest village closer than Warburton | Price: [Blank] | Basis: Not verified in report | Note: Warburton Rail Trail &amp; Aqueduct Trail (no passenger rail); verify Maroondah ED journey.</t>
        </is>
      </c>
      <c r="AB27" s="16" t="inlineStr">
        <is>
          <t>No</t>
        </is>
      </c>
      <c r="AC27" s="16" t="inlineStr">
        <is>
          <t>No passenger rail (per sheet note)</t>
        </is>
      </c>
      <c r="AD27" s="16" t="inlineStr">
        <is>
          <t>Maroondah Hospital ED</t>
        </is>
      </c>
      <c r="AE27" s="24" t="n">
        <v>1500000</v>
      </c>
      <c r="AF27" s="22" t="inlineStr">
        <is>
          <t>Maximum purchase price, excluding transaction and moving costs</t>
        </is>
      </c>
      <c r="AG27" s="22" t="inlineStr">
        <is>
          <t>AVM estimate</t>
        </is>
      </c>
      <c r="AH27" s="22" t="inlineStr">
        <is>
          <t>27 Oct 2026</t>
        </is>
      </c>
      <c r="AI27" s="22" t="inlineStr">
        <is>
          <t>Pass</t>
        </is>
      </c>
      <c r="AJ27" s="22" t="inlineStr">
        <is>
          <t>AVM house value ($915,472) is under $1.5M cap. Not a sale median.</t>
        </is>
      </c>
    </row>
    <row r="28" ht="15.75" customHeight="1" s="15">
      <c r="A28" s="18" t="inlineStr">
        <is>
          <t>Croydon</t>
        </is>
      </c>
      <c r="B28" s="18" t="inlineStr">
        <is>
          <t>Outer East Melbourne</t>
        </is>
      </c>
      <c r="C28" s="18" t="inlineStr">
        <is>
          <t>Active Shortlist</t>
        </is>
      </c>
      <c r="D28" s="18" t="inlineStr">
        <is>
          <t>Medium (Leafy parks)</t>
        </is>
      </c>
      <c r="E28" s="18" t="inlineStr">
        <is>
          <t>Low (Inland)</t>
        </is>
      </c>
      <c r="F28" s="18" t="inlineStr">
        <is>
          <t>Practical outer-east control with rail &amp; services</t>
        </is>
      </c>
      <c r="G28" s="18" t="n">
        <v>898896</v>
      </c>
      <c r="H28" s="18" t="inlineStr">
        <is>
          <t>AVM estimate (30 Sep 2026), NOT a verified sale median; unit $670,300; 704 sales in last 12m (OnTheHouse/Cotality, read 27 Oct 2026)</t>
        </is>
      </c>
      <c r="I28" s="18">
        <f>G28*(1+Settings!$B$6)</f>
        <v/>
      </c>
      <c r="J28" s="19" t="n">
        <v>18</v>
      </c>
      <c r="K28" s="19" t="n">
        <v>6</v>
      </c>
      <c r="L28" s="18" t="inlineStr">
        <is>
          <t>Active — provisional pass</t>
        </is>
      </c>
      <c r="M28" s="19" t="n"/>
      <c r="N28" s="19" t="n"/>
      <c r="O28" s="19">
        <f>IF(K28="","",ROUND(MAX(0,10*(1-K28/Filters!$B$5)),1))</f>
        <v/>
      </c>
      <c r="P28" s="19" t="n"/>
      <c r="Q28" s="19" t="n"/>
      <c r="R28" s="19" t="n"/>
      <c r="S28" s="19" t="n"/>
      <c r="T28" s="19" t="n"/>
      <c r="U28" s="19" t="n"/>
      <c r="V28" s="19" t="n"/>
      <c r="W28" s="18">
        <f>IF(M28="",0,COUNT(M28:V28))</f>
        <v/>
      </c>
      <c r="X28" s="18">
        <f>IF(W28&lt;10,"",M28*ForcedChoiceCorrections!$B$6+N28*ForcedChoiceCorrections!$B$7+O28*ForcedChoiceCorrections!$B$8+P28*ForcedChoiceCorrections!$B$9+Q28*ForcedChoiceCorrections!$B$10+R28*ForcedChoiceCorrections!$B$11+S28*ForcedChoiceCorrections!$B$12+T28*ForcedChoiceCorrections!$B$13+U28*ForcedChoiceCorrections!$B$14+V28*ForcedChoiceCorrections!$B$15)</f>
        <v/>
      </c>
      <c r="Y28" s="18">
        <f>IF(AND(ISNUMBER(SEARCH("pass",L28)),ISNUMBER(X28)),COUNTIFS(L$2:L$90,"*pass*",X$2:X$90,"&gt;"&amp;X28)+1,"")</f>
        <v/>
      </c>
      <c r="Z28" s="18" t="inlineStr">
        <is>
          <t>Main St activity centre, train/bus interchange &amp; Croydon Park; benchmark near Maroondah ED. 27 Oct 2026 research pass: drive times/ED and/or AVM price added; L re-evaluated.</t>
        </is>
      </c>
      <c r="AA28" s="16" t="inlineStr">
        <is>
          <t>27. Croydon | Outer East Melbourne | Active Shortlist | P: Medium (Leafy parks) | Y: Low (Inland) | Lens: Practical outer-east control with rail &amp; services | Price: [Blank] | Basis: Not verified in report | Note: Main St activity centre, train/bus interchange &amp; Croydon Park; benchmark near Maroondah ED.</t>
        </is>
      </c>
      <c r="AB28" s="16" t="inlineStr">
        <is>
          <t>Yes</t>
        </is>
      </c>
      <c r="AC28" s="16" t="inlineStr">
        <is>
          <t>Croydon station, Lilydale line (per sheet note)</t>
        </is>
      </c>
      <c r="AD28" s="16" t="inlineStr">
        <is>
          <t>Maroondah Hospital ED</t>
        </is>
      </c>
      <c r="AE28" s="24" t="n">
        <v>1500000</v>
      </c>
      <c r="AF28" s="22" t="inlineStr">
        <is>
          <t>Maximum purchase price, excluding transaction and moving costs</t>
        </is>
      </c>
      <c r="AG28" s="22" t="inlineStr">
        <is>
          <t>AVM estimate</t>
        </is>
      </c>
      <c r="AH28" s="22" t="inlineStr">
        <is>
          <t>27 Oct 2026</t>
        </is>
      </c>
      <c r="AI28" s="22" t="inlineStr">
        <is>
          <t>Pass</t>
        </is>
      </c>
      <c r="AJ28" s="22" t="inlineStr">
        <is>
          <t>AVM house value ($898,896) is under $1.5M cap. Not a sale median.</t>
        </is>
      </c>
    </row>
    <row r="29" ht="15.75" customHeight="1" s="15">
      <c r="A29" s="18" t="inlineStr">
        <is>
          <t>Warragul</t>
        </is>
      </c>
      <c r="B29" s="18" t="inlineStr">
        <is>
          <t>West Gippsland</t>
        </is>
      </c>
      <c r="C29" s="18" t="inlineStr">
        <is>
          <t>Active Shortlist</t>
        </is>
      </c>
      <c r="D29" s="18" t="inlineStr">
        <is>
          <t>High (Rolling hills/gardens)</t>
        </is>
      </c>
      <c r="E29" s="18" t="inlineStr">
        <is>
          <t>Low (Inland)</t>
        </is>
      </c>
      <c r="F29" s="18" t="inlineStr">
        <is>
          <t>Regional town with V/Line rail &amp; local hospital ED</t>
        </is>
      </c>
      <c r="G29" s="18" t="n">
        <v>620000</v>
      </c>
      <c r="H29" s="18" t="inlineStr">
        <is>
          <t>3-bed house median $620k; 4-bed $732.5k (Domain)</t>
        </is>
      </c>
      <c r="I29" s="18" t="n">
        <v>657200</v>
      </c>
      <c r="J29" s="19" t="n">
        <v>58</v>
      </c>
      <c r="K29" s="19" t="n">
        <v>2</v>
      </c>
      <c r="L29" s="18" t="inlineStr">
        <is>
          <t>Active — provisional pass</t>
        </is>
      </c>
      <c r="M29" s="19" t="n"/>
      <c r="N29" s="19" t="n"/>
      <c r="O29" s="19">
        <f>IF(K29="","",ROUND(MAX(0,10*(1-K29/Filters!$B$5)),1))</f>
        <v/>
      </c>
      <c r="P29" s="19" t="n"/>
      <c r="Q29" s="19" t="n"/>
      <c r="R29" s="19" t="n"/>
      <c r="S29" s="19" t="n"/>
      <c r="T29" s="19" t="n"/>
      <c r="U29" s="19" t="n"/>
      <c r="V29" s="19" t="n"/>
      <c r="W29" s="18">
        <f>IF(M29="",0,COUNT(M29:V29))</f>
        <v/>
      </c>
      <c r="X29" s="18">
        <f>IF(W29&lt;10,"",M29*ForcedChoiceCorrections!$B$6+N29*ForcedChoiceCorrections!$B$7+O29*ForcedChoiceCorrections!$B$8+P29*ForcedChoiceCorrections!$B$9+Q29*ForcedChoiceCorrections!$B$10+R29*ForcedChoiceCorrections!$B$11+S29*ForcedChoiceCorrections!$B$12+T29*ForcedChoiceCorrections!$B$13+U29*ForcedChoiceCorrections!$B$14+V29*ForcedChoiceCorrections!$B$15)</f>
        <v/>
      </c>
      <c r="Y29" s="18">
        <f>IF(AND(ISNUMBER(SEARCH("pass",L29)),ISNUMBER(X29)),COUNTIFS(L$2:L$90,"*pass*",X$2:X$90,"&gt;"&amp;X29)+1,"")</f>
        <v/>
      </c>
      <c r="Z29" s="18" t="inlineStr">
        <is>
          <t>Town-centre V/Line station &amp; West Gippsland Hospital ED (verify wait times &amp; GW drive).</t>
        </is>
      </c>
      <c r="AA29" s="16" t="inlineStr">
        <is>
          <t>28. Warragul | West Gippsland | Active Shortlist | P: High (Rolling hills/gardens) | Y: Low (Inland) | Lens: Regional town with V/Line rail &amp; local hospital ED | Price: 620000 | Basis: 3-bed house median $620k; 4-bed $732.5k (Domain) | Note: Town-centre V/Line station &amp; West Gippsland Hospital ED (verify wait times &amp; GW drive).</t>
        </is>
      </c>
      <c r="AB29" s="16" t="inlineStr">
        <is>
          <t>Yes</t>
        </is>
      </c>
      <c r="AC29" s="16" t="inlineStr">
        <is>
          <t>Warragul station, V/Line Gippsland (per sheet note)</t>
        </is>
      </c>
      <c r="AD29" s="16" t="inlineStr">
        <is>
          <t>West Gippsland Hospital ED (local)</t>
        </is>
      </c>
      <c r="AE29" s="24" t="n">
        <v>1500000</v>
      </c>
      <c r="AF29" s="22" t="inlineStr">
        <is>
          <t>Maximum purchase price, excluding transaction and moving costs</t>
        </is>
      </c>
      <c r="AG29" s="22" t="inlineStr">
        <is>
          <t>Suburb median</t>
        </is>
      </c>
      <c r="AH29" s="22" t="inlineStr">
        <is>
          <t>26 Oct 2026</t>
        </is>
      </c>
      <c r="AI29" s="22" t="inlineStr">
        <is>
          <t>Pass</t>
        </is>
      </c>
      <c r="AJ29" s="22" t="inlineStr">
        <is>
          <t>Published house price ($620,000) is under $1.5M cap.</t>
        </is>
      </c>
    </row>
    <row r="30" ht="15.75" customHeight="1" s="15">
      <c r="A30" s="18" t="inlineStr">
        <is>
          <t>Mount Eliza</t>
        </is>
      </c>
      <c r="B30" s="18" t="inlineStr">
        <is>
          <t>Mornington Peninsula</t>
        </is>
      </c>
      <c r="C30" s="18" t="inlineStr">
        <is>
          <t>Active Shortlist</t>
        </is>
      </c>
      <c r="D30" s="18" t="inlineStr">
        <is>
          <t>High (Woodland &amp; gullies)</t>
        </is>
      </c>
      <c r="E30" s="18" t="inlineStr">
        <is>
          <t>High (Canadian Bay/coast)</t>
        </is>
      </c>
      <c r="F30" s="18" t="inlineStr">
        <is>
          <t>Rare overlap of bushland reserves, village &amp; bay</t>
        </is>
      </c>
      <c r="G30" s="18" t="n">
        <v>1610862</v>
      </c>
      <c r="H30" s="18" t="inlineStr">
        <is>
          <t>AVM estimate (30 Sep 2026), NOT a verified sale median; unit $778,590; 313 sales in last 12m (OnTheHouse/Cotality, read 27 Oct 2026)</t>
        </is>
      </c>
      <c r="I30" s="18">
        <f>G30*(1+Settings!$B$6)</f>
        <v/>
      </c>
      <c r="J30" s="19" t="n">
        <v>34</v>
      </c>
      <c r="K30" s="19" t="n">
        <v>10</v>
      </c>
      <c r="L30" s="18" t="inlineStr">
        <is>
          <t>Active — needs data</t>
        </is>
      </c>
      <c r="M30" s="19" t="n"/>
      <c r="N30" s="19" t="n"/>
      <c r="O30" s="19">
        <f>IF(K30="","",ROUND(MAX(0,10*(1-K30/Filters!$B$5)),1))</f>
        <v/>
      </c>
      <c r="P30" s="19" t="n"/>
      <c r="Q30" s="19" t="n"/>
      <c r="R30" s="19" t="n"/>
      <c r="S30" s="19" t="n"/>
      <c r="T30" s="19" t="n"/>
      <c r="U30" s="19" t="n"/>
      <c r="V30" s="19" t="n"/>
      <c r="W30" s="18">
        <f>IF(M30="",0,COUNT(M30:V30))</f>
        <v/>
      </c>
      <c r="X30" s="18">
        <f>IF(W30&lt;10,"",M30*ForcedChoiceCorrections!$B$6+N30*ForcedChoiceCorrections!$B$7+O30*ForcedChoiceCorrections!$B$8+P30*ForcedChoiceCorrections!$B$9+Q30*ForcedChoiceCorrections!$B$10+R30*ForcedChoiceCorrections!$B$11+S30*ForcedChoiceCorrections!$B$12+T30*ForcedChoiceCorrections!$B$13+U30*ForcedChoiceCorrections!$B$14+V30*ForcedChoiceCorrections!$B$15)</f>
        <v/>
      </c>
      <c r="Y30" s="18">
        <f>IF(AND(ISNUMBER(SEARCH("pass",L30)),ISNUMBER(X30)),COUNTIFS(L$2:L$90,"*pass*",X$2:X$90,"&gt;"&amp;X30)+1,"")</f>
        <v/>
      </c>
      <c r="Z30" s="18" t="inlineStr">
        <is>
          <t>Tests BOTH parents' bushland preference and your coastal-nature preference; verify bus 781 &amp; Frankston ED drive. 27 Oct 2026 research pass: drive times/ED and/or AVM price added; L re-evaluated.</t>
        </is>
      </c>
      <c r="AA30" s="16" t="inlineStr">
        <is>
          <t>29. Mount Eliza | Mornington Peninsula | Active Shortlist | P: High (Woodland &amp; gullies) | Y: High (Canadian Bay/coast) | Lens: Rare overlap of bushland reserves, village &amp; bay | Price: [Blank] | Basis: Not verified in report | Note: Tests BOTH parents' bushland preference and your coastal-nature preference; verify bus 781 &amp; Frankston ED drive.</t>
        </is>
      </c>
      <c r="AB30" s="16" t="inlineStr">
        <is>
          <t>No</t>
        </is>
      </c>
      <c r="AC30" s="16" t="inlineStr">
        <is>
          <t>No rail; bus 781 to Frankston (per sheet note)</t>
        </is>
      </c>
      <c r="AD30" s="16" t="inlineStr">
        <is>
          <t>Peninsula University Hospital ED</t>
        </is>
      </c>
      <c r="AE30" s="24" t="n">
        <v>1500000</v>
      </c>
      <c r="AF30" s="22" t="inlineStr">
        <is>
          <t>Maximum purchase price, excluding transaction and moving costs</t>
        </is>
      </c>
      <c r="AG30" s="22" t="inlineStr">
        <is>
          <t>AVM estimate</t>
        </is>
      </c>
      <c r="AH30" s="22" t="inlineStr">
        <is>
          <t>27 Oct 2026</t>
        </is>
      </c>
      <c r="AI30" s="22" t="inlineStr">
        <is>
          <t>Needs data</t>
        </is>
      </c>
      <c r="AJ30" s="22" t="inlineStr">
        <is>
          <t>AVM house value ($1,610,862) is over the $1.5M cap; needs a documented search for 3+ bed homes under the cap.</t>
        </is>
      </c>
    </row>
    <row r="31" ht="15.75" customHeight="1" s="15">
      <c r="A31" s="18" t="inlineStr">
        <is>
          <t>Mornington</t>
        </is>
      </c>
      <c r="B31" s="18" t="inlineStr">
        <is>
          <t>Mornington Peninsula</t>
        </is>
      </c>
      <c r="C31" s="18" t="inlineStr">
        <is>
          <t>Active Shortlist</t>
        </is>
      </c>
      <c r="D31" s="18" t="inlineStr">
        <is>
          <t>Medium (Parks &amp; gardens)</t>
        </is>
      </c>
      <c r="E31" s="18" t="inlineStr">
        <is>
          <t>High (Bay beaches/harbor)</t>
        </is>
      </c>
      <c r="F31" s="18" t="inlineStr">
        <is>
          <t>Established coastal town centre &amp; Main Street</t>
        </is>
      </c>
      <c r="G31" s="18" t="n">
        <v>1096505</v>
      </c>
      <c r="H31" s="18" t="inlineStr">
        <is>
          <t>AVM estimate (30 Sep 2026), NOT a verified sale median; unit $790,244; 629 sales in last 12m (OnTheHouse/Cotality, read 27 Oct 2026)</t>
        </is>
      </c>
      <c r="I31" s="18">
        <f>G31*(1+Settings!$B$6)</f>
        <v/>
      </c>
      <c r="J31" s="19" t="n">
        <v>40</v>
      </c>
      <c r="K31" s="19" t="n">
        <v>15</v>
      </c>
      <c r="L31" s="18" t="inlineStr">
        <is>
          <t>Active — provisional pass</t>
        </is>
      </c>
      <c r="M31" s="19" t="n"/>
      <c r="N31" s="19" t="n"/>
      <c r="O31" s="19">
        <f>IF(K31="","",ROUND(MAX(0,10*(1-K31/Filters!$B$5)),1))</f>
        <v/>
      </c>
      <c r="P31" s="19" t="n"/>
      <c r="Q31" s="19" t="n"/>
      <c r="R31" s="19" t="n"/>
      <c r="S31" s="19" t="n"/>
      <c r="T31" s="19" t="n"/>
      <c r="U31" s="19" t="n"/>
      <c r="V31" s="19" t="n"/>
      <c r="W31" s="18">
        <f>IF(M31="",0,COUNT(M31:V31))</f>
        <v/>
      </c>
      <c r="X31" s="18">
        <f>IF(W31&lt;10,"",M31*ForcedChoiceCorrections!$B$6+N31*ForcedChoiceCorrections!$B$7+O31*ForcedChoiceCorrections!$B$8+P31*ForcedChoiceCorrections!$B$9+Q31*ForcedChoiceCorrections!$B$10+R31*ForcedChoiceCorrections!$B$11+S31*ForcedChoiceCorrections!$B$12+T31*ForcedChoiceCorrections!$B$13+U31*ForcedChoiceCorrections!$B$14+V31*ForcedChoiceCorrections!$B$15)</f>
        <v/>
      </c>
      <c r="Y31" s="18">
        <f>IF(AND(ISNUMBER(SEARCH("pass",L31)),ISNUMBER(X31)),COUNTIFS(L$2:L$90,"*pass*",X$2:X$90,"&gt;"&amp;X31)+1,"")</f>
        <v/>
      </c>
      <c r="Z31" s="18" t="inlineStr">
        <is>
          <t>Substantial town services on bay; no passenger train (bus to Frankston); verify Frankston/Rosebud ED drive. 27 Oct 2026 research pass: drive times/ED and/or AVM price added; L re-evaluated.</t>
        </is>
      </c>
      <c r="AA31" s="16" t="inlineStr">
        <is>
          <t>30. Mornington | Mornington Peninsula | Active Shortlist | P: Medium (Parks &amp; gardens) | Y: High (Bay beaches/harbor) | Lens: Established coastal town centre &amp; Main Street | Price: [Blank] | Basis: Not verified in report | Note: Substantial town services on bay; no passenger train (bus to Frankston); verify Frankston/Rosebud ED drive.</t>
        </is>
      </c>
      <c r="AB31" s="16" t="inlineStr">
        <is>
          <t>No</t>
        </is>
      </c>
      <c r="AC31" s="16" t="inlineStr">
        <is>
          <t>No passenger train; bus to Frankston (per sheet note)</t>
        </is>
      </c>
      <c r="AD31" s="16" t="inlineStr">
        <is>
          <t>Peninsula University Hospital ED</t>
        </is>
      </c>
      <c r="AE31" s="24" t="n">
        <v>1500000</v>
      </c>
      <c r="AF31" s="22" t="inlineStr">
        <is>
          <t>Maximum purchase price, excluding transaction and moving costs</t>
        </is>
      </c>
      <c r="AG31" s="22" t="inlineStr">
        <is>
          <t>AVM estimate</t>
        </is>
      </c>
      <c r="AH31" s="22" t="inlineStr">
        <is>
          <t>27 Oct 2026</t>
        </is>
      </c>
      <c r="AI31" s="22" t="inlineStr">
        <is>
          <t>Pass</t>
        </is>
      </c>
      <c r="AJ31" s="22" t="inlineStr">
        <is>
          <t>AVM house value ($1,096,505) is under $1.5M cap. Not a sale median.</t>
        </is>
      </c>
    </row>
    <row r="32" ht="15.75" customHeight="1" s="15">
      <c r="A32" s="18" t="inlineStr">
        <is>
          <t>Clifton Springs</t>
        </is>
      </c>
      <c r="B32" s="18" t="inlineStr">
        <is>
          <t>Bellarine Peninsula</t>
        </is>
      </c>
      <c r="C32" s="18" t="inlineStr">
        <is>
          <t>Active Shortlist</t>
        </is>
      </c>
      <c r="D32" s="18" t="inlineStr">
        <is>
          <t>Medium (Dell &amp; coastal reserve)</t>
        </is>
      </c>
      <c r="E32" s="18" t="inlineStr">
        <is>
          <t>High (Bay views &amp; foreshore)</t>
        </is>
      </c>
      <c r="F32" s="18" t="inlineStr">
        <is>
          <t>High-value Bellarine coastal alternative</t>
        </is>
      </c>
      <c r="G32" s="18" t="n">
        <v>715000</v>
      </c>
      <c r="H32" s="18" t="inlineStr">
        <is>
          <t>House sale median $715,000 (196 sales, Property.com.au)</t>
        </is>
      </c>
      <c r="I32" s="18" t="n">
        <v>757900</v>
      </c>
      <c r="J32" s="19" t="n">
        <v>95</v>
      </c>
      <c r="K32" s="19" t="n">
        <v>23</v>
      </c>
      <c r="L32" s="18" t="inlineStr">
        <is>
          <t>Fails: GW drive</t>
        </is>
      </c>
      <c r="M32" s="19" t="n"/>
      <c r="N32" s="19" t="n"/>
      <c r="O32" s="19">
        <f>IF(K32="","",ROUND(MAX(0,10*(1-K32/Filters!$B$5)),1))</f>
        <v/>
      </c>
      <c r="P32" s="19" t="n"/>
      <c r="Q32" s="19" t="n"/>
      <c r="R32" s="19" t="n"/>
      <c r="S32" s="19" t="n"/>
      <c r="T32" s="19" t="n"/>
      <c r="U32" s="19" t="n"/>
      <c r="V32" s="19" t="n"/>
      <c r="W32" s="18">
        <f>IF(M32="",0,COUNT(M32:V32))</f>
        <v/>
      </c>
      <c r="X32" s="18">
        <f>IF(W32&lt;10,"",M32*ForcedChoiceCorrections!$B$6+N32*ForcedChoiceCorrections!$B$7+O32*ForcedChoiceCorrections!$B$8+P32*ForcedChoiceCorrections!$B$9+Q32*ForcedChoiceCorrections!$B$10+R32*ForcedChoiceCorrections!$B$11+S32*ForcedChoiceCorrections!$B$12+T32*ForcedChoiceCorrections!$B$13+U32*ForcedChoiceCorrections!$B$14+V32*ForcedChoiceCorrections!$B$15)</f>
        <v/>
      </c>
      <c r="Y32" s="18">
        <f>IF(AND(ISNUMBER(SEARCH("pass",L32)),ISNUMBER(X32)),COUNTIFS(L$2:L$90,"*pass*",X$2:X$90,"&gt;"&amp;X32)+1,"")</f>
        <v/>
      </c>
      <c r="Z32" s="18" t="inlineStr">
        <is>
          <t>Port Phillip bay frontage &amp; Dell picnic area; verify Univ Hospital Geelong ED drive &amp; public transport.</t>
        </is>
      </c>
      <c r="AA32" s="16" t="inlineStr">
        <is>
          <t>31. Clifton Springs | Bellarine Peninsula | Active Shortlist | P: Medium (Dell &amp; coastal reserve) | Y: High (Bay views &amp; foreshore) | Lens: High-value Bellarine coastal alternative | Price: 715000 | Basis: House sale median $715,000 (196 sales, Property.com.au) | Note: Port Phillip bay frontage &amp; Dell picnic area; verify Univ Hospital Geelong ED drive &amp; public transport.</t>
        </is>
      </c>
      <c r="AB32" s="16" t="inlineStr">
        <is>
          <t>No</t>
        </is>
      </c>
      <c r="AC32" s="16" t="inlineStr">
        <is>
          <t>No rail; Geelong via bus (recall; verify)</t>
        </is>
      </c>
      <c r="AD32" s="16" t="inlineStr">
        <is>
          <t>University Hospital Geelong ED</t>
        </is>
      </c>
      <c r="AE32" s="24" t="n">
        <v>1500000</v>
      </c>
      <c r="AF32" s="22" t="inlineStr">
        <is>
          <t>Maximum purchase price, excluding transaction and moving costs</t>
        </is>
      </c>
      <c r="AG32" s="22" t="inlineStr">
        <is>
          <t>Suburb median</t>
        </is>
      </c>
      <c r="AH32" s="22" t="inlineStr">
        <is>
          <t>26 Oct 2026</t>
        </is>
      </c>
      <c r="AI32" s="22" t="inlineStr">
        <is>
          <t>Pass</t>
        </is>
      </c>
      <c r="AJ32" s="22" t="inlineStr">
        <is>
          <t>Published house price ($715,000) is under $1.5M cap.</t>
        </is>
      </c>
    </row>
    <row r="33" ht="15.75" customHeight="1" s="15">
      <c r="A33" s="18" t="inlineStr">
        <is>
          <t>Warburton</t>
        </is>
      </c>
      <c r="B33" s="18" t="inlineStr">
        <is>
          <t>Yarra Valley</t>
        </is>
      </c>
      <c r="C33" s="18" t="inlineStr">
        <is>
          <t>Watchlist</t>
        </is>
      </c>
      <c r="D33" s="18" t="inlineStr">
        <is>
          <t>Very High (Mountain &amp; river)</t>
        </is>
      </c>
      <c r="E33" s="18" t="inlineStr">
        <is>
          <t>Low (River, non-coastal)</t>
        </is>
      </c>
      <c r="F33" s="18" t="inlineStr">
        <is>
          <t>Maximum forest/mountain scenery test</t>
        </is>
      </c>
      <c r="G33" s="18" t="n">
        <v>717500</v>
      </c>
      <c r="H33" s="18" t="inlineStr">
        <is>
          <t>3-bed house median $717.5k (34 sales); 4-bed $702.5k</t>
        </is>
      </c>
      <c r="I33" s="18" t="n">
        <v>760550</v>
      </c>
      <c r="J33" s="19" t="n">
        <v>65</v>
      </c>
      <c r="K33" s="19" t="n">
        <v>53</v>
      </c>
      <c r="L33" s="18" t="inlineStr">
        <is>
          <t>Provisional pass</t>
        </is>
      </c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8">
        <f>IF(M33="",0,COUNT(M33:V33))</f>
        <v/>
      </c>
      <c r="X33" s="18">
        <f>IF(W33&lt;10,"",M33*ForcedChoiceCorrections!$B$6+N33*ForcedChoiceCorrections!$B$7+O33*ForcedChoiceCorrections!$B$8+P33*ForcedChoiceCorrections!$B$9+Q33*ForcedChoiceCorrections!$B$10+R33*ForcedChoiceCorrections!$B$11+S33*ForcedChoiceCorrections!$B$12+T33*ForcedChoiceCorrections!$B$13+U33*ForcedChoiceCorrections!$B$14+V33*ForcedChoiceCorrections!$B$15)</f>
        <v/>
      </c>
      <c r="Y33" s="18">
        <f>IF(AND(ISNUMBER(SEARCH("pass",L33)),ISNUMBER(X33)),COUNTIFS(L$2:L$90,"*pass*",X$2:X$90,"&gt;"&amp;X33)+1,"")</f>
        <v/>
      </c>
      <c r="Z33" s="18" t="inlineStr">
        <is>
          <t>ABS 2021: 24.3% aged 65+, 8.1% non-Eng HH. Tough practicality test on winter comfort, fire risk &amp; distant ED. 27 Oct 2026 research pass: drive times/ED and/or AVM price added; L re-evaluated.</t>
        </is>
      </c>
      <c r="AA33" s="16" t="inlineStr">
        <is>
          <t>32. Warburton | Yarra Valley | Watchlist | P: Very High (Mountain &amp; river) | Y: Low (River, non-coastal) | Lens: Maximum forest/mountain scenery test | Price: 717500 | Basis: 3-bed house median $717.5k (34 sales); 4-bed $702.5k | Note: ABS 2021: 24.3% aged 65+, 8.1% non-Eng HH. Tough practicality test on winter comfort, fire risk &amp; distant ED.</t>
        </is>
      </c>
      <c r="AB33" s="22" t="inlineStr">
        <is>
          <t>No</t>
        </is>
      </c>
      <c r="AC33" s="22" t="inlineStr">
        <is>
          <t>No passenger rail (recall; verify)</t>
        </is>
      </c>
      <c r="AD33" s="22" t="inlineStr">
        <is>
          <t>Maroondah Hospital ED (drive times added 27 Oct 2026, Google Maps leave-now, not peak; Angliss may be closer, 24-hr status unverified)</t>
        </is>
      </c>
      <c r="AE33" s="24" t="n">
        <v>1500000</v>
      </c>
      <c r="AF33" s="22" t="inlineStr">
        <is>
          <t>Maximum purchase price, excluding transaction and moving costs</t>
        </is>
      </c>
      <c r="AG33" s="22" t="inlineStr">
        <is>
          <t>Suburb median</t>
        </is>
      </c>
      <c r="AH33" s="22" t="inlineStr">
        <is>
          <t>26 Oct 2026</t>
        </is>
      </c>
      <c r="AI33" s="22" t="inlineStr">
        <is>
          <t>Pass</t>
        </is>
      </c>
      <c r="AJ33" s="22" t="inlineStr">
        <is>
          <t>Published house price ($717,500) is under $1.5M cap.</t>
        </is>
      </c>
    </row>
    <row r="34" ht="15.75" customHeight="1" s="15">
      <c r="A34" s="18" t="inlineStr">
        <is>
          <t>Trentham</t>
        </is>
      </c>
      <c r="B34" s="18" t="inlineStr">
        <is>
          <t>Macedon Ranges</t>
        </is>
      </c>
      <c r="C34" s="18" t="inlineStr">
        <is>
          <t>Watchlist</t>
        </is>
      </c>
      <c r="D34" s="18" t="inlineStr">
        <is>
          <t>High (Wombat Forest village)</t>
        </is>
      </c>
      <c r="E34" s="18" t="inlineStr">
        <is>
          <t>Low (Inland)</t>
        </is>
      </c>
      <c r="F34" s="18" t="inlineStr">
        <is>
          <t>Intimate forest village with older age profile</t>
        </is>
      </c>
      <c r="G34" s="18" t="n">
        <v>978750</v>
      </c>
      <c r="H34" s="18" t="inlineStr">
        <is>
          <t>3-bed house median $978,750 (30 sales, Domain)</t>
        </is>
      </c>
      <c r="I34" s="18" t="n">
        <v>1037475</v>
      </c>
      <c r="J34" s="19" t="n">
        <v>97</v>
      </c>
      <c r="K34" s="19" t="n">
        <v>59</v>
      </c>
      <c r="L34" s="18" t="inlineStr">
        <is>
          <t>Fails: GW drive</t>
        </is>
      </c>
      <c r="M34" s="19" t="n"/>
      <c r="N34" s="19" t="n"/>
      <c r="O34" s="19">
        <f>IF(K34="","",ROUND(MAX(0,10*(1-K34/Filters!$B$5)),1))</f>
        <v/>
      </c>
      <c r="P34" s="19" t="n"/>
      <c r="Q34" s="19" t="n"/>
      <c r="R34" s="19" t="n"/>
      <c r="S34" s="19" t="n"/>
      <c r="T34" s="19" t="n"/>
      <c r="U34" s="19" t="n"/>
      <c r="V34" s="19" t="n"/>
      <c r="W34" s="18">
        <f>IF(M34="",0,COUNT(M34:V34))</f>
        <v/>
      </c>
      <c r="X34" s="18">
        <f>IF(W34&lt;10,"",M34*ForcedChoiceCorrections!$B$6+N34*ForcedChoiceCorrections!$B$7+O34*ForcedChoiceCorrections!$B$8+P34*ForcedChoiceCorrections!$B$9+Q34*ForcedChoiceCorrections!$B$10+R34*ForcedChoiceCorrections!$B$11+S34*ForcedChoiceCorrections!$B$12+T34*ForcedChoiceCorrections!$B$13+U34*ForcedChoiceCorrections!$B$14+V34*ForcedChoiceCorrections!$B$15)</f>
        <v/>
      </c>
      <c r="Y34" s="18">
        <f>IF(AND(ISNUMBER(SEARCH("pass",L34)),ISNUMBER(X34)),COUNTIFS(L$2:L$90,"*pass*",X$2:X$90,"&gt;"&amp;X34)+1,"")</f>
        <v/>
      </c>
      <c r="Z34" s="18" t="inlineStr">
        <is>
          <t>ABS 2021: 33.6% aged 65+, 4.7% non-Eng HH. CAUTION: Local health campus is community/aged care ONLY, not an ED. 27 Oct 2026 research pass: drive times/ED and/or AVM price added; L re-evaluated.</t>
        </is>
      </c>
      <c r="AA34" s="16" t="inlineStr">
        <is>
          <t>33. Trentham | Macedon Ranges | Watchlist | P: High (Wombat Forest village) | Y: Low (Inland) | Lens: Intimate forest village with older age profile | Price: 978750 | Basis: 3-bed house median $978,750 (30 sales, Domain) | Note: ABS 2021: 33.6% aged 65+, 4.7% non-Eng HH. CAUTION: Local health campus is community/aged care ONLY, not an ED.</t>
        </is>
      </c>
      <c r="AB34" s="22" t="inlineStr">
        <is>
          <t>No</t>
        </is>
      </c>
      <c r="AC34" s="22" t="inlineStr">
        <is>
          <t>No station (line closed); nearest Woodend or Kyneton V/Line (recall; verify)</t>
        </is>
      </c>
      <c r="AD34" s="22" t="inlineStr">
        <is>
          <t>Grampians Health Ballarat (Ballarat Base) ED (24-hr: recall (major regional ED); Bendigo 68 min) (drive times: Google Maps leave-now, 27 Oct 2026 ~13:15–13:45 AEDT (midday, not peak), suburb name)</t>
        </is>
      </c>
      <c r="AE34" s="24" t="n">
        <v>1500000</v>
      </c>
      <c r="AF34" s="22" t="inlineStr">
        <is>
          <t>Maximum purchase price, excluding transaction and moving costs</t>
        </is>
      </c>
      <c r="AG34" s="22" t="inlineStr">
        <is>
          <t>Suburb median</t>
        </is>
      </c>
      <c r="AH34" s="22" t="inlineStr">
        <is>
          <t>26 Oct 2026</t>
        </is>
      </c>
      <c r="AI34" s="22" t="inlineStr">
        <is>
          <t>Pass</t>
        </is>
      </c>
      <c r="AJ34" s="22" t="inlineStr">
        <is>
          <t>Published house price ($978,750) is under $1.5M cap.</t>
        </is>
      </c>
    </row>
    <row r="35" ht="15.75" customHeight="1" s="15">
      <c r="A35" s="18" t="inlineStr">
        <is>
          <t>Olinda</t>
        </is>
      </c>
      <c r="B35" s="18" t="inlineStr">
        <is>
          <t>Dandenong Ridge</t>
        </is>
      </c>
      <c r="C35" s="18" t="inlineStr">
        <is>
          <t>Watchlist</t>
        </is>
      </c>
      <c r="D35" s="18" t="inlineStr">
        <is>
          <t>Very High (Botanic gardens/ridge)</t>
        </is>
      </c>
      <c r="E35" s="18" t="inlineStr">
        <is>
          <t>Low (Inland)</t>
        </is>
      </c>
      <c r="F35" s="18" t="inlineStr">
        <is>
          <t>Dandenongs ridge village — high scenic appeal</t>
        </is>
      </c>
      <c r="G35" s="18" t="n">
        <v>1020069</v>
      </c>
      <c r="H35" s="18" t="inlineStr">
        <is>
          <t>AVM estimate (30 Sep 2026), NOT a verified sale median; unit $1,214,582; 37 sales in last 12m (OnTheHouse/Cotality, read 27 Oct 2026) — few sales, weak</t>
        </is>
      </c>
      <c r="I35" s="18">
        <f>G35*(1+Settings!$B$6)</f>
        <v/>
      </c>
      <c r="J35" s="19" t="n">
        <v>33</v>
      </c>
      <c r="K35" s="19" t="n">
        <v>15</v>
      </c>
      <c r="L35" s="18" t="inlineStr">
        <is>
          <t>Provisional pass</t>
        </is>
      </c>
      <c r="M35" s="19" t="n"/>
      <c r="N35" s="19" t="n"/>
      <c r="O35" s="19">
        <f>IF(K35="","",ROUND(MAX(0,10*(1-K35/Filters!$B$5)),1))</f>
        <v/>
      </c>
      <c r="P35" s="19" t="n"/>
      <c r="Q35" s="19" t="n"/>
      <c r="R35" s="19" t="n"/>
      <c r="S35" s="19" t="n"/>
      <c r="T35" s="19" t="n"/>
      <c r="U35" s="19" t="n"/>
      <c r="V35" s="19" t="n"/>
      <c r="W35" s="18">
        <f>IF(M35="",0,COUNT(M35:V35))</f>
        <v/>
      </c>
      <c r="X35" s="18">
        <f>IF(W35&lt;10,"",M35*ForcedChoiceCorrections!$B$6+N35*ForcedChoiceCorrections!$B$7+O35*ForcedChoiceCorrections!$B$8+P35*ForcedChoiceCorrections!$B$9+Q35*ForcedChoiceCorrections!$B$10+R35*ForcedChoiceCorrections!$B$11+S35*ForcedChoiceCorrections!$B$12+T35*ForcedChoiceCorrections!$B$13+U35*ForcedChoiceCorrections!$B$14+V35*ForcedChoiceCorrections!$B$15)</f>
        <v/>
      </c>
      <c r="Y35" s="18">
        <f>IF(AND(ISNUMBER(SEARCH("pass",L35)),ISNUMBER(X35)),COUNTIFS(L$2:L$90,"*pass*",X$2:X$90,"&gt;"&amp;X35)+1,"")</f>
        <v/>
      </c>
      <c r="Z35" s="18" t="inlineStr">
        <is>
          <t>Parks Vic documents severe-weather/fire closures; bus 694 to Belgrave; verify winter damp, slopes &amp; insurance. 27 Oct 2026 research pass: drive times/ED and/or AVM price added; L re-evaluated.</t>
        </is>
      </c>
      <c r="AA35" s="16" t="inlineStr">
        <is>
          <t>34. Olinda | Dandenong Ridge | Watchlist | P: Very High (Botanic gardens/ridge) | Y: Low (Inland) | Lens: Dandenongs ridge village — high scenic appeal | Price: [Blank] | Basis: Not verified in report | Note: Parks Vic documents severe-weather/fire closures; bus 694 to Belgrave; verify winter damp, slopes &amp; insurance.</t>
        </is>
      </c>
      <c r="AB35" s="22" t="inlineStr">
        <is>
          <t>No</t>
        </is>
      </c>
      <c r="AC35" s="22" t="inlineStr">
        <is>
          <t>No station; nearest Upwey/Belgrave (recall; verify)</t>
        </is>
      </c>
      <c r="AD35" s="22" t="inlineStr">
        <is>
          <t>Angliss Hospital ED (24-hr: verified, Eastern Health site) (drive times: Google Maps leave-now, 27 Oct 2026 ~13:15–13:45 AEDT (midday, not peak), suburb name)</t>
        </is>
      </c>
      <c r="AE35" s="24" t="n">
        <v>1500000</v>
      </c>
      <c r="AF35" s="22" t="inlineStr">
        <is>
          <t>Maximum purchase price, excluding transaction and moving costs</t>
        </is>
      </c>
      <c r="AG35" s="22" t="inlineStr">
        <is>
          <t>AVM estimate</t>
        </is>
      </c>
      <c r="AH35" s="22" t="inlineStr">
        <is>
          <t>27 Oct 2026</t>
        </is>
      </c>
      <c r="AI35" s="22" t="inlineStr">
        <is>
          <t>Pass</t>
        </is>
      </c>
      <c r="AJ35" s="22" t="inlineStr">
        <is>
          <t>AVM house value ($1,020,069) is under $1.5M cap. Not a sale median.</t>
        </is>
      </c>
    </row>
    <row r="36" ht="15.75" customHeight="1" s="15">
      <c r="A36" s="18" t="inlineStr">
        <is>
          <t>Sassafras</t>
        </is>
      </c>
      <c r="B36" s="18" t="inlineStr">
        <is>
          <t>Dandenong Ridge</t>
        </is>
      </c>
      <c r="C36" s="18" t="inlineStr">
        <is>
          <t>Watchlist</t>
        </is>
      </c>
      <c r="D36" s="18" t="inlineStr">
        <is>
          <t>Very High (Forest ridge village)</t>
        </is>
      </c>
      <c r="E36" s="18" t="inlineStr">
        <is>
          <t>Low (Inland)</t>
        </is>
      </c>
      <c r="F36" s="18" t="inlineStr">
        <is>
          <t>Dandenongs ridge village comparator</t>
        </is>
      </c>
      <c r="G36" s="18" t="n">
        <v>1006318</v>
      </c>
      <c r="H36" s="18" t="inlineStr">
        <is>
          <t>AVM estimate (30 Sep 2026), NOT a verified sale median; unit $1,279,170; 17 sales in last 12m (OnTheHouse/Cotality, read 27 Oct 2026) — few sales, weak</t>
        </is>
      </c>
      <c r="I36" s="18">
        <f>G36*(1+Settings!$B$6)</f>
        <v/>
      </c>
      <c r="J36" s="19" t="n">
        <v>29</v>
      </c>
      <c r="K36" s="19" t="n">
        <v>11</v>
      </c>
      <c r="L36" s="18" t="inlineStr">
        <is>
          <t>Provisional pass</t>
        </is>
      </c>
      <c r="M36" s="19" t="n"/>
      <c r="N36" s="19" t="n"/>
      <c r="O36" s="19">
        <f>IF(K36="","",ROUND(MAX(0,10*(1-K36/Filters!$B$5)),1))</f>
        <v/>
      </c>
      <c r="P36" s="19" t="n"/>
      <c r="Q36" s="19" t="n"/>
      <c r="R36" s="19" t="n"/>
      <c r="S36" s="19" t="n"/>
      <c r="T36" s="19" t="n"/>
      <c r="U36" s="19" t="n"/>
      <c r="V36" s="19" t="n"/>
      <c r="W36" s="18">
        <f>IF(M36="",0,COUNT(M36:V36))</f>
        <v/>
      </c>
      <c r="X36" s="18">
        <f>IF(W36&lt;10,"",M36*ForcedChoiceCorrections!$B$6+N36*ForcedChoiceCorrections!$B$7+O36*ForcedChoiceCorrections!$B$8+P36*ForcedChoiceCorrections!$B$9+Q36*ForcedChoiceCorrections!$B$10+R36*ForcedChoiceCorrections!$B$11+S36*ForcedChoiceCorrections!$B$12+T36*ForcedChoiceCorrections!$B$13+U36*ForcedChoiceCorrections!$B$14+V36*ForcedChoiceCorrections!$B$15)</f>
        <v/>
      </c>
      <c r="Y36" s="18">
        <f>IF(AND(ISNUMBER(SEARCH("pass",L36)),ISNUMBER(X36)),COUNTIFS(L$2:L$90,"*pass*",X$2:X$90,"&gt;"&amp;X36)+1,"")</f>
        <v/>
      </c>
      <c r="Z36" s="18" t="inlineStr">
        <is>
          <t>High tourism traffic on weekends; check everyday grocery/medical convenience &amp; bushfire overlay. 27 Oct 2026 research pass: drive times/ED and/or AVM price added; L re-evaluated.</t>
        </is>
      </c>
      <c r="AA36" s="16" t="inlineStr">
        <is>
          <t>35. Sassafras | Dandenong Ridge | Watchlist | P: Very High (Forest ridge village) | Y: Low (Inland) | Lens: Dandenongs ridge village comparator | Price: [Blank] | Basis: Not verified in report | Note: High tourism traffic on weekends; check everyday grocery/medical convenience &amp; bushfire overlay.</t>
        </is>
      </c>
      <c r="AB36" s="22" t="inlineStr">
        <is>
          <t>No</t>
        </is>
      </c>
      <c r="AC36" s="22" t="inlineStr">
        <is>
          <t>No station; nearest Upwey/Belgrave (recall; verify)</t>
        </is>
      </c>
      <c r="AD36" s="22" t="inlineStr">
        <is>
          <t>Angliss Hospital ED (24-hr: verified, Eastern Health site) (drive times: Google Maps leave-now, 27 Oct 2026 ~13:15–13:45 AEDT (midday, not peak), suburb name)</t>
        </is>
      </c>
      <c r="AE36" s="24" t="n">
        <v>1500000</v>
      </c>
      <c r="AF36" s="22" t="inlineStr">
        <is>
          <t>Maximum purchase price, excluding transaction and moving costs</t>
        </is>
      </c>
      <c r="AG36" s="22" t="inlineStr">
        <is>
          <t>AVM estimate</t>
        </is>
      </c>
      <c r="AH36" s="22" t="inlineStr">
        <is>
          <t>27 Oct 2026</t>
        </is>
      </c>
      <c r="AI36" s="22" t="inlineStr">
        <is>
          <t>Pass</t>
        </is>
      </c>
      <c r="AJ36" s="22" t="inlineStr">
        <is>
          <t>AVM house value ($1,006,318) is under $1.5M cap. Not a sale median.</t>
        </is>
      </c>
    </row>
    <row r="37" ht="15.75" customHeight="1" s="15">
      <c r="A37" s="18" t="inlineStr">
        <is>
          <t>Mount Dandenong</t>
        </is>
      </c>
      <c r="B37" s="18" t="inlineStr">
        <is>
          <t>Dandenong Ridge</t>
        </is>
      </c>
      <c r="C37" s="18" t="inlineStr">
        <is>
          <t>Watchlist</t>
        </is>
      </c>
      <c r="D37" s="18" t="inlineStr">
        <is>
          <t>Very High (Canopy &amp; views)</t>
        </is>
      </c>
      <c r="E37" s="18" t="inlineStr">
        <is>
          <t>Low (Inland)</t>
        </is>
      </c>
      <c r="F37" s="18" t="inlineStr">
        <is>
          <t>Ridge canopy living test</t>
        </is>
      </c>
      <c r="G37" s="18" t="n">
        <v>982029</v>
      </c>
      <c r="H37" s="18" t="inlineStr">
        <is>
          <t>AVM estimate (30 Sep 2026), NOT a verified sale median; unit $1,079,082; 30 sales in last 12m (OnTheHouse/Cotality, read 27 Oct 2026) — few sales, weak</t>
        </is>
      </c>
      <c r="I37" s="18">
        <f>G37*(1+Settings!$B$6)</f>
        <v/>
      </c>
      <c r="J37" s="19" t="n">
        <v>30</v>
      </c>
      <c r="K37" s="19" t="n">
        <v>19</v>
      </c>
      <c r="L37" s="18" t="inlineStr">
        <is>
          <t>Provisional pass</t>
        </is>
      </c>
      <c r="M37" s="19" t="n"/>
      <c r="N37" s="19" t="n"/>
      <c r="O37" s="19">
        <f>IF(K37="","",ROUND(MAX(0,10*(1-K37/Filters!$B$5)),1))</f>
        <v/>
      </c>
      <c r="P37" s="19" t="n"/>
      <c r="Q37" s="19" t="n"/>
      <c r="R37" s="19" t="n"/>
      <c r="S37" s="19" t="n"/>
      <c r="T37" s="19" t="n"/>
      <c r="U37" s="19" t="n"/>
      <c r="V37" s="19" t="n"/>
      <c r="W37" s="18">
        <f>IF(M37="",0,COUNT(M37:V37))</f>
        <v/>
      </c>
      <c r="X37" s="18">
        <f>IF(W37&lt;10,"",M37*ForcedChoiceCorrections!$B$6+N37*ForcedChoiceCorrections!$B$7+O37*ForcedChoiceCorrections!$B$8+P37*ForcedChoiceCorrections!$B$9+Q37*ForcedChoiceCorrections!$B$10+R37*ForcedChoiceCorrections!$B$11+S37*ForcedChoiceCorrections!$B$12+T37*ForcedChoiceCorrections!$B$13+U37*ForcedChoiceCorrections!$B$14+V37*ForcedChoiceCorrections!$B$15)</f>
        <v/>
      </c>
      <c r="Y37" s="18">
        <f>IF(AND(ISNUMBER(SEARCH("pass",L37)),ISNUMBER(X37)),COUNTIFS(L$2:L$90,"*pass*",X$2:X$90,"&gt;"&amp;X37)+1,"")</f>
        <v/>
      </c>
      <c r="Z37" s="18" t="inlineStr">
        <is>
          <t>Requires property-specific slope, tree-fall, insurance &amp; emergency egress verification. 27 Oct 2026 research pass: drive times/ED and/or AVM price added; L re-evaluated.</t>
        </is>
      </c>
      <c r="AA37" s="16" t="inlineStr">
        <is>
          <t>36. Mount Dandenong | Dandenong Ridge | Watchlist | P: Very High (Canopy &amp; views) | Y: Low (Inland) | Lens: Ridge canopy living test | Price: [Blank] | Basis: Not verified in report | Note: Requires property-specific slope, tree-fall, insurance &amp; emergency egress verification.</t>
        </is>
      </c>
      <c r="AB37" s="22" t="inlineStr">
        <is>
          <t>No</t>
        </is>
      </c>
      <c r="AC37" s="22" t="inlineStr">
        <is>
          <t>No station (recall; verify)</t>
        </is>
      </c>
      <c r="AD37" s="22" t="inlineStr">
        <is>
          <t>Angliss Hospital ED (24-hr: verified, Eastern Health site; Maroondah 24 min) (drive times: Google Maps leave-now, 27 Oct 2026 ~13:15–13:45 AEDT (midday, not peak), suburb name)</t>
        </is>
      </c>
      <c r="AE37" s="24" t="n">
        <v>1500000</v>
      </c>
      <c r="AF37" s="22" t="inlineStr">
        <is>
          <t>Maximum purchase price, excluding transaction and moving costs</t>
        </is>
      </c>
      <c r="AG37" s="22" t="inlineStr">
        <is>
          <t>AVM estimate</t>
        </is>
      </c>
      <c r="AH37" s="22" t="inlineStr">
        <is>
          <t>27 Oct 2026</t>
        </is>
      </c>
      <c r="AI37" s="22" t="inlineStr">
        <is>
          <t>Pass</t>
        </is>
      </c>
      <c r="AJ37" s="22" t="inlineStr">
        <is>
          <t>AVM house value ($982,029) is under $1.5M cap. Not a sale median.</t>
        </is>
      </c>
    </row>
    <row r="38" ht="15.75" customHeight="1" s="15">
      <c r="A38" s="18" t="inlineStr">
        <is>
          <t>Emerald</t>
        </is>
      </c>
      <c r="B38" s="18" t="inlineStr">
        <is>
          <t>Dandenong Ranges</t>
        </is>
      </c>
      <c r="C38" s="18" t="inlineStr">
        <is>
          <t>Watchlist</t>
        </is>
      </c>
      <c r="D38" s="18" t="inlineStr">
        <is>
          <t>High (Emerald Lake &amp; hills)</t>
        </is>
      </c>
      <c r="E38" s="18" t="inlineStr">
        <is>
          <t>Low (Inland)</t>
        </is>
      </c>
      <c r="F38" s="18" t="inlineStr">
        <is>
          <t>Larger hills town south-east of ridge</t>
        </is>
      </c>
      <c r="G38" s="18" t="n">
        <v>980699</v>
      </c>
      <c r="H38" s="18" t="inlineStr">
        <is>
          <t>AVM estimate (30 Sep 2026), NOT a verified sale median; unit $641,682; 84 sales in last 12m (OnTheHouse/Cotality, read 27 Oct 2026)</t>
        </is>
      </c>
      <c r="I38" s="18">
        <f>G38*(1+Settings!$B$6)</f>
        <v/>
      </c>
      <c r="J38" s="19" t="n">
        <v>35</v>
      </c>
      <c r="K38" s="19" t="n">
        <v>22</v>
      </c>
      <c r="L38" s="18" t="inlineStr">
        <is>
          <t>Provisional pass</t>
        </is>
      </c>
      <c r="M38" s="19" t="n"/>
      <c r="N38" s="19" t="n"/>
      <c r="O38" s="19">
        <f>IF(K38="","",ROUND(MAX(0,10*(1-K38/Filters!$B$5)),1))</f>
        <v/>
      </c>
      <c r="P38" s="19" t="n"/>
      <c r="Q38" s="19" t="n"/>
      <c r="R38" s="19" t="n"/>
      <c r="S38" s="19" t="n"/>
      <c r="T38" s="19" t="n"/>
      <c r="U38" s="19" t="n"/>
      <c r="V38" s="19" t="n"/>
      <c r="W38" s="18">
        <f>IF(M38="",0,COUNT(M38:V38))</f>
        <v/>
      </c>
      <c r="X38" s="18">
        <f>IF(W38&lt;10,"",M38*ForcedChoiceCorrections!$B$6+N38*ForcedChoiceCorrections!$B$7+O38*ForcedChoiceCorrections!$B$8+P38*ForcedChoiceCorrections!$B$9+Q38*ForcedChoiceCorrections!$B$10+R38*ForcedChoiceCorrections!$B$11+S38*ForcedChoiceCorrections!$B$12+T38*ForcedChoiceCorrections!$B$13+U38*ForcedChoiceCorrections!$B$14+V38*ForcedChoiceCorrections!$B$15)</f>
        <v/>
      </c>
      <c r="Y38" s="18">
        <f>IF(AND(ISNUMBER(SEARCH("pass",L38)),ISNUMBER(X38)),COUNTIFS(L$2:L$90,"*pass*",X$2:X$90,"&gt;"&amp;X38)+1,"")</f>
        <v/>
      </c>
      <c r="Z38" s="18" t="inlineStr">
        <is>
          <t>Emerald Lake precinct; separate from ridge villages—verify routine services &amp; ED drive. 27 Oct 2026 research pass: drive times/ED and/or AVM price added; L re-evaluated.</t>
        </is>
      </c>
      <c r="AA38" s="16" t="inlineStr">
        <is>
          <t>37. Emerald | Dandenong Ranges | Watchlist | P: High (Emerald Lake &amp; hills) | Y: Low (Inland) | Lens: Larger hills town south-east of ridge | Price: [Blank] | Basis: Not verified in report | Note: Emerald Lake precinct; separate from ridge villages—verify routine services &amp; ED drive.</t>
        </is>
      </c>
      <c r="AB38" s="22" t="inlineStr">
        <is>
          <t>No</t>
        </is>
      </c>
      <c r="AC38" s="22" t="inlineStr">
        <is>
          <t>Puffing Billy tourist railway only (recall; verify)</t>
        </is>
      </c>
      <c r="AD38" s="22" t="inlineStr">
        <is>
          <t>Angliss Hospital ED (24-hr: verified, Eastern Health site; Casey 23 min) (drive times: Google Maps leave-now, 27 Oct 2026 ~13:15–13:45 AEDT (midday, not peak), suburb name)</t>
        </is>
      </c>
      <c r="AE38" s="24" t="n">
        <v>1500000</v>
      </c>
      <c r="AF38" s="22" t="inlineStr">
        <is>
          <t>Maximum purchase price, excluding transaction and moving costs</t>
        </is>
      </c>
      <c r="AG38" s="22" t="inlineStr">
        <is>
          <t>AVM estimate</t>
        </is>
      </c>
      <c r="AH38" s="22" t="inlineStr">
        <is>
          <t>27 Oct 2026</t>
        </is>
      </c>
      <c r="AI38" s="22" t="inlineStr">
        <is>
          <t>Pass</t>
        </is>
      </c>
      <c r="AJ38" s="22" t="inlineStr">
        <is>
          <t>AVM house value ($980,699) is under $1.5M cap. Not a sale median.</t>
        </is>
      </c>
    </row>
    <row r="39" ht="15.75" customHeight="1" s="15">
      <c r="A39" s="18" t="inlineStr">
        <is>
          <t>Ferntree Gully</t>
        </is>
      </c>
      <c r="B39" s="18" t="inlineStr">
        <is>
          <t>East / Foothills</t>
        </is>
      </c>
      <c r="C39" s="18" t="inlineStr">
        <is>
          <t>Watchlist</t>
        </is>
      </c>
      <c r="D39" s="18" t="inlineStr">
        <is>
          <t>Medium-High (Foothills)</t>
        </is>
      </c>
      <c r="E39" s="18" t="inlineStr">
        <is>
          <t>Low (Inland)</t>
        </is>
      </c>
      <c r="F39" s="18" t="inlineStr">
        <is>
          <t>Larger housing/service catchment next to Upper FTG</t>
        </is>
      </c>
      <c r="G39" s="18" t="n">
        <v>872133</v>
      </c>
      <c r="H39" s="18" t="inlineStr">
        <is>
          <t>AVM estimate (30 Sep 2026), NOT a verified sale median; unit $678,759; 438 sales in last 12m (OnTheHouse/Cotality, read 27 Oct 2026)</t>
        </is>
      </c>
      <c r="I39" s="18">
        <f>G39*(1+Settings!$B$6)</f>
        <v/>
      </c>
      <c r="J39" s="19" t="n">
        <v>14</v>
      </c>
      <c r="K39" s="19" t="n">
        <v>8</v>
      </c>
      <c r="L39" s="18" t="inlineStr">
        <is>
          <t>Provisional pass</t>
        </is>
      </c>
      <c r="M39" s="19" t="n"/>
      <c r="N39" s="19" t="n"/>
      <c r="O39" s="19">
        <f>IF(K39="","",ROUND(MAX(0,10*(1-K39/Filters!$B$5)),1))</f>
        <v/>
      </c>
      <c r="P39" s="19" t="n"/>
      <c r="Q39" s="19" t="n"/>
      <c r="R39" s="19" t="n"/>
      <c r="S39" s="19" t="n"/>
      <c r="T39" s="19" t="n"/>
      <c r="U39" s="19" t="n"/>
      <c r="V39" s="19" t="n"/>
      <c r="W39" s="18">
        <f>IF(M39="",0,COUNT(M39:V39))</f>
        <v/>
      </c>
      <c r="X39" s="18">
        <f>IF(W39&lt;10,"",M39*ForcedChoiceCorrections!$B$6+N39*ForcedChoiceCorrections!$B$7+O39*ForcedChoiceCorrections!$B$8+P39*ForcedChoiceCorrections!$B$9+Q39*ForcedChoiceCorrections!$B$10+R39*ForcedChoiceCorrections!$B$11+S39*ForcedChoiceCorrections!$B$12+T39*ForcedChoiceCorrections!$B$13+U39*ForcedChoiceCorrections!$B$14+V39*ForcedChoiceCorrections!$B$15)</f>
        <v/>
      </c>
      <c r="Y39" s="18">
        <f>IF(AND(ISNUMBER(SEARCH("pass",L39)),ISNUMBER(X39)),COUNTIFS(L$2:L$90,"*pass*",X$2:X$90,"&gt;"&amp;X39)+1,"")</f>
        <v/>
      </c>
      <c r="Z39" s="18" t="inlineStr">
        <is>
          <t>Belgrave line; compare flatter pockets and housing stock against Upper Ferntree Gully. 27 Oct 2026 research pass: drive times/ED and/or AVM price added; L re-evaluated. OnTheHouse shows the same house AVM ($872,133) for Ferntree Gully and Upper Ferntree Gully (same postcode) — treat as postcode-level, weak.</t>
        </is>
      </c>
      <c r="AA39" s="16" t="inlineStr">
        <is>
          <t>38. Ferntree Gully | East / Foothills | Watchlist | P: Medium-High (Foothills) | Y: Low (Inland) | Lens: Larger housing/service catchment next to Upper FTG | Price: [Blank] | Basis: Not verified in report | Note: Belgrave line; compare flatter pockets and housing stock against Upper Ferntree Gully.</t>
        </is>
      </c>
      <c r="AB39" s="22" t="inlineStr">
        <is>
          <t>Yes</t>
        </is>
      </c>
      <c r="AC39" s="22" t="inlineStr">
        <is>
          <t>Ferntree Gully station, Belgrave line (recall; verify)</t>
        </is>
      </c>
      <c r="AD39" s="22" t="inlineStr">
        <is>
          <t>Angliss Hospital ED (24-hr: verified, Eastern Health site) (drive times: Google Maps leave-now, 27 Oct 2026 ~13:15–13:45 AEDT (midday, not peak), suburb name)</t>
        </is>
      </c>
      <c r="AE39" s="24" t="n">
        <v>1500000</v>
      </c>
      <c r="AF39" s="22" t="inlineStr">
        <is>
          <t>Maximum purchase price, excluding transaction and moving costs</t>
        </is>
      </c>
      <c r="AG39" s="22" t="inlineStr">
        <is>
          <t>AVM estimate</t>
        </is>
      </c>
      <c r="AH39" s="22" t="inlineStr">
        <is>
          <t>27 Oct 2026</t>
        </is>
      </c>
      <c r="AI39" s="22" t="inlineStr">
        <is>
          <t>Pass</t>
        </is>
      </c>
      <c r="AJ39" s="22" t="inlineStr">
        <is>
          <t>AVM house value ($872,133) is under $1.5M cap. Not a sale median.</t>
        </is>
      </c>
    </row>
    <row r="40" ht="15.75" customHeight="1" s="15">
      <c r="A40" s="18" t="inlineStr">
        <is>
          <t>Berwick</t>
        </is>
      </c>
      <c r="B40" s="18" t="inlineStr">
        <is>
          <t>South-East Melbourne</t>
        </is>
      </c>
      <c r="C40" s="18" t="inlineStr">
        <is>
          <t>Watchlist</t>
        </is>
      </c>
      <c r="D40" s="18" t="inlineStr">
        <is>
          <t>Medium (Wilson Botanic Park)</t>
        </is>
      </c>
      <c r="E40" s="18" t="inlineStr">
        <is>
          <t>Low (Inland)</t>
        </is>
      </c>
      <c r="F40" s="18" t="inlineStr">
        <is>
          <t>Healthcare-led south-east comparator</t>
        </is>
      </c>
      <c r="G40" s="18" t="n">
        <v>935845</v>
      </c>
      <c r="H40" s="18" t="inlineStr">
        <is>
          <t>AVM estimate (30 Sep 2026), NOT a verified sale median; unit $669,669; 987 sales in last 12m (OnTheHouse/Cotality, read 27 Oct 2026)</t>
        </is>
      </c>
      <c r="I40" s="18">
        <f>G40*(1+Settings!$B$6)</f>
        <v/>
      </c>
      <c r="J40" s="19" t="n">
        <v>25</v>
      </c>
      <c r="K40" s="19" t="n">
        <v>6</v>
      </c>
      <c r="L40" s="18" t="inlineStr">
        <is>
          <t>Provisional pass</t>
        </is>
      </c>
      <c r="M40" s="19" t="n"/>
      <c r="N40" s="19" t="n"/>
      <c r="O40" s="19">
        <f>IF(K40="","",ROUND(MAX(0,10*(1-K40/Filters!$B$5)),1))</f>
        <v/>
      </c>
      <c r="P40" s="19" t="n"/>
      <c r="Q40" s="19" t="n"/>
      <c r="R40" s="19" t="n"/>
      <c r="S40" s="19" t="n"/>
      <c r="T40" s="19" t="n"/>
      <c r="U40" s="19" t="n"/>
      <c r="V40" s="19" t="n"/>
      <c r="W40" s="18">
        <f>IF(M40="",0,COUNT(M40:V40))</f>
        <v/>
      </c>
      <c r="X40" s="18">
        <f>IF(W40&lt;10,"",M40*ForcedChoiceCorrections!$B$6+N40*ForcedChoiceCorrections!$B$7+O40*ForcedChoiceCorrections!$B$8+P40*ForcedChoiceCorrections!$B$9+Q40*ForcedChoiceCorrections!$B$10+R40*ForcedChoiceCorrections!$B$11+S40*ForcedChoiceCorrections!$B$12+T40*ForcedChoiceCorrections!$B$13+U40*ForcedChoiceCorrections!$B$14+V40*ForcedChoiceCorrections!$B$15)</f>
        <v/>
      </c>
      <c r="Y40" s="18">
        <f>IF(AND(ISNUMBER(SEARCH("pass",L40)),ISNUMBER(X40)),COUNTIFS(L$2:L$90,"*pass*",X$2:X$90,"&gt;"&amp;X40)+1,"")</f>
        <v/>
      </c>
      <c r="Z40" s="18" t="inlineStr">
        <is>
          <t>Monash Health Casey Hospital 24-hr ED on site; verify whether residential pockets feel green enough. 27 Oct 2026 research pass: drive times/ED and/or AVM price added; L re-evaluated.</t>
        </is>
      </c>
      <c r="AA40" s="16" t="inlineStr">
        <is>
          <t>39. Berwick | South-East Melbourne | Watchlist | P: Medium (Wilson Botanic Park) | Y: Low (Inland) | Lens: Healthcare-led south-east comparator | Price: [Blank] | Basis: Not verified in report | Note: Monash Health Casey Hospital 24-hr ED on site; verify whether residential pockets feel green enough.</t>
        </is>
      </c>
      <c r="AB40" s="22" t="inlineStr">
        <is>
          <t>Yes</t>
        </is>
      </c>
      <c r="AC40" s="22" t="inlineStr">
        <is>
          <t>Berwick station, Pakenham line (recall; verify)</t>
        </is>
      </c>
      <c r="AD40" s="22" t="inlineStr">
        <is>
          <t>Casey Hospital ED (24-hr: recall (major metro ED)) (drive times: Google Maps leave-now, 27 Oct 2026 ~13:15–13:45 AEDT (midday, not peak), suburb name)</t>
        </is>
      </c>
      <c r="AE40" s="24" t="n">
        <v>1500000</v>
      </c>
      <c r="AF40" s="22" t="inlineStr">
        <is>
          <t>Maximum purchase price, excluding transaction and moving costs</t>
        </is>
      </c>
      <c r="AG40" s="22" t="inlineStr">
        <is>
          <t>AVM estimate</t>
        </is>
      </c>
      <c r="AH40" s="22" t="inlineStr">
        <is>
          <t>27 Oct 2026</t>
        </is>
      </c>
      <c r="AI40" s="22" t="inlineStr">
        <is>
          <t>Pass</t>
        </is>
      </c>
      <c r="AJ40" s="22" t="inlineStr">
        <is>
          <t>AVM house value ($935,845) is under $1.5M cap. Not a sale median.</t>
        </is>
      </c>
    </row>
    <row r="41" ht="15.75" customHeight="1" s="15">
      <c r="A41" s="18" t="inlineStr">
        <is>
          <t>Frankston South</t>
        </is>
      </c>
      <c r="B41" s="18" t="inlineStr">
        <is>
          <t>Mornington Peninsula</t>
        </is>
      </c>
      <c r="C41" s="18" t="inlineStr">
        <is>
          <t>Active Shortlist</t>
        </is>
      </c>
      <c r="D41" s="18" t="inlineStr">
        <is>
          <t>High (Sweetwater Creek reserve)</t>
        </is>
      </c>
      <c r="E41" s="18" t="inlineStr">
        <is>
          <t>High (Near beach/bay)</t>
        </is>
      </c>
      <c r="F41" s="18" t="inlineStr">
        <is>
          <t>Greener, bushier counterpart to Frankston</t>
        </is>
      </c>
      <c r="G41" s="18" t="n">
        <v>1195044</v>
      </c>
      <c r="H41" s="18" t="inlineStr">
        <is>
          <t>AVM estimate (30 Sep 2026), NOT a verified sale median; unit $781,232; 305 sales in last 12m (OnTheHouse/Cotality, read 27 Oct 2026)</t>
        </is>
      </c>
      <c r="I41" s="18">
        <f>G41*(1+Settings!$B$6)</f>
        <v/>
      </c>
      <c r="J41" s="19" t="n">
        <v>31</v>
      </c>
      <c r="K41" s="19" t="n">
        <v>4</v>
      </c>
      <c r="L41" s="18" t="inlineStr">
        <is>
          <t>Active — provisional pass</t>
        </is>
      </c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8">
        <f>IF(M41="",0,COUNT(M41:V41))</f>
        <v/>
      </c>
      <c r="X41" s="18">
        <f>IF(W41&lt;10,"",M41*ForcedChoiceCorrections!$B$6+N41*ForcedChoiceCorrections!$B$7+O41*ForcedChoiceCorrections!$B$8+P41*ForcedChoiceCorrections!$B$9+Q41*ForcedChoiceCorrections!$B$10+R41*ForcedChoiceCorrections!$B$11+S41*ForcedChoiceCorrections!$B$12+T41*ForcedChoiceCorrections!$B$13+U41*ForcedChoiceCorrections!$B$14+V41*ForcedChoiceCorrections!$B$15)</f>
        <v/>
      </c>
      <c r="Y41" s="18">
        <f>IF(AND(ISNUMBER(SEARCH("pass",L41)),ISNUMBER(X41)),COUNTIFS(L$2:L$90,"*pass*",X$2:X$90,"&gt;"&amp;X41)+1,"")</f>
        <v/>
      </c>
      <c r="Z41" s="18" t="inlineStr">
        <is>
          <t>Sweetwater Creek nature reserve; weaker station walk than central Frankston. Promoted to Active 26 Oct 2026 as a bush-plus-bay overlap candidate. 27 Oct 2026 research pass: drive times/ED and/or AVM price added; L re-evaluated.</t>
        </is>
      </c>
      <c r="AA41" s="16" t="inlineStr">
        <is>
          <t>40. Frankston South | Mornington Peninsula | Active Shortlist | P: High (Sweetwater Creek reserve) | Y: High (Near beach/bay) | Lens: Greener, bushier counterpart to Frankston | Price: [Blank] | Basis: Not verified in report | Note: Sweetwater Creek nature reserve; weaker station walk than central Frankston. Promoted to Active 26 Oct 2026 as a bush-plus-bay overlap candidate.</t>
        </is>
      </c>
      <c r="AB41" s="22" t="inlineStr">
        <is>
          <t>No</t>
        </is>
      </c>
      <c r="AC41" s="22" t="inlineStr">
        <is>
          <t>No station in suburb; Frankston station nearby (recall; verify)</t>
        </is>
      </c>
      <c r="AD41" s="22" t="inlineStr">
        <is>
          <t>Peninsula University Hospital ED (drive times added 27 Oct 2026, Google Maps leave-now by suburb name, not postcode, not peak)</t>
        </is>
      </c>
      <c r="AE41" s="24" t="n">
        <v>1500000</v>
      </c>
      <c r="AF41" s="22" t="inlineStr">
        <is>
          <t>Maximum purchase price, excluding transaction and moving costs</t>
        </is>
      </c>
      <c r="AG41" s="22" t="inlineStr">
        <is>
          <t>AVM estimate</t>
        </is>
      </c>
      <c r="AH41" s="22" t="inlineStr">
        <is>
          <t>27 Oct 2026</t>
        </is>
      </c>
      <c r="AI41" s="22" t="inlineStr">
        <is>
          <t>Pass</t>
        </is>
      </c>
      <c r="AJ41" s="22" t="inlineStr">
        <is>
          <t>AVM house value ($1,195,044) is under $1.5M cap. Not a sale median.</t>
        </is>
      </c>
    </row>
    <row r="42" ht="15.75" customHeight="1" s="15">
      <c r="A42" s="18" t="inlineStr">
        <is>
          <t>Hurstbridge</t>
        </is>
      </c>
      <c r="B42" s="18" t="inlineStr">
        <is>
          <t>North-East Fringe</t>
        </is>
      </c>
      <c r="C42" s="18" t="inlineStr">
        <is>
          <t>Watchlist</t>
        </is>
      </c>
      <c r="D42" s="18" t="inlineStr">
        <is>
          <t>High (Bushland village)</t>
        </is>
      </c>
      <c r="E42" s="18" t="inlineStr">
        <is>
          <t>Low (Inland)</t>
        </is>
      </c>
      <c r="F42" s="18" t="inlineStr">
        <is>
          <t>Smaller bushland village beyond Diamond Creek</t>
        </is>
      </c>
      <c r="G42" s="18" t="n">
        <v>980767</v>
      </c>
      <c r="H42" s="18" t="inlineStr">
        <is>
          <t>AVM estimate (30 Sep 2026), NOT a verified sale median; unit $630,315; 44 sales in last 12m (OnTheHouse/Cotality, read 27 Oct 2026)</t>
        </is>
      </c>
      <c r="I42" s="18">
        <f>G42*(1+Settings!$B$6)</f>
        <v/>
      </c>
      <c r="J42" s="19" t="n">
        <v>41</v>
      </c>
      <c r="K42" s="19" t="n">
        <v>29</v>
      </c>
      <c r="L42" s="18" t="inlineStr">
        <is>
          <t>Provisional pass</t>
        </is>
      </c>
      <c r="M42" s="19" t="n"/>
      <c r="N42" s="19" t="n"/>
      <c r="O42" s="19">
        <f>IF(K42="","",ROUND(MAX(0,10*(1-K42/Filters!$B$5)),1))</f>
        <v/>
      </c>
      <c r="P42" s="19" t="n"/>
      <c r="Q42" s="19" t="n"/>
      <c r="R42" s="19" t="n"/>
      <c r="S42" s="19" t="n"/>
      <c r="T42" s="19" t="n"/>
      <c r="U42" s="19" t="n"/>
      <c r="V42" s="19" t="n"/>
      <c r="W42" s="18">
        <f>IF(M42="",0,COUNT(M42:V42))</f>
        <v/>
      </c>
      <c r="X42" s="18">
        <f>IF(W42&lt;10,"",M42*ForcedChoiceCorrections!$B$6+N42*ForcedChoiceCorrections!$B$7+O42*ForcedChoiceCorrections!$B$8+P42*ForcedChoiceCorrections!$B$9+Q42*ForcedChoiceCorrections!$B$10+R42*ForcedChoiceCorrections!$B$11+S42*ForcedChoiceCorrections!$B$12+T42*ForcedChoiceCorrections!$B$13+U42*ForcedChoiceCorrections!$B$14+V42*ForcedChoiceCorrections!$B$15)</f>
        <v/>
      </c>
      <c r="Y42" s="18">
        <f>IF(AND(ISNUMBER(SEARCH("pass",L42)),ISNUMBER(X42)),COUNTIFS(L$2:L$90,"*pass*",X$2:X$90,"&gt;"&amp;X42)+1,"")</f>
        <v/>
      </c>
      <c r="Z42" s="18" t="inlineStr">
        <is>
          <t>Hurstbridge rail terminus; test whether extra distance over Diamond Creek/Eltham adds value. 27 Oct 2026 research pass: drive times/ED and/or AVM price added; L re-evaluated.</t>
        </is>
      </c>
      <c r="AA42" s="16" t="inlineStr">
        <is>
          <t>41. Hurstbridge | North-East Fringe | Watchlist | P: High (Bushland village) | Y: Low (Inland) | Lens: Smaller bushland village beyond Diamond Creek | Price: [Blank] | Basis: Not verified in report | Note: Hurstbridge rail terminus; test whether extra distance over Diamond Creek/Eltham adds value.</t>
        </is>
      </c>
      <c r="AB42" s="22" t="inlineStr">
        <is>
          <t>Yes</t>
        </is>
      </c>
      <c r="AC42" s="22" t="inlineStr">
        <is>
          <t>Hurstbridge station, Hurstbridge line terminus (recall; verify)</t>
        </is>
      </c>
      <c r="AD42" s="22" t="inlineStr">
        <is>
          <t>Northern Hospital Epping ED (24-hr: recall (major metro ED); Austin 32 min) (drive times: Google Maps leave-now, 27 Oct 2026 ~13:15–13:45 AEDT (midday, not peak), suburb name)</t>
        </is>
      </c>
      <c r="AE42" s="24" t="n">
        <v>1500000</v>
      </c>
      <c r="AF42" s="22" t="inlineStr">
        <is>
          <t>Maximum purchase price, excluding transaction and moving costs</t>
        </is>
      </c>
      <c r="AG42" s="22" t="inlineStr">
        <is>
          <t>AVM estimate</t>
        </is>
      </c>
      <c r="AH42" s="22" t="inlineStr">
        <is>
          <t>27 Oct 2026</t>
        </is>
      </c>
      <c r="AI42" s="22" t="inlineStr">
        <is>
          <t>Pass</t>
        </is>
      </c>
      <c r="AJ42" s="22" t="inlineStr">
        <is>
          <t>AVM house value ($980,767) is under $1.5M cap. Not a sale median.</t>
        </is>
      </c>
    </row>
    <row r="43" ht="15.75" customHeight="1" s="15">
      <c r="A43" s="18" t="inlineStr">
        <is>
          <t>Ballarat</t>
        </is>
      </c>
      <c r="B43" s="18" t="inlineStr">
        <is>
          <t>Central Highlands</t>
        </is>
      </c>
      <c r="C43" s="18" t="inlineStr">
        <is>
          <t>Watchlist</t>
        </is>
      </c>
      <c r="D43" s="18" t="inlineStr">
        <is>
          <t>Medium-High (Lake Wendouree/gardens)</t>
        </is>
      </c>
      <c r="E43" s="18" t="inlineStr">
        <is>
          <t>Low (Inland lake)</t>
        </is>
      </c>
      <c r="F43" s="18" t="inlineStr">
        <is>
          <t>Major regional city control with Base Hospital ED</t>
        </is>
      </c>
      <c r="G43" s="18" t="n">
        <v>722940</v>
      </c>
      <c r="H43" s="18" t="inlineStr">
        <is>
          <t>AVM estimate (30 Sep 2026), NOT a verified sale median; unit $509,096; 269 sales in last 12m (OnTheHouse/Cotality, read 27 Oct 2026)</t>
        </is>
      </c>
      <c r="I43" s="18">
        <f>G43*(1+Settings!$B$6)</f>
        <v/>
      </c>
      <c r="J43" s="19" t="n">
        <v>111</v>
      </c>
      <c r="K43" s="19" t="n">
        <v>3</v>
      </c>
      <c r="L43" s="18" t="inlineStr">
        <is>
          <t>Fails: GW drive</t>
        </is>
      </c>
      <c r="M43" s="19" t="n"/>
      <c r="N43" s="19" t="n"/>
      <c r="O43" s="19">
        <f>IF(K43="","",ROUND(MAX(0,10*(1-K43/Filters!$B$5)),1))</f>
        <v/>
      </c>
      <c r="P43" s="19" t="n"/>
      <c r="Q43" s="19" t="n"/>
      <c r="R43" s="19" t="n"/>
      <c r="S43" s="19" t="n"/>
      <c r="T43" s="19" t="n"/>
      <c r="U43" s="19" t="n"/>
      <c r="V43" s="19" t="n"/>
      <c r="W43" s="18">
        <f>IF(M43="",0,COUNT(M43:V43))</f>
        <v/>
      </c>
      <c r="X43" s="18">
        <f>IF(W43&lt;10,"",M43*ForcedChoiceCorrections!$B$6+N43*ForcedChoiceCorrections!$B$7+O43*ForcedChoiceCorrections!$B$8+P43*ForcedChoiceCorrections!$B$9+Q43*ForcedChoiceCorrections!$B$10+R43*ForcedChoiceCorrections!$B$11+S43*ForcedChoiceCorrections!$B$12+T43*ForcedChoiceCorrections!$B$13+U43*ForcedChoiceCorrections!$B$14+V43*ForcedChoiceCorrections!$B$15)</f>
        <v/>
      </c>
      <c r="Y43" s="18">
        <f>IF(AND(ISNUMBER(SEARCH("pass",L43)),ISNUMBER(X43)),COUNTIFS(L$2:L$90,"*pass*",X$2:X$90,"&gt;"&amp;X43)+1,"")</f>
        <v/>
      </c>
      <c r="Z43" s="18" t="inlineStr">
        <is>
          <t>Grampians Health Ballarat Base Hospital ED; test only if longer family journey to GW is acceptable. 27 Oct 2026 research pass: drive times/ED and/or AVM price added; L re-evaluated. Ballarat treated as Ballarat Central for price and drive.</t>
        </is>
      </c>
      <c r="AA43" s="16" t="inlineStr">
        <is>
          <t>42. Ballarat | Central Highlands | Watchlist | P: Medium-High (Lake Wendouree/gardens) | Y: Low (Inland lake) | Lens: Major regional city control with Base Hospital ED | Price: [Blank] | Basis: Not verified in report | Note: Grampians Health Ballarat Base Hospital ED; test only if longer family journey to GW is acceptable.</t>
        </is>
      </c>
      <c r="AB43" s="22" t="inlineStr">
        <is>
          <t>Yes</t>
        </is>
      </c>
      <c r="AC43" s="22" t="inlineStr">
        <is>
          <t>Ballarat station, V/Line Ballarat line (recall; verify)</t>
        </is>
      </c>
      <c r="AD43" s="22" t="inlineStr">
        <is>
          <t>Grampians Health Ballarat (Ballarat Base) ED (24-hr: recall (major regional ED). Origin: Ballarat Central) (drive times: Google Maps leave-now, 27 Oct 2026 ~13:15–13:45 AEDT (midday, not peak), suburb name)</t>
        </is>
      </c>
      <c r="AE43" s="24" t="n">
        <v>1500000</v>
      </c>
      <c r="AF43" s="22" t="inlineStr">
        <is>
          <t>Maximum purchase price, excluding transaction and moving costs</t>
        </is>
      </c>
      <c r="AG43" s="22" t="inlineStr">
        <is>
          <t>AVM estimate</t>
        </is>
      </c>
      <c r="AH43" s="22" t="inlineStr">
        <is>
          <t>27 Oct 2026</t>
        </is>
      </c>
      <c r="AI43" s="22" t="inlineStr">
        <is>
          <t>Pass</t>
        </is>
      </c>
      <c r="AJ43" s="22" t="inlineStr">
        <is>
          <t>AVM house value ($722,940) is under $1.5M cap. Not a sale median.</t>
        </is>
      </c>
    </row>
    <row r="44" ht="15.75" customHeight="1" s="15">
      <c r="A44" s="18" t="inlineStr">
        <is>
          <t>Bendigo</t>
        </is>
      </c>
      <c r="B44" s="18" t="inlineStr">
        <is>
          <t>Central Victoria</t>
        </is>
      </c>
      <c r="C44" s="18" t="inlineStr">
        <is>
          <t>Watchlist</t>
        </is>
      </c>
      <c r="D44" s="18" t="inlineStr">
        <is>
          <t>Medium-High (Rosalind Park/bush)</t>
        </is>
      </c>
      <c r="E44" s="18" t="inlineStr">
        <is>
          <t>Low (Inland)</t>
        </is>
      </c>
      <c r="F44" s="18" t="inlineStr">
        <is>
          <t>Major regional city control with 24-hr ED</t>
        </is>
      </c>
      <c r="G44" s="18" t="n">
        <v>658696</v>
      </c>
      <c r="H44" s="18" t="inlineStr">
        <is>
          <t>AVM estimate (30 Sep 2026), NOT a verified sale median; unit $466,415; 197 sales in last 12m (OnTheHouse/Cotality, read 27 Oct 2026)</t>
        </is>
      </c>
      <c r="I44" s="18">
        <f>G44*(1+Settings!$B$6)</f>
        <v/>
      </c>
      <c r="J44" s="19" t="n">
        <v>140</v>
      </c>
      <c r="K44" s="19" t="n">
        <v>7</v>
      </c>
      <c r="L44" s="18" t="inlineStr">
        <is>
          <t>Fails: GW drive</t>
        </is>
      </c>
      <c r="M44" s="19" t="n"/>
      <c r="N44" s="19" t="n"/>
      <c r="O44" s="19">
        <f>IF(K44="","",ROUND(MAX(0,10*(1-K44/Filters!$B$5)),1))</f>
        <v/>
      </c>
      <c r="P44" s="19" t="n"/>
      <c r="Q44" s="19" t="n"/>
      <c r="R44" s="19" t="n"/>
      <c r="S44" s="19" t="n"/>
      <c r="T44" s="19" t="n"/>
      <c r="U44" s="19" t="n"/>
      <c r="V44" s="19" t="n"/>
      <c r="W44" s="18">
        <f>IF(M44="",0,COUNT(M44:V44))</f>
        <v/>
      </c>
      <c r="X44" s="18">
        <f>IF(W44&lt;10,"",M44*ForcedChoiceCorrections!$B$6+N44*ForcedChoiceCorrections!$B$7+O44*ForcedChoiceCorrections!$B$8+P44*ForcedChoiceCorrections!$B$9+Q44*ForcedChoiceCorrections!$B$10+R44*ForcedChoiceCorrections!$B$11+S44*ForcedChoiceCorrections!$B$12+T44*ForcedChoiceCorrections!$B$13+U44*ForcedChoiceCorrections!$B$14+V44*ForcedChoiceCorrections!$B$15)</f>
        <v/>
      </c>
      <c r="Y44" s="18">
        <f>IF(AND(ISNUMBER(SEARCH("pass",L44)),ISNUMBER(X44)),COUNTIFS(L$2:L$90,"*pass*",X$2:X$90,"&gt;"&amp;X44)+1,"")</f>
        <v/>
      </c>
      <c r="Z44" s="18" t="inlineStr">
        <is>
          <t>Bendigo Hospital documented 24-hr/365-day ED; test only if regional travel distance is acceptable. 27 Oct 2026 research pass: drive times/ED and/or AVM price added; L re-evaluated.</t>
        </is>
      </c>
      <c r="AA44" s="16" t="inlineStr">
        <is>
          <t>43. Bendigo | Central Victoria | Watchlist | P: Medium-High (Rosalind Park/bush) | Y: Low (Inland) | Lens: Major regional city control with 24-hr ED | Price: [Blank] | Basis: Not verified in report | Note: Bendigo Hospital documented 24-hr/365-day ED; test only if regional travel distance is acceptable.</t>
        </is>
      </c>
      <c r="AB44" s="22" t="inlineStr">
        <is>
          <t>Yes</t>
        </is>
      </c>
      <c r="AC44" s="22" t="inlineStr">
        <is>
          <t>Bendigo station, V/Line Bendigo line (recall; verify)</t>
        </is>
      </c>
      <c r="AD44" s="22" t="inlineStr">
        <is>
          <t>Bendigo Hospital ED (24-hr: recall (major regional ED)) (drive times: Google Maps leave-now, 27 Oct 2026 ~13:15–13:45 AEDT (midday, not peak), suburb name)</t>
        </is>
      </c>
      <c r="AE44" s="24" t="n">
        <v>1500000</v>
      </c>
      <c r="AF44" s="22" t="inlineStr">
        <is>
          <t>Maximum purchase price, excluding transaction and moving costs</t>
        </is>
      </c>
      <c r="AG44" s="22" t="inlineStr">
        <is>
          <t>AVM estimate</t>
        </is>
      </c>
      <c r="AH44" s="22" t="inlineStr">
        <is>
          <t>27 Oct 2026</t>
        </is>
      </c>
      <c r="AI44" s="22" t="inlineStr">
        <is>
          <t>Pass</t>
        </is>
      </c>
      <c r="AJ44" s="22" t="inlineStr">
        <is>
          <t>AVM house value ($658,696) is under $1.5M cap. Not a sale median.</t>
        </is>
      </c>
    </row>
    <row r="45" ht="15.75" customHeight="1" s="15">
      <c r="A45" s="18" t="inlineStr">
        <is>
          <t>Dromana</t>
        </is>
      </c>
      <c r="B45" s="18" t="inlineStr">
        <is>
          <t>Mornington Peninsula</t>
        </is>
      </c>
      <c r="C45" s="18" t="inlineStr">
        <is>
          <t>Watchlist</t>
        </is>
      </c>
      <c r="D45" s="18" t="inlineStr">
        <is>
          <t>Medium (Arthurs Seat backdrop)</t>
        </is>
      </c>
      <c r="E45" s="18" t="inlineStr">
        <is>
          <t>High (Bay beach)</t>
        </is>
      </c>
      <c r="F45" s="18" t="inlineStr">
        <is>
          <t>Further-south Peninsula coastal comparator</t>
        </is>
      </c>
      <c r="G45" s="18" t="n">
        <v>906318</v>
      </c>
      <c r="H45" s="18" t="inlineStr">
        <is>
          <t>AVM estimate (30 Sep 2026), NOT a verified sale median; unit $705,984 (OnTheHouse/Cotality)</t>
        </is>
      </c>
      <c r="I45" s="18">
        <f>G45*(1+Settings!$B$6)</f>
        <v/>
      </c>
      <c r="J45" s="19" t="n">
        <v>47</v>
      </c>
      <c r="K45" s="19" t="n">
        <v>11</v>
      </c>
      <c r="L45" s="18" t="inlineStr">
        <is>
          <t>Provisional pass</t>
        </is>
      </c>
      <c r="M45" s="19" t="n"/>
      <c r="N45" s="19" t="n"/>
      <c r="O45" s="19">
        <f>IF(K45="","",ROUND(MAX(0,10*(1-K45/Filters!$B$5)),1))</f>
        <v/>
      </c>
      <c r="P45" s="19" t="n"/>
      <c r="Q45" s="19" t="n"/>
      <c r="R45" s="19" t="n"/>
      <c r="S45" s="19" t="n"/>
      <c r="T45" s="19" t="n"/>
      <c r="U45" s="19" t="n"/>
      <c r="V45" s="19" t="n"/>
      <c r="W45" s="18">
        <f>IF(M45="",0,COUNT(M45:V45))</f>
        <v/>
      </c>
      <c r="X45" s="18">
        <f>IF(W45&lt;10,"",M45*ForcedChoiceCorrections!$B$6+N45*ForcedChoiceCorrections!$B$7+O45*ForcedChoiceCorrections!$B$8+P45*ForcedChoiceCorrections!$B$9+Q45*ForcedChoiceCorrections!$B$10+R45*ForcedChoiceCorrections!$B$11+S45*ForcedChoiceCorrections!$B$12+T45*ForcedChoiceCorrections!$B$13+U45*ForcedChoiceCorrections!$B$14+V45*ForcedChoiceCorrections!$B$15)</f>
        <v/>
      </c>
      <c r="Y45" s="18">
        <f>IF(AND(ISNUMBER(SEARCH("pass",L45)),ISNUMBER(X45)),COUNTIFS(L$2:L$90,"*pass*",X$2:X$90,"&gt;"&amp;X45)+1,"")</f>
        <v/>
      </c>
      <c r="Z45" s="18" t="inlineStr">
        <is>
          <t>Compare Rosebud vs Frankston ED access and year-round vs holiday-town feel. 27 Oct 2026: drive times, ED and AVM price added. ED: Rosebud ED is 24/7 but treats less serious cases; serious cases transfer to Frankston (Peninsula Health).</t>
        </is>
      </c>
      <c r="AA45" s="16" t="inlineStr">
        <is>
          <t>44. Dromana | Mornington Peninsula | Watchlist | P: Medium (Arthurs Seat backdrop) | Y: High (Bay beach) | Lens: Further-south Peninsula coastal comparator | Price: [Blank] | Basis: Not verified in report | Note: Compare Rosebud vs Frankston ED access and year-round vs holiday-town feel.</t>
        </is>
      </c>
      <c r="AB45" s="22" t="inlineStr">
        <is>
          <t>No</t>
        </is>
      </c>
      <c r="AC45" s="22" t="inlineStr">
        <is>
          <t>No passenger rail on the Peninsula south of Frankston (recall; verify)</t>
        </is>
      </c>
      <c r="AD45" s="22" t="inlineStr">
        <is>
          <t>Rosebud Hospital ED (drive times: Google Maps leave-now 27 Oct 2026, suburb name not postcode, not peak)</t>
        </is>
      </c>
      <c r="AE45" s="24" t="n">
        <v>1500000</v>
      </c>
      <c r="AF45" s="22" t="inlineStr">
        <is>
          <t>Maximum purchase price, excluding transaction and moving costs</t>
        </is>
      </c>
      <c r="AG45" s="22" t="inlineStr">
        <is>
          <t>AVM estimate</t>
        </is>
      </c>
      <c r="AH45" s="22" t="inlineStr">
        <is>
          <t>27 Oct 2026</t>
        </is>
      </c>
      <c r="AI45" s="22" t="inlineStr">
        <is>
          <t>Pass</t>
        </is>
      </c>
      <c r="AJ45" s="22" t="inlineStr">
        <is>
          <t>AVM house value ($906,318) is under $1.5M cap. Not a sale median.</t>
        </is>
      </c>
    </row>
    <row r="46" ht="15.75" customHeight="1" s="15">
      <c r="A46" s="18" t="inlineStr">
        <is>
          <t>Castlemaine</t>
        </is>
      </c>
      <c r="B46" s="18" t="inlineStr">
        <is>
          <t>Central Victoria</t>
        </is>
      </c>
      <c r="C46" s="18" t="inlineStr">
        <is>
          <t>Watchlist</t>
        </is>
      </c>
      <c r="D46" s="18" t="inlineStr">
        <is>
          <t>High (Box-Ironbark bush/arts)</t>
        </is>
      </c>
      <c r="E46" s="18" t="inlineStr">
        <is>
          <t>Low (Inland)</t>
        </is>
      </c>
      <c r="F46" s="18" t="inlineStr">
        <is>
          <t>Historic country town on Bendigo V/Line</t>
        </is>
      </c>
      <c r="G46" s="18" t="n">
        <v>747758</v>
      </c>
      <c r="H46" s="18" t="inlineStr">
        <is>
          <t>AVM estimate (30 Sep 2026), NOT a verified sale median; unit $531,635; 188 sales in last 12m (OnTheHouse/Cotality, read 27 Oct 2026)</t>
        </is>
      </c>
      <c r="I46" s="18">
        <f>G46*(1+Settings!$B$6)</f>
        <v/>
      </c>
      <c r="J46" s="19" t="n">
        <v>114</v>
      </c>
      <c r="K46" s="19" t="n">
        <v>36</v>
      </c>
      <c r="L46" s="18" t="inlineStr">
        <is>
          <t>Fails: GW drive</t>
        </is>
      </c>
      <c r="M46" s="19" t="n"/>
      <c r="N46" s="19" t="n"/>
      <c r="O46" s="19">
        <f>IF(K46="","",ROUND(MAX(0,10*(1-K46/Filters!$B$5)),1))</f>
        <v/>
      </c>
      <c r="P46" s="19" t="n"/>
      <c r="Q46" s="19" t="n"/>
      <c r="R46" s="19" t="n"/>
      <c r="S46" s="19" t="n"/>
      <c r="T46" s="19" t="n"/>
      <c r="U46" s="19" t="n"/>
      <c r="V46" s="19" t="n"/>
      <c r="W46" s="18">
        <f>IF(M46="",0,COUNT(M46:V46))</f>
        <v/>
      </c>
      <c r="X46" s="18">
        <f>IF(W46&lt;10,"",M46*ForcedChoiceCorrections!$B$6+N46*ForcedChoiceCorrections!$B$7+O46*ForcedChoiceCorrections!$B$8+P46*ForcedChoiceCorrections!$B$9+Q46*ForcedChoiceCorrections!$B$10+R46*ForcedChoiceCorrections!$B$11+S46*ForcedChoiceCorrections!$B$12+T46*ForcedChoiceCorrections!$B$13+U46*ForcedChoiceCorrections!$B$14+V46*ForcedChoiceCorrections!$B$15)</f>
        <v/>
      </c>
      <c r="Y46" s="18">
        <f>IF(AND(ISNUMBER(SEARCH("pass",L46)),ISNUMBER(X46)),COUNTIFS(L$2:L$90,"*pass*",X$2:X$90,"&gt;"&amp;X46)+1,"")</f>
        <v/>
      </c>
      <c r="Z46" s="18" t="inlineStr">
        <is>
          <t>Do not assume local health service equals a major 24-hr ED; Bendigo ED is reference point. 27 Oct 2026 research pass: drive times/ED and/or AVM price added; L re-evaluated.</t>
        </is>
      </c>
      <c r="AA46" s="16" t="inlineStr">
        <is>
          <t>45. Castlemaine | Central Victoria | Watchlist | P: High (Box-Ironbark bush/arts) | Y: Low (Inland) | Lens: Historic country town on Bendigo V/Line | Price: [Blank] | Basis: Not verified in report | Note: Do not assume local health service equals a major 24-hr ED; Bendigo ED is reference point.</t>
        </is>
      </c>
      <c r="AB46" s="22" t="inlineStr">
        <is>
          <t>Yes</t>
        </is>
      </c>
      <c r="AC46" s="22" t="inlineStr">
        <is>
          <t>Castlemaine station, V/Line Bendigo line (recall; verify)</t>
        </is>
      </c>
      <c r="AD46" s="22" t="inlineStr">
        <is>
          <t>Bendigo Hospital ED (24-hr: recall (major regional ED); local Castlemaine Health not treated as ED. Origin: Castlemaine Town Hall) (drive times: Google Maps leave-now, 27 Oct 2026 ~13:15–13:45 AEDT (midday, not peak), suburb name)</t>
        </is>
      </c>
      <c r="AE46" s="24" t="n">
        <v>1500000</v>
      </c>
      <c r="AF46" s="22" t="inlineStr">
        <is>
          <t>Maximum purchase price, excluding transaction and moving costs</t>
        </is>
      </c>
      <c r="AG46" s="22" t="inlineStr">
        <is>
          <t>AVM estimate</t>
        </is>
      </c>
      <c r="AH46" s="22" t="inlineStr">
        <is>
          <t>27 Oct 2026</t>
        </is>
      </c>
      <c r="AI46" s="22" t="inlineStr">
        <is>
          <t>Pass</t>
        </is>
      </c>
      <c r="AJ46" s="22" t="inlineStr">
        <is>
          <t>AVM house value ($747,758) is under $1.5M cap. Not a sale median.</t>
        </is>
      </c>
    </row>
    <row r="47" ht="15.75" customHeight="1" s="15">
      <c r="A47" s="18" t="inlineStr">
        <is>
          <t>Wonthaggi</t>
        </is>
      </c>
      <c r="B47" s="18" t="inlineStr">
        <is>
          <t>Bass Coast</t>
        </is>
      </c>
      <c r="C47" s="18" t="inlineStr">
        <is>
          <t>Watchlist</t>
        </is>
      </c>
      <c r="D47" s="18" t="inlineStr">
        <is>
          <t>Medium (Coastal hinterland)</t>
        </is>
      </c>
      <c r="E47" s="18" t="inlineStr">
        <is>
          <t>High (Near Bass Coast)</t>
        </is>
      </c>
      <c r="F47" s="18" t="inlineStr">
        <is>
          <t>Coastal Gippsland service-centre comparator</t>
        </is>
      </c>
      <c r="G47" s="18" t="n">
        <v>587666</v>
      </c>
      <c r="H47" s="18" t="inlineStr">
        <is>
          <t>AVM estimate (30 Sep 2026), NOT a verified sale median; unit $427,703; 206 sales in last 12m (OnTheHouse/Cotality, read 27 Oct 2026)</t>
        </is>
      </c>
      <c r="I47" s="18">
        <f>G47*(1+Settings!$B$6)</f>
        <v/>
      </c>
      <c r="J47" s="19" t="n">
        <v>88</v>
      </c>
      <c r="K47" s="19" t="n">
        <v>3</v>
      </c>
      <c r="L47" s="18" t="inlineStr">
        <is>
          <t>Provisional pass</t>
        </is>
      </c>
      <c r="M47" s="19" t="n"/>
      <c r="N47" s="19" t="n"/>
      <c r="O47" s="19">
        <f>IF(K47="","",ROUND(MAX(0,10*(1-K47/Filters!$B$5)),1))</f>
        <v/>
      </c>
      <c r="P47" s="19" t="n"/>
      <c r="Q47" s="19" t="n"/>
      <c r="R47" s="19" t="n"/>
      <c r="S47" s="19" t="n"/>
      <c r="T47" s="19" t="n"/>
      <c r="U47" s="19" t="n"/>
      <c r="V47" s="19" t="n"/>
      <c r="W47" s="18">
        <f>IF(M47="",0,COUNT(M47:V47))</f>
        <v/>
      </c>
      <c r="X47" s="18">
        <f>IF(W47&lt;10,"",M47*ForcedChoiceCorrections!$B$6+N47*ForcedChoiceCorrections!$B$7+O47*ForcedChoiceCorrections!$B$8+P47*ForcedChoiceCorrections!$B$9+Q47*ForcedChoiceCorrections!$B$10+R47*ForcedChoiceCorrections!$B$11+S47*ForcedChoiceCorrections!$B$12+T47*ForcedChoiceCorrections!$B$13+U47*ForcedChoiceCorrections!$B$14+V47*ForcedChoiceCorrections!$B$15)</f>
        <v/>
      </c>
      <c r="Y47" s="18">
        <f>IF(AND(ISNUMBER(SEARCH("pass",L47)),ISNUMBER(X47)),COUNTIFS(L$2:L$90,"*pass*",X$2:X$90,"&gt;"&amp;X47)+1,"")</f>
        <v/>
      </c>
      <c r="Z47" s="18" t="inlineStr">
        <is>
          <t>Bass Coast Health Wonthaggi Hospital; verify ED capability &amp; GW travel time before promoting. 27 Oct 2026 research pass: drive times/ED and/or AVM price added; L re-evaluated.</t>
        </is>
      </c>
      <c r="AA47" s="16" t="inlineStr">
        <is>
          <t>46. Wonthaggi | Bass Coast | Watchlist | P: Medium (Coastal hinterland) | Y: High (Near Bass Coast) | Lens: Coastal Gippsland service-centre comparator | Price: [Blank] | Basis: Not verified in report | Note: Bass Coast Health Wonthaggi Hospital; verify ED capability &amp; GW travel time before promoting.</t>
        </is>
      </c>
      <c r="AB47" s="22" t="inlineStr">
        <is>
          <t>No</t>
        </is>
      </c>
      <c r="AC47" s="22" t="inlineStr">
        <is>
          <t>No passenger rail (recall; verify)</t>
        </is>
      </c>
      <c r="AD47" s="22" t="inlineStr">
        <is>
          <t>Wonthaggi Hospital ED (24-hr: verified, healthdirect) (drive times: Google Maps leave-now, 27 Oct 2026 ~13:15–13:45 AEDT (midday, not peak), suburb name)</t>
        </is>
      </c>
      <c r="AE47" s="24" t="n">
        <v>1500000</v>
      </c>
      <c r="AF47" s="22" t="inlineStr">
        <is>
          <t>Maximum purchase price, excluding transaction and moving costs</t>
        </is>
      </c>
      <c r="AG47" s="22" t="inlineStr">
        <is>
          <t>AVM estimate</t>
        </is>
      </c>
      <c r="AH47" s="22" t="inlineStr">
        <is>
          <t>27 Oct 2026</t>
        </is>
      </c>
      <c r="AI47" s="22" t="inlineStr">
        <is>
          <t>Pass</t>
        </is>
      </c>
      <c r="AJ47" s="22" t="inlineStr">
        <is>
          <t>AVM house value ($587,666) is under $1.5M cap. Not a sale median.</t>
        </is>
      </c>
    </row>
    <row r="48" ht="15.75" customHeight="1" s="15">
      <c r="A48" s="18" t="inlineStr">
        <is>
          <t>Inverloch</t>
        </is>
      </c>
      <c r="B48" s="18" t="inlineStr">
        <is>
          <t>Bass Coast</t>
        </is>
      </c>
      <c r="C48" s="18" t="inlineStr">
        <is>
          <t>Watchlist</t>
        </is>
      </c>
      <c r="D48" s="18" t="inlineStr">
        <is>
          <t>Medium (Screw Creek/foreshore)</t>
        </is>
      </c>
      <c r="E48" s="18" t="inlineStr">
        <is>
          <t>High (Inlet &amp; surf beach)</t>
        </is>
      </c>
      <c r="F48" s="18" t="inlineStr">
        <is>
          <t>Coastal Gippsland lifestyle counterpart to Wonthaggi</t>
        </is>
      </c>
      <c r="G48" s="18" t="n">
        <v>823858</v>
      </c>
      <c r="H48" s="18" t="inlineStr">
        <is>
          <t>AVM estimate (30 Sep 2026), NOT a verified sale median; unit $523,497; 199 sales in last 12m (OnTheHouse/Cotality, read 27 Oct 2026)</t>
        </is>
      </c>
      <c r="I48" s="18">
        <f>G48*(1+Settings!$B$6)</f>
        <v/>
      </c>
      <c r="J48" s="19" t="n">
        <v>96</v>
      </c>
      <c r="K48" s="19" t="n">
        <v>15</v>
      </c>
      <c r="L48" s="18" t="inlineStr">
        <is>
          <t>Fails: GW drive</t>
        </is>
      </c>
      <c r="M48" s="19" t="n"/>
      <c r="N48" s="19" t="n"/>
      <c r="O48" s="19">
        <f>IF(K48="","",ROUND(MAX(0,10*(1-K48/Filters!$B$5)),1))</f>
        <v/>
      </c>
      <c r="P48" s="19" t="n"/>
      <c r="Q48" s="19" t="n"/>
      <c r="R48" s="19" t="n"/>
      <c r="S48" s="19" t="n"/>
      <c r="T48" s="19" t="n"/>
      <c r="U48" s="19" t="n"/>
      <c r="V48" s="19" t="n"/>
      <c r="W48" s="18">
        <f>IF(M48="",0,COUNT(M48:V48))</f>
        <v/>
      </c>
      <c r="X48" s="18">
        <f>IF(W48&lt;10,"",M48*ForcedChoiceCorrections!$B$6+N48*ForcedChoiceCorrections!$B$7+O48*ForcedChoiceCorrections!$B$8+P48*ForcedChoiceCorrections!$B$9+Q48*ForcedChoiceCorrections!$B$10+R48*ForcedChoiceCorrections!$B$11+S48*ForcedChoiceCorrections!$B$12+T48*ForcedChoiceCorrections!$B$13+U48*ForcedChoiceCorrections!$B$14+V48*ForcedChoiceCorrections!$B$15)</f>
        <v/>
      </c>
      <c r="Y48" s="18">
        <f>IF(AND(ISNUMBER(SEARCH("pass",L48)),ISNUMBER(X48)),COUNTIFS(L$2:L$90,"*pass*",X$2:X$90,"&gt;"&amp;X48)+1,"")</f>
        <v/>
      </c>
      <c r="Z48" s="18" t="inlineStr">
        <is>
          <t>Shared pathway &amp; inlet walks; no passenger rail; verify Wonthaggi/Latrobe ED drive. 27 Oct 2026 research pass: drive times/ED and/or AVM price added; L re-evaluated.</t>
        </is>
      </c>
      <c r="AA48" s="16" t="inlineStr">
        <is>
          <t>47. Inverloch | Bass Coast | Watchlist | P: Medium (Screw Creek/foreshore) | Y: High (Inlet &amp; surf beach) | Lens: Coastal Gippsland lifestyle counterpart to Wonthaggi | Price: [Blank] | Basis: Not verified in report | Note: Shared pathway &amp; inlet walks; no passenger rail; verify Wonthaggi/Latrobe ED drive.</t>
        </is>
      </c>
      <c r="AB48" s="22" t="inlineStr">
        <is>
          <t>No</t>
        </is>
      </c>
      <c r="AC48" s="22" t="inlineStr">
        <is>
          <t>No passenger rail (recall; verify)</t>
        </is>
      </c>
      <c r="AD48" s="22" t="inlineStr">
        <is>
          <t>Wonthaggi Hospital ED (24-hr: verified, healthdirect) (drive times: Google Maps leave-now, 27 Oct 2026 ~13:15–13:45 AEDT (midday, not peak), suburb name)</t>
        </is>
      </c>
      <c r="AE48" s="24" t="n">
        <v>1500000</v>
      </c>
      <c r="AF48" s="22" t="inlineStr">
        <is>
          <t>Maximum purchase price, excluding transaction and moving costs</t>
        </is>
      </c>
      <c r="AG48" s="22" t="inlineStr">
        <is>
          <t>AVM estimate</t>
        </is>
      </c>
      <c r="AH48" s="22" t="inlineStr">
        <is>
          <t>27 Oct 2026</t>
        </is>
      </c>
      <c r="AI48" s="22" t="inlineStr">
        <is>
          <t>Pass</t>
        </is>
      </c>
      <c r="AJ48" s="22" t="inlineStr">
        <is>
          <t>AVM house value ($823,858) is under $1.5M cap. Not a sale median.</t>
        </is>
      </c>
    </row>
    <row r="49" ht="15.75" customHeight="1" s="15">
      <c r="A49" s="18" t="inlineStr">
        <is>
          <t>[SYNTHETIC TEST — Ringwood Leafy Pocket]</t>
        </is>
      </c>
      <c r="B49" s="18" t="inlineStr">
        <is>
          <t>East Melbourne</t>
        </is>
      </c>
      <c r="C49" s="18" t="inlineStr">
        <is>
          <t>Synthetic Test</t>
        </is>
      </c>
      <c r="D49" s="18" t="inlineStr">
        <is>
          <t>Medium-High</t>
        </is>
      </c>
      <c r="E49" s="18" t="inlineStr">
        <is>
          <t>Low</t>
        </is>
      </c>
      <c r="F49" s="18" t="inlineStr">
        <is>
          <t>Synthetic test row verifying Pass &amp; Rank math</t>
        </is>
      </c>
      <c r="G49" s="18" t="n">
        <v>1045000</v>
      </c>
      <c r="H49" s="18" t="inlineStr">
        <is>
          <t>Synthetic test row (clear before live use)</t>
        </is>
      </c>
      <c r="I49" s="18" t="n">
        <v>1107700</v>
      </c>
      <c r="J49" s="19" t="n">
        <v>18</v>
      </c>
      <c r="K49" s="19" t="n">
        <v>12</v>
      </c>
      <c r="L49" s="18" t="inlineStr">
        <is>
          <t>Excluded: test row</t>
        </is>
      </c>
      <c r="M49" s="19" t="n">
        <v>7</v>
      </c>
      <c r="N49" s="19" t="n">
        <v>8</v>
      </c>
      <c r="O49" s="19" t="n">
        <v>7</v>
      </c>
      <c r="P49" s="19" t="n">
        <v>2</v>
      </c>
      <c r="Q49" s="19" t="n">
        <v>9</v>
      </c>
      <c r="R49" s="19" t="n">
        <v>9</v>
      </c>
      <c r="S49" s="19" t="n">
        <v>8</v>
      </c>
      <c r="T49" s="19" t="n">
        <v>6</v>
      </c>
      <c r="U49" s="19" t="n">
        <v>8</v>
      </c>
      <c r="V49" s="19" t="n">
        <v>8</v>
      </c>
      <c r="W49" s="18">
        <f>IF(M49="",0,COUNT(M49:V49))</f>
        <v/>
      </c>
      <c r="X49" s="18">
        <f>IF(W49&lt;10,"",M49*ForcedChoiceCorrections!$B$6+N49*ForcedChoiceCorrections!$B$7+O49*ForcedChoiceCorrections!$B$8+P49*ForcedChoiceCorrections!$B$9+Q49*ForcedChoiceCorrections!$B$10+R49*ForcedChoiceCorrections!$B$11+S49*ForcedChoiceCorrections!$B$12+T49*ForcedChoiceCorrections!$B$13+U49*ForcedChoiceCorrections!$B$14+V49*ForcedChoiceCorrections!$B$15)</f>
        <v/>
      </c>
      <c r="Y49" s="18">
        <f>IF(AND(ISNUMBER(SEARCH("pass",L49)),ISNUMBER(X49)),COUNTIFS(L$2:L$90,"*pass*",X$2:X$90,"&gt;"&amp;X49)+1,"")</f>
        <v/>
      </c>
      <c r="Z49" s="18" t="inlineStr">
        <is>
          <t>[SYNTHETIC TEST] Demonstrates 'Pass' &amp; Rank #1 when drive times &amp; 0-10 scores are entered.</t>
        </is>
      </c>
      <c r="AA49" s="16" t="inlineStr">
        <is>
          <t>48. [SYNTHETIC TEST — Ringwood Leafy Pocket] | East Melbourne | Synthetic Test | P: Medium-High | Y: Low | Lens: Synthetic test row verifying Pass &amp; Rank math | Price: 1045000 | Basis: Synthetic test row (clear before live use) | Note: [SYNTHETIC TEST] Demonstrates 'Pass' &amp; Rank #1 when drive times &amp; 0-10 scores are entered.</t>
        </is>
      </c>
      <c r="AE49" s="24" t="n">
        <v>1500000</v>
      </c>
      <c r="AF49" s="22" t="inlineStr">
        <is>
          <t>Maximum purchase price, excluding transaction and moving costs</t>
        </is>
      </c>
      <c r="AG49" s="22" t="inlineStr">
        <is>
          <t>Benchmark synthetic price</t>
        </is>
      </c>
      <c r="AH49" s="22" t="inlineStr">
        <is>
          <t>26 Oct 2026</t>
        </is>
      </c>
      <c r="AI49" s="22" t="inlineStr">
        <is>
          <t>Pass</t>
        </is>
      </c>
      <c r="AJ49" s="22" t="inlineStr">
        <is>
          <t>Synthetic test calibration model.</t>
        </is>
      </c>
    </row>
    <row r="50" ht="15.75" customHeight="1" s="15">
      <c r="A50" s="18" t="inlineStr">
        <is>
          <t>[SYNTHETIC TEST — Ocean Grove Woodland Pocket]</t>
        </is>
      </c>
      <c r="B50" s="18" t="inlineStr">
        <is>
          <t>Bellarine Peninsula</t>
        </is>
      </c>
      <c r="C50" s="18" t="inlineStr">
        <is>
          <t>Synthetic Test</t>
        </is>
      </c>
      <c r="D50" s="18" t="inlineStr">
        <is>
          <t>Medium-High</t>
        </is>
      </c>
      <c r="E50" s="18" t="inlineStr">
        <is>
          <t>High</t>
        </is>
      </c>
      <c r="F50" s="18" t="inlineStr">
        <is>
          <t>Synthetic test row verifying coastal vs GW filter</t>
        </is>
      </c>
      <c r="G50" s="18" t="n">
        <v>980000</v>
      </c>
      <c r="H50" s="18" t="inlineStr">
        <is>
          <t>Synthetic test row (clear before live use)</t>
        </is>
      </c>
      <c r="I50" s="18" t="n">
        <v>1038800</v>
      </c>
      <c r="J50" s="19" t="n">
        <v>24</v>
      </c>
      <c r="K50" s="19" t="n">
        <v>19</v>
      </c>
      <c r="L50" s="18" t="inlineStr">
        <is>
          <t>Excluded: test row</t>
        </is>
      </c>
      <c r="M50" s="19" t="n">
        <v>9</v>
      </c>
      <c r="N50" s="19" t="n">
        <v>5</v>
      </c>
      <c r="O50" s="19" t="n">
        <v>4</v>
      </c>
      <c r="P50" s="19" t="n">
        <v>10</v>
      </c>
      <c r="Q50" s="19" t="n">
        <v>7</v>
      </c>
      <c r="R50" s="19" t="n">
        <v>5</v>
      </c>
      <c r="S50" s="19" t="n">
        <v>7</v>
      </c>
      <c r="T50" s="19" t="n">
        <v>8</v>
      </c>
      <c r="U50" s="19" t="n">
        <v>9</v>
      </c>
      <c r="V50" s="19" t="n">
        <v>5</v>
      </c>
      <c r="W50" s="18">
        <f>IF(M50="",0,COUNT(M50:V50))</f>
        <v/>
      </c>
      <c r="X50" s="18">
        <f>IF(W50&lt;10,"",M50*ForcedChoiceCorrections!$B$6+N50*ForcedChoiceCorrections!$B$7+O50*ForcedChoiceCorrections!$B$8+P50*ForcedChoiceCorrections!$B$9+Q50*ForcedChoiceCorrections!$B$10+R50*ForcedChoiceCorrections!$B$11+S50*ForcedChoiceCorrections!$B$12+T50*ForcedChoiceCorrections!$B$13+U50*ForcedChoiceCorrections!$B$14+V50*ForcedChoiceCorrections!$B$15)</f>
        <v/>
      </c>
      <c r="Y50" s="18">
        <f>IF(AND(ISNUMBER(SEARCH("pass",L50)),ISNUMBER(X50)),COUNTIFS(L$2:L$90,"*pass*",X$2:X$90,"&gt;"&amp;X50)+1,"")</f>
        <v/>
      </c>
      <c r="Z50" s="18" t="inlineStr">
        <is>
          <t>[SYNTHETIC TEST] Demonstrates 'Pass' &amp; Rank #2 under 25-min GW / 20-min ED test limits.</t>
        </is>
      </c>
      <c r="AA50" s="16" t="inlineStr">
        <is>
          <t>49. [SYNTHETIC TEST — Ocean Grove Woodland Pocket] | Bellarine Peninsula | Synthetic Test | P: Medium-High | Y: High | Lens: Synthetic test row verifying coastal vs GW filter | Price: 980000 | Basis: Synthetic test row (clear before live use) | Note: [SYNTHETIC TEST] Demonstrates 'Pass' &amp; Rank #2 under 25-min GW / 20-min ED test limits.</t>
        </is>
      </c>
      <c r="AE50" s="24" t="n">
        <v>1500000</v>
      </c>
      <c r="AF50" s="22" t="inlineStr">
        <is>
          <t>Maximum purchase price, excluding transaction and moving costs</t>
        </is>
      </c>
      <c r="AG50" s="22" t="inlineStr">
        <is>
          <t>Benchmark synthetic price</t>
        </is>
      </c>
      <c r="AH50" s="22" t="inlineStr">
        <is>
          <t>26 Oct 2026</t>
        </is>
      </c>
      <c r="AI50" s="22" t="inlineStr">
        <is>
          <t>Pass</t>
        </is>
      </c>
      <c r="AJ50" s="22" t="inlineStr">
        <is>
          <t>Synthetic test calibration model.</t>
        </is>
      </c>
    </row>
    <row r="51" ht="15.75" customHeight="1" s="15">
      <c r="A51" s="16" t="inlineStr">
        <is>
          <t>Rosebud</t>
        </is>
      </c>
      <c r="B51" s="16" t="inlineStr">
        <is>
          <t>Mornington Peninsula</t>
        </is>
      </c>
      <c r="C51" s="16" t="inlineStr">
        <is>
          <t>Open-mind viewing</t>
        </is>
      </c>
      <c r="D51" s="16" t="inlineStr">
        <is>
          <t>Low-Medium (Coastal)</t>
        </is>
      </c>
      <c r="E51" s="16" t="inlineStr">
        <is>
          <t>High (Bay beach)</t>
        </is>
      </c>
      <c r="F51" s="16" t="inlineStr">
        <is>
          <t>Open-mind viewing: calibrate coastal feel against bush</t>
        </is>
      </c>
      <c r="G51" s="16" t="n">
        <v>753965</v>
      </c>
      <c r="H51" s="16" t="inlineStr">
        <is>
          <t>AVM estimate (30 Sep 2026), NOT a verified sale median; unit $667,803; 426 sales in last 12m (OnTheHouse/Cotality, read 27 Oct 2026)</t>
        </is>
      </c>
      <c r="I51" s="16">
        <f>G51*(1+Settings!$B$6)</f>
        <v/>
      </c>
      <c r="J51" s="22" t="n">
        <v>49</v>
      </c>
      <c r="K51" s="22" t="n">
        <v>3</v>
      </c>
      <c r="L51" s="16" t="inlineStr">
        <is>
          <t>Provisional pass</t>
        </is>
      </c>
      <c r="O51" s="16">
        <f>IF(K51="","",ROUND(MAX(0,10*(1-K51/Filters!$B$5)),1))</f>
        <v/>
      </c>
      <c r="W51" s="16">
        <f>IF(M51="",0,COUNT(M51:V51))</f>
        <v/>
      </c>
      <c r="X51" s="16">
        <f>IF(W51&lt;10,"",M51*ForcedChoiceCorrections!$B$6+N51*ForcedChoiceCorrections!$B$7+O51*ForcedChoiceCorrections!$B$8+P51*ForcedChoiceCorrections!$B$9+Q51*ForcedChoiceCorrections!$B$10+R51*ForcedChoiceCorrections!$B$11+S51*ForcedChoiceCorrections!$B$12+T51*ForcedChoiceCorrections!$B$13+U51*ForcedChoiceCorrections!$B$14+V51*ForcedChoiceCorrections!$B$15)</f>
        <v/>
      </c>
      <c r="Y51" s="16">
        <f>IF(AND(ISNUMBER(SEARCH("pass",L51)),ISNUMBER(X51)),COUNTIFS(L$2:L$90,"*pass*",X$2:X$90,"&gt;"&amp;X51)+1,"")</f>
        <v/>
      </c>
      <c r="Z51" s="16" t="inlineStr">
        <is>
          <t>OPEN-MIND VIEWING PICK (nominated by NJD): view for calibration. Verify year-round services vs holiday-town feel, local ED status and drive to a 24-hr public ED, GW drive and price. 27 Oct 2026 research pass: drive times/ED and/or AVM price added; L re-evaluated.</t>
        </is>
      </c>
      <c r="AA51" s="16" t="inlineStr">
        <is>
          <t>50. Rosebud | Mornington Peninsula | Open-mind viewing | P: Low-Medium (Coastal) | Y: High (Bay beach) | Lens: Open-mind viewing: calibrate coastal feel against bush | Price: [Blank] | Basis: Not verified | Note: OPEN-MIND VIEWING PICK (nominated by NJD): view for calibration. Verify year-round services vs holiday-town feel, local ED status and drive to a 24-hr public ED, GW drive and price.</t>
        </is>
      </c>
      <c r="AB51" s="16" t="inlineStr">
        <is>
          <t>No</t>
        </is>
      </c>
      <c r="AC51" s="16" t="inlineStr">
        <is>
          <t>No passenger rail on the Peninsula south of Frankston (from recall; verify)</t>
        </is>
      </c>
      <c r="AD51" s="16" t="inlineStr">
        <is>
          <t>Rosebud Hospital ED (24/7 but treats less serious cases (per earlier check); Peninsula University Hospital 27 min) (drive times: Google Maps leave-now, 27 Oct 2026 ~13:15–13:45 AEDT (midday, not peak), suburb name)</t>
        </is>
      </c>
      <c r="AE51" s="24" t="n">
        <v>1500000</v>
      </c>
      <c r="AF51" s="22" t="inlineStr">
        <is>
          <t>Maximum purchase price, excluding transaction and moving costs</t>
        </is>
      </c>
      <c r="AG51" s="22" t="inlineStr">
        <is>
          <t>AVM estimate</t>
        </is>
      </c>
      <c r="AH51" s="22" t="inlineStr">
        <is>
          <t>27 Oct 2026</t>
        </is>
      </c>
      <c r="AI51" s="22" t="inlineStr">
        <is>
          <t>Pass</t>
        </is>
      </c>
      <c r="AJ51" s="22" t="inlineStr">
        <is>
          <t>AVM house value ($753,965) is under $1.5M cap. Not a sale median.</t>
        </is>
      </c>
    </row>
    <row r="52" ht="15.75" customHeight="1" s="15">
      <c r="A52" s="16" t="inlineStr">
        <is>
          <t>Rye</t>
        </is>
      </c>
      <c r="B52" s="16" t="inlineStr">
        <is>
          <t>Mornington Peninsula</t>
        </is>
      </c>
      <c r="C52" s="16" t="inlineStr">
        <is>
          <t>Open-mind viewing</t>
        </is>
      </c>
      <c r="D52" s="16" t="inlineStr">
        <is>
          <t>Low-Medium (Coastal)</t>
        </is>
      </c>
      <c r="E52" s="16" t="inlineStr">
        <is>
          <t>High (Bay/ocean beach)</t>
        </is>
      </c>
      <c r="F52" s="16" t="inlineStr">
        <is>
          <t>Open-mind viewing: calibrate coastal feel against bush</t>
        </is>
      </c>
      <c r="G52" s="16" t="n">
        <v>918392</v>
      </c>
      <c r="H52" s="16" t="inlineStr">
        <is>
          <t>AVM estimate (30 Sep 2026), NOT a verified sale median; unit $639,145; 300 sales in last 12m (OnTheHouse/Cotality, read 27 Oct 2026)</t>
        </is>
      </c>
      <c r="I52" s="16">
        <f>G52*(1+Settings!$B$6)</f>
        <v/>
      </c>
      <c r="J52" s="22" t="n">
        <v>61</v>
      </c>
      <c r="K52" s="22" t="n">
        <v>9</v>
      </c>
      <c r="L52" s="16" t="inlineStr">
        <is>
          <t>Provisional pass</t>
        </is>
      </c>
      <c r="O52" s="16">
        <f>IF(K52="","",ROUND(MAX(0,10*(1-K52/Filters!$B$5)),1))</f>
        <v/>
      </c>
      <c r="W52" s="16">
        <f>IF(M52="",0,COUNT(M52:V52))</f>
        <v/>
      </c>
      <c r="X52" s="16">
        <f>IF(W52&lt;10,"",M52*ForcedChoiceCorrections!$B$6+N52*ForcedChoiceCorrections!$B$7+O52*ForcedChoiceCorrections!$B$8+P52*ForcedChoiceCorrections!$B$9+Q52*ForcedChoiceCorrections!$B$10+R52*ForcedChoiceCorrections!$B$11+S52*ForcedChoiceCorrections!$B$12+T52*ForcedChoiceCorrections!$B$13+U52*ForcedChoiceCorrections!$B$14+V52*ForcedChoiceCorrections!$B$15)</f>
        <v/>
      </c>
      <c r="Y52" s="16">
        <f>IF(AND(ISNUMBER(SEARCH("pass",L52)),ISNUMBER(X52)),COUNTIFS(L$2:L$90,"*pass*",X$2:X$90,"&gt;"&amp;X52)+1,"")</f>
        <v/>
      </c>
      <c r="Z52" s="16" t="inlineStr">
        <is>
          <t>OPEN-MIND VIEWING PICK (nominated by NJD): view for calibration. Verify year-round services vs holiday-town feel, ED access (nearest 24-hr public ED likely Frankston/Peninsula Univ Hospital), GW drive and price. 27 Oct 2026 research pass: drive times/ED and/or AVM price added; L re-evaluated.</t>
        </is>
      </c>
      <c r="AA52" s="16" t="inlineStr">
        <is>
          <t>51. Rye | Mornington Peninsula | Open-mind viewing | P: Low-Medium (Coastal) | Y: High (Bay/ocean beach) | Lens: Open-mind viewing: calibrate coastal feel against bush | Price: [Blank] | Basis: Not verified | Note: OPEN-MIND VIEWING PICK (nominated by NJD): view for calibration. Verify year-round services vs holiday-town feel, ED access (nearest 24-hr public ED likely Frankston/Peninsula Univ Hospital), GW drive and price.</t>
        </is>
      </c>
      <c r="AB52" s="16" t="inlineStr">
        <is>
          <t>No</t>
        </is>
      </c>
      <c r="AC52" s="16" t="inlineStr">
        <is>
          <t>No passenger rail on the Peninsula south of Frankston (from recall; verify)</t>
        </is>
      </c>
      <c r="AD52" s="16" t="inlineStr">
        <is>
          <t>Rosebud Hospital ED (24/7 but treats less serious cases (per earlier check)) (drive times: Google Maps leave-now, 27 Oct 2026 ~13:15–13:45 AEDT (midday, not peak), suburb name)</t>
        </is>
      </c>
      <c r="AE52" s="24" t="n">
        <v>1500000</v>
      </c>
      <c r="AF52" s="22" t="inlineStr">
        <is>
          <t>Maximum purchase price, excluding transaction and moving costs</t>
        </is>
      </c>
      <c r="AG52" s="22" t="inlineStr">
        <is>
          <t>AVM estimate</t>
        </is>
      </c>
      <c r="AH52" s="22" t="inlineStr">
        <is>
          <t>27 Oct 2026</t>
        </is>
      </c>
      <c r="AI52" s="22" t="inlineStr">
        <is>
          <t>Pass</t>
        </is>
      </c>
      <c r="AJ52" s="22" t="inlineStr">
        <is>
          <t>AVM house value ($918,392) is under $1.5M cap. Not a sale median.</t>
        </is>
      </c>
    </row>
    <row r="53" ht="15.75" customHeight="1" s="15">
      <c r="A53" s="16" t="inlineStr">
        <is>
          <t>Gisborne</t>
        </is>
      </c>
      <c r="B53" s="16" t="inlineStr">
        <is>
          <t>Macedon Ranges</t>
        </is>
      </c>
      <c r="C53" s="16" t="inlineStr">
        <is>
          <t>Watchlist</t>
        </is>
      </c>
      <c r="D53" s="16" t="inlineStr">
        <is>
          <t>Medium-High (Rural/gardens)</t>
        </is>
      </c>
      <c r="E53" s="16" t="inlineStr">
        <is>
          <t>Low (Inland)</t>
        </is>
      </c>
      <c r="F53" s="16" t="inlineStr">
        <is>
          <t>Regional town close to Melbourne, distinct from Woodend and Macedon</t>
        </is>
      </c>
      <c r="G53" s="16" t="n">
        <v>1043843</v>
      </c>
      <c r="H53" s="16" t="inlineStr">
        <is>
          <t>AVM estimate (30 Sep 2026), NOT a verified sale median; unit $589,444; 281 sales in last 12m (OnTheHouse/Cotality, read 27 Oct 2026)</t>
        </is>
      </c>
      <c r="I53" s="16">
        <f>G53*(1+Settings!$B$6)</f>
        <v/>
      </c>
      <c r="J53" s="22" t="n">
        <v>67</v>
      </c>
      <c r="K53" s="22" t="n">
        <v>34</v>
      </c>
      <c r="L53" s="16" t="inlineStr">
        <is>
          <t>Provisional pass</t>
        </is>
      </c>
      <c r="O53" s="16">
        <f>IF(K53="","",ROUND(MAX(0,10*(1-K53/Filters!$B$5)),1))</f>
        <v/>
      </c>
      <c r="W53" s="16">
        <f>IF(M53="",0,COUNT(M53:V53))</f>
        <v/>
      </c>
      <c r="X53" s="16">
        <f>IF(W53&lt;10,"",M53*ForcedChoiceCorrections!$B$6+N53*ForcedChoiceCorrections!$B$7+O53*ForcedChoiceCorrections!$B$8+P53*ForcedChoiceCorrections!$B$9+Q53*ForcedChoiceCorrections!$B$10+R53*ForcedChoiceCorrections!$B$11+S53*ForcedChoiceCorrections!$B$12+T53*ForcedChoiceCorrections!$B$13+U53*ForcedChoiceCorrections!$B$14+V53*ForcedChoiceCorrections!$B$15)</f>
        <v/>
      </c>
      <c r="Y53" s="16">
        <f>IF(AND(ISNUMBER(SEARCH("pass",L53)),ISNUMBER(X53)),COUNTIFS(L$2:L$90,"*pass*",X$2:X$90,"&gt;"&amp;X53)+1,"")</f>
        <v/>
      </c>
      <c r="Z53" s="16" t="inlineStr">
        <is>
          <t>Regional add (within about 1.5 hrs of Melbourne, from recall; verify). Verify train access (nearest V/Line may be Riddells Creek), GW drive, price and nearest major public ED. 27 Oct 2026 research pass: drive times/ED and/or AVM price added; L re-evaluated.</t>
        </is>
      </c>
      <c r="AA53" s="16" t="inlineStr">
        <is>
          <t>52. Gisborne | Macedon Ranges | Watchlist | P: Medium-High (Rural/gardens) | Y: Low (Inland) | Lens: Regional town close to Melbourne, distinct from Woodend and Macedon | Price: [Blank] | Basis: Not verified | Note: Regional add (within about 1.5 hrs of Melbourne, from recall; verify). Verify train access (nearest V/Line may be Riddells Creek), GW drive, price and nearest major public ED.</t>
        </is>
      </c>
      <c r="AB53" s="22" t="inlineStr">
        <is>
          <t>Yes</t>
        </is>
      </c>
      <c r="AC53" s="16" t="inlineStr">
        <is>
          <t>Gisborne station (in New Gisborne, ~3 km), V/Line Bendigo line (recall; verify)</t>
        </is>
      </c>
      <c r="AD53" s="16" t="inlineStr">
        <is>
          <t>Sunshine Hospital ED (24-hr: recall (major metro ED). Origin: Gisborne Post Office (suburb pin gave a 2h+ route)) (drive times: Google Maps leave-now, 27 Oct 2026 ~13:15–13:45 AEDT (midday, not peak), suburb name)</t>
        </is>
      </c>
      <c r="AE53" s="24" t="n">
        <v>1500000</v>
      </c>
      <c r="AF53" s="22" t="inlineStr">
        <is>
          <t>Maximum purchase price, excluding transaction and moving costs</t>
        </is>
      </c>
      <c r="AG53" s="22" t="inlineStr">
        <is>
          <t>AVM estimate</t>
        </is>
      </c>
      <c r="AH53" s="22" t="inlineStr">
        <is>
          <t>27 Oct 2026</t>
        </is>
      </c>
      <c r="AI53" s="22" t="inlineStr">
        <is>
          <t>Pass</t>
        </is>
      </c>
      <c r="AJ53" s="22" t="inlineStr">
        <is>
          <t>AVM house value ($1,043,843) is under $1.5M cap. Not a sale median.</t>
        </is>
      </c>
    </row>
    <row r="54" ht="15.75" customHeight="1" s="15">
      <c r="A54" s="16" t="inlineStr">
        <is>
          <t>Riddells Creek</t>
        </is>
      </c>
      <c r="B54" s="16" t="inlineStr">
        <is>
          <t>Macedon Ranges</t>
        </is>
      </c>
      <c r="C54" s="16" t="inlineStr">
        <is>
          <t>Watchlist</t>
        </is>
      </c>
      <c r="D54" s="16" t="inlineStr">
        <is>
          <t>Medium-High (Village/countryside)</t>
        </is>
      </c>
      <c r="E54" s="16" t="inlineStr">
        <is>
          <t>Low (Inland)</t>
        </is>
      </c>
      <c r="F54" s="16" t="inlineStr">
        <is>
          <t>Small village with V/Line access (to verify)</t>
        </is>
      </c>
      <c r="G54" s="16" t="n">
        <v>994380</v>
      </c>
      <c r="H54" s="16" t="inlineStr">
        <is>
          <t>AVM estimate (30 Sep 2026), NOT a verified sale median; unit $647,157; 85 sales in last 12m (OnTheHouse/Cotality, read 27 Oct 2026)</t>
        </is>
      </c>
      <c r="I54" s="16">
        <f>G54*(1+Settings!$B$6)</f>
        <v/>
      </c>
      <c r="J54" s="22" t="n">
        <v>71</v>
      </c>
      <c r="K54" s="22" t="n">
        <v>38</v>
      </c>
      <c r="L54" s="16" t="inlineStr">
        <is>
          <t>Provisional pass</t>
        </is>
      </c>
      <c r="O54" s="16">
        <f>IF(K54="","",ROUND(MAX(0,10*(1-K54/Filters!$B$5)),1))</f>
        <v/>
      </c>
      <c r="W54" s="16">
        <f>IF(M54="",0,COUNT(M54:V54))</f>
        <v/>
      </c>
      <c r="X54" s="16">
        <f>IF(W54&lt;10,"",M54*ForcedChoiceCorrections!$B$6+N54*ForcedChoiceCorrections!$B$7+O54*ForcedChoiceCorrections!$B$8+P54*ForcedChoiceCorrections!$B$9+Q54*ForcedChoiceCorrections!$B$10+R54*ForcedChoiceCorrections!$B$11+S54*ForcedChoiceCorrections!$B$12+T54*ForcedChoiceCorrections!$B$13+U54*ForcedChoiceCorrections!$B$14+V54*ForcedChoiceCorrections!$B$15)</f>
        <v/>
      </c>
      <c r="Y54" s="16">
        <f>IF(AND(ISNUMBER(SEARCH("pass",L54)),ISNUMBER(X54)),COUNTIFS(L$2:L$90,"*pass*",X$2:X$90,"&gt;"&amp;X54)+1,"")</f>
        <v/>
      </c>
      <c r="Z54" s="16" t="inlineStr">
        <is>
          <t>Regional add (within about 1.5 hrs of Melbourne, from recall; verify). Verify V/Line station and service frequency, GW drive, price and nearest major public ED. 27 Oct 2026 research pass: drive times/ED and/or AVM price added; L re-evaluated.</t>
        </is>
      </c>
      <c r="AA54" s="16" t="inlineStr">
        <is>
          <t>53. Riddells Creek | Macedon Ranges | Watchlist | P: Medium-High (Village/countryside) | Y: Low (Inland) | Lens: Small village with V/Line access (to verify) | Price: [Blank] | Basis: Not verified | Note: Regional add (within about 1.5 hrs of Melbourne, from recall; verify). Verify V/Line station and service frequency, GW drive, price and nearest major public ED.</t>
        </is>
      </c>
      <c r="AB54" s="22" t="inlineStr">
        <is>
          <t>Yes</t>
        </is>
      </c>
      <c r="AC54" s="16" t="inlineStr">
        <is>
          <t>Riddells Creek station, V/Line Bendigo line (recall; verify)</t>
        </is>
      </c>
      <c r="AD54" s="16" t="inlineStr">
        <is>
          <t>Sunshine Hospital ED (24-hr: recall (major metro ED); Northern 45 min) (drive times: Google Maps leave-now, 27 Oct 2026 ~13:15–13:45 AEDT (midday, not peak), suburb name)</t>
        </is>
      </c>
      <c r="AE54" s="24" t="n">
        <v>1500000</v>
      </c>
      <c r="AF54" s="22" t="inlineStr">
        <is>
          <t>Maximum purchase price, excluding transaction and moving costs</t>
        </is>
      </c>
      <c r="AG54" s="22" t="inlineStr">
        <is>
          <t>AVM estimate</t>
        </is>
      </c>
      <c r="AH54" s="22" t="inlineStr">
        <is>
          <t>27 Oct 2026</t>
        </is>
      </c>
      <c r="AI54" s="22" t="inlineStr">
        <is>
          <t>Pass</t>
        </is>
      </c>
      <c r="AJ54" s="22" t="inlineStr">
        <is>
          <t>AVM house value ($994,380) is under $1.5M cap. Not a sale median.</t>
        </is>
      </c>
    </row>
    <row r="55" ht="15.75" customHeight="1" s="15">
      <c r="A55" s="16" t="inlineStr">
        <is>
          <t>Yarra Glen</t>
        </is>
      </c>
      <c r="B55" s="16" t="inlineStr">
        <is>
          <t>Yarra Valley</t>
        </is>
      </c>
      <c r="C55" s="16" t="inlineStr">
        <is>
          <t>Watchlist</t>
        </is>
      </c>
      <c r="D55" s="16" t="inlineStr">
        <is>
          <t>High (Valley/vineyards)</t>
        </is>
      </c>
      <c r="E55" s="16" t="inlineStr">
        <is>
          <t>Low (Inland)</t>
        </is>
      </c>
      <c r="F55" s="16" t="inlineStr">
        <is>
          <t>Yarra Valley village, quieter than Healesville</t>
        </is>
      </c>
      <c r="G55" s="16" t="n">
        <v>936458</v>
      </c>
      <c r="H55" s="16" t="inlineStr">
        <is>
          <t>AVM estimate (30 Sep 2026), NOT a verified sale median; unit $668,777; 48 sales in last 12m (OnTheHouse/Cotality, read 27 Oct 2026)</t>
        </is>
      </c>
      <c r="I55" s="16">
        <f>G55*(1+Settings!$B$6)</f>
        <v/>
      </c>
      <c r="J55" s="22" t="n">
        <v>44</v>
      </c>
      <c r="K55" s="22" t="n">
        <v>30</v>
      </c>
      <c r="L55" s="16" t="inlineStr">
        <is>
          <t>Provisional pass</t>
        </is>
      </c>
      <c r="O55" s="16">
        <f>IF(K55="","",ROUND(MAX(0,10*(1-K55/Filters!$B$5)),1))</f>
        <v/>
      </c>
      <c r="W55" s="16">
        <f>IF(M55="",0,COUNT(M55:V55))</f>
        <v/>
      </c>
      <c r="X55" s="16">
        <f>IF(W55&lt;10,"",M55*ForcedChoiceCorrections!$B$6+N55*ForcedChoiceCorrections!$B$7+O55*ForcedChoiceCorrections!$B$8+P55*ForcedChoiceCorrections!$B$9+Q55*ForcedChoiceCorrections!$B$10+R55*ForcedChoiceCorrections!$B$11+S55*ForcedChoiceCorrections!$B$12+T55*ForcedChoiceCorrections!$B$13+U55*ForcedChoiceCorrections!$B$14+V55*ForcedChoiceCorrections!$B$15)</f>
        <v/>
      </c>
      <c r="Y55" s="16">
        <f>IF(AND(ISNUMBER(SEARCH("pass",L55)),ISNUMBER(X55)),COUNTIFS(L$2:L$90,"*pass*",X$2:X$90,"&gt;"&amp;X55)+1,"")</f>
        <v/>
      </c>
      <c r="Z55" s="16" t="inlineStr">
        <is>
          <t>Regional add (within about 1.5 hrs of Melbourne, from recall; verify). Likely no train; verify GW drive, price and ED journey (Maroondah/Angliss). Compare with Healesville. 27 Oct 2026 research pass: drive times/ED and/or AVM price added; L re-evaluated.</t>
        </is>
      </c>
      <c r="AA55" s="16" t="inlineStr">
        <is>
          <t>54. Yarra Glen | Yarra Valley | Watchlist | P: High (Valley/vineyards) | Y: Low (Inland) | Lens: Yarra Valley village, quieter than Healesville | Price: [Blank] | Basis: Not verified | Note: Regional add (within about 1.5 hrs of Melbourne, from recall; verify). Likely no train; verify GW drive, price and ED journey (Maroondah/Angliss). Compare with Healesville.</t>
        </is>
      </c>
      <c r="AB55" s="22" t="inlineStr">
        <is>
          <t>No</t>
        </is>
      </c>
      <c r="AC55" s="16" t="inlineStr">
        <is>
          <t>No passenger rail (recall; verify)</t>
        </is>
      </c>
      <c r="AD55" s="16" t="inlineStr">
        <is>
          <t>Maroondah Hospital ED (24-hr: recall (major metro ED)) (drive times: Google Maps leave-now, 27 Oct 2026 ~13:15–13:45 AEDT (midday, not peak), suburb name)</t>
        </is>
      </c>
      <c r="AE55" s="24" t="n">
        <v>1500000</v>
      </c>
      <c r="AF55" s="22" t="inlineStr">
        <is>
          <t>Maximum purchase price, excluding transaction and moving costs</t>
        </is>
      </c>
      <c r="AG55" s="22" t="inlineStr">
        <is>
          <t>AVM estimate</t>
        </is>
      </c>
      <c r="AH55" s="22" t="inlineStr">
        <is>
          <t>27 Oct 2026</t>
        </is>
      </c>
      <c r="AI55" s="22" t="inlineStr">
        <is>
          <t>Pass</t>
        </is>
      </c>
      <c r="AJ55" s="22" t="inlineStr">
        <is>
          <t>AVM house value ($936,458) is under $1.5M cap. Not a sale median.</t>
        </is>
      </c>
    </row>
    <row r="56" ht="15.75" customHeight="1" s="15">
      <c r="A56" s="16" t="inlineStr">
        <is>
          <t>Drouin</t>
        </is>
      </c>
      <c r="B56" s="16" t="inlineStr">
        <is>
          <t>West Gippsland</t>
        </is>
      </c>
      <c r="C56" s="16" t="inlineStr">
        <is>
          <t>Watchlist</t>
        </is>
      </c>
      <c r="D56" s="16" t="inlineStr">
        <is>
          <t>Medium-High (Hills/gardens)</t>
        </is>
      </c>
      <c r="E56" s="16" t="inlineStr">
        <is>
          <t>Low (Inland)</t>
        </is>
      </c>
      <c r="F56" s="16" t="inlineStr">
        <is>
          <t>Gippsland-corridor town alongside Warragul</t>
        </is>
      </c>
      <c r="G56" s="16" t="n">
        <v>701797</v>
      </c>
      <c r="H56" s="16" t="inlineStr">
        <is>
          <t>AVM estimate (30 Sep 2026), NOT a verified sale median; unit $456,821; 549 sales in last 12m (OnTheHouse/Cotality, read 27 Oct 2026)</t>
        </is>
      </c>
      <c r="I56" s="16">
        <f>G56*(1+Settings!$B$6)</f>
        <v/>
      </c>
      <c r="J56" s="22" t="n">
        <v>57</v>
      </c>
      <c r="K56" s="22" t="n">
        <v>9</v>
      </c>
      <c r="L56" s="16" t="inlineStr">
        <is>
          <t>Provisional pass</t>
        </is>
      </c>
      <c r="O56" s="16">
        <f>IF(K56="","",ROUND(MAX(0,10*(1-K56/Filters!$B$5)),1))</f>
        <v/>
      </c>
      <c r="W56" s="16">
        <f>IF(M56="",0,COUNT(M56:V56))</f>
        <v/>
      </c>
      <c r="X56" s="16">
        <f>IF(W56&lt;10,"",M56*ForcedChoiceCorrections!$B$6+N56*ForcedChoiceCorrections!$B$7+O56*ForcedChoiceCorrections!$B$8+P56*ForcedChoiceCorrections!$B$9+Q56*ForcedChoiceCorrections!$B$10+R56*ForcedChoiceCorrections!$B$11+S56*ForcedChoiceCorrections!$B$12+T56*ForcedChoiceCorrections!$B$13+U56*ForcedChoiceCorrections!$B$14+V56*ForcedChoiceCorrections!$B$15)</f>
        <v/>
      </c>
      <c r="Y56" s="16">
        <f>IF(AND(ISNUMBER(SEARCH("pass",L56)),ISNUMBER(X56)),COUNTIFS(L$2:L$90,"*pass*",X$2:X$90,"&gt;"&amp;X56)+1,"")</f>
        <v/>
      </c>
      <c r="Z56" s="16" t="inlineStr">
        <is>
          <t>Regional add (within about 1.5 hrs of Melbourne, from recall; verify). Verify V/Line station, GW drive, price and ED access (West Gippsland Hospital at Warragul). Compare with Warragul. 27 Oct 2026 research pass: drive times/ED and/or AVM price added; L re-evaluated.</t>
        </is>
      </c>
      <c r="AA56" s="16" t="inlineStr">
        <is>
          <t>55. Drouin | West Gippsland | Watchlist | P: Medium-High (Hills/gardens) | Y: Low (Inland) | Lens: Gippsland-corridor town alongside Warragul | Price: [Blank] | Basis: Not verified | Note: Regional add (within about 1.5 hrs of Melbourne, from recall; verify). Verify V/Line station, GW drive, price and ED access (West Gippsland Hospital at Warragul). Compare with Warragul.</t>
        </is>
      </c>
      <c r="AB56" s="22" t="inlineStr">
        <is>
          <t>Yes</t>
        </is>
      </c>
      <c r="AC56" s="16" t="inlineStr">
        <is>
          <t>Drouin station, V/Line Gippsland line (recall; verify)</t>
        </is>
      </c>
      <c r="AD56" s="16" t="inlineStr">
        <is>
          <t>West Gippsland Hospital ED (Warragul) (24-hr: verified, South Gippsland Shire directory) (drive times: Google Maps leave-now, 27 Oct 2026 ~13:15–13:45 AEDT (midday, not peak), suburb name)</t>
        </is>
      </c>
      <c r="AE56" s="24" t="n">
        <v>1500000</v>
      </c>
      <c r="AF56" s="22" t="inlineStr">
        <is>
          <t>Maximum purchase price, excluding transaction and moving costs</t>
        </is>
      </c>
      <c r="AG56" s="22" t="inlineStr">
        <is>
          <t>AVM estimate</t>
        </is>
      </c>
      <c r="AH56" s="22" t="inlineStr">
        <is>
          <t>27 Oct 2026</t>
        </is>
      </c>
      <c r="AI56" s="22" t="inlineStr">
        <is>
          <t>Pass</t>
        </is>
      </c>
      <c r="AJ56" s="22" t="inlineStr">
        <is>
          <t>AVM house value ($701,797) is under $1.5M cap. Not a sale median.</t>
        </is>
      </c>
    </row>
    <row r="57" ht="15.75" customHeight="1" s="15">
      <c r="A57" s="16" t="inlineStr">
        <is>
          <t>West Footscray</t>
        </is>
      </c>
      <c r="B57" s="16" t="inlineStr">
        <is>
          <t>West</t>
        </is>
      </c>
      <c r="C57" s="16" t="inlineStr">
        <is>
          <t>Watchlist</t>
        </is>
      </c>
      <c r="D57" s="16" t="inlineStr">
        <is>
          <t>Not assessed</t>
        </is>
      </c>
      <c r="E57" s="16" t="inlineStr">
        <is>
          <t>Not assessed</t>
        </is>
      </c>
      <c r="F57" s="16" t="inlineStr">
        <is>
          <t>Not assessed</t>
        </is>
      </c>
      <c r="G57" s="16" t="n">
        <v>1046286</v>
      </c>
      <c r="H57" s="16" t="inlineStr">
        <is>
          <t>AVM estimate (30 Jun 2026), NOT a verified sale median; unit $520,983 (OnTheHouse/Cotality)</t>
        </is>
      </c>
      <c r="I57" s="16">
        <f>G57*(1+Settings!$B$6)</f>
        <v/>
      </c>
      <c r="J57" s="22" t="n">
        <v>39</v>
      </c>
      <c r="K57" s="22" t="n">
        <v>6</v>
      </c>
      <c r="L57" s="16" t="inlineStr">
        <is>
          <t>Provisional pass</t>
        </is>
      </c>
      <c r="O57" s="22">
        <f>IF(K57="","",ROUND(MAX(0,10*(1-K57/Filters!$B$5)),1))</f>
        <v/>
      </c>
      <c r="W57" s="16">
        <f>IF(M57="",0,COUNT(M57:V57))</f>
        <v/>
      </c>
      <c r="X57" s="16">
        <f>IF(W57&lt;10,"",M57*ForcedChoiceCorrections!$B$6+N57*ForcedChoiceCorrections!$B$7+O57*ForcedChoiceCorrections!$B$8+P57*ForcedChoiceCorrections!$B$9+Q57*ForcedChoiceCorrections!$B$10+R57*ForcedChoiceCorrections!$B$11+S57*ForcedChoiceCorrections!$B$12+T57*ForcedChoiceCorrections!$B$13+U57*ForcedChoiceCorrections!$B$14+V57*ForcedChoiceCorrections!$B$15)</f>
        <v/>
      </c>
      <c r="Y57" s="16">
        <f>IF(AND(ISNUMBER(SEARCH("pass",L57)),ISNUMBER(X57)),COUNTIFS(L$2:L$90,"*pass*",X$2:X$90,"&gt;"&amp;X57)+1,"")</f>
        <v/>
      </c>
      <c r="Z57" s="16" t="inlineStr">
        <is>
          <t>Added 27 Oct 2026 from realestate.com.au collection "Parents." (Listings tab). Fit ratings (P/Y/lens) not yet assessed. ED: Western Health: ED "always open".</t>
        </is>
      </c>
      <c r="AB57" s="22" t="inlineStr">
        <is>
          <t>Yes</t>
        </is>
      </c>
      <c r="AC57" s="22" t="inlineStr">
        <is>
          <t>West Footscray station, Sunbury line (recall; verify)</t>
        </is>
      </c>
      <c r="AD57" s="22" t="inlineStr">
        <is>
          <t>Footscray Hospital ED (new hospital, opened Feb 2026) (drive times: Google Maps leave-now 27 Oct 2026, suburb name not postcode, not peak)</t>
        </is>
      </c>
      <c r="AE57" s="22" t="n">
        <v>1500000</v>
      </c>
      <c r="AF57" s="22" t="inlineStr">
        <is>
          <t>Maximum purchase price, excluding transaction and moving costs</t>
        </is>
      </c>
      <c r="AG57" s="22" t="inlineStr">
        <is>
          <t>AVM estimate</t>
        </is>
      </c>
      <c r="AH57" s="22" t="inlineStr">
        <is>
          <t>27 Oct 2026</t>
        </is>
      </c>
      <c r="AI57" s="22" t="inlineStr">
        <is>
          <t>Pass</t>
        </is>
      </c>
      <c r="AJ57" s="22" t="inlineStr">
        <is>
          <t>AVM house value ($1,046,286) is under $1.5M cap. Not a sale median.</t>
        </is>
      </c>
    </row>
    <row r="58" ht="15.75" customHeight="1" s="15">
      <c r="A58" s="16" t="inlineStr">
        <is>
          <t>Rosanna</t>
        </is>
      </c>
      <c r="B58" s="16" t="inlineStr">
        <is>
          <t>North-East</t>
        </is>
      </c>
      <c r="C58" s="16" t="inlineStr">
        <is>
          <t>Watchlist</t>
        </is>
      </c>
      <c r="D58" s="16" t="inlineStr">
        <is>
          <t>Not assessed</t>
        </is>
      </c>
      <c r="E58" s="16" t="inlineStr">
        <is>
          <t>Not assessed</t>
        </is>
      </c>
      <c r="F58" s="16" t="inlineStr">
        <is>
          <t>Not assessed</t>
        </is>
      </c>
      <c r="G58" s="16" t="n">
        <v>1242201</v>
      </c>
      <c r="H58" s="16" t="inlineStr">
        <is>
          <t>AVM estimate (31 Aug 2026), NOT a verified sale median; unit $755,384 (OnTheHouse/Cotality)</t>
        </is>
      </c>
      <c r="I58" s="16">
        <f>G58*(1+Settings!$B$6)</f>
        <v/>
      </c>
      <c r="J58" s="22" t="n">
        <v>34</v>
      </c>
      <c r="K58" s="22" t="n">
        <v>8</v>
      </c>
      <c r="L58" s="16" t="inlineStr">
        <is>
          <t>Provisional pass</t>
        </is>
      </c>
      <c r="O58" s="22">
        <f>IF(K58="","",ROUND(MAX(0,10*(1-K58/Filters!$B$5)),1))</f>
        <v/>
      </c>
      <c r="W58" s="16">
        <f>IF(M58="",0,COUNT(M58:V58))</f>
        <v/>
      </c>
      <c r="X58" s="16">
        <f>IF(W58&lt;10,"",M58*ForcedChoiceCorrections!$B$6+N58*ForcedChoiceCorrections!$B$7+O58*ForcedChoiceCorrections!$B$8+P58*ForcedChoiceCorrections!$B$9+Q58*ForcedChoiceCorrections!$B$10+R58*ForcedChoiceCorrections!$B$11+S58*ForcedChoiceCorrections!$B$12+T58*ForcedChoiceCorrections!$B$13+U58*ForcedChoiceCorrections!$B$14+V58*ForcedChoiceCorrections!$B$15)</f>
        <v/>
      </c>
      <c r="Y58" s="16">
        <f>IF(AND(ISNUMBER(SEARCH("pass",L58)),ISNUMBER(X58)),COUNTIFS(L$2:L$90,"*pass*",X$2:X$90,"&gt;"&amp;X58)+1,"")</f>
        <v/>
      </c>
      <c r="Z58" s="16" t="inlineStr">
        <is>
          <t>Added 27 Oct 2026 from realestate.com.au collection "Parents." (Listings tab). Fit ratings (P/Y/lens) not yet assessed.</t>
        </is>
      </c>
      <c r="AB58" s="22" t="inlineStr">
        <is>
          <t>Yes</t>
        </is>
      </c>
      <c r="AC58" s="22" t="inlineStr">
        <is>
          <t>Rosanna station, Hurstbridge line (recall; verify)</t>
        </is>
      </c>
      <c r="AD58" s="22" t="inlineStr">
        <is>
          <t>Austin Hospital ED (drive times: Google Maps leave-now 27 Oct 2026, suburb name not postcode, not peak)</t>
        </is>
      </c>
      <c r="AE58" s="22" t="n">
        <v>1500000</v>
      </c>
      <c r="AF58" s="22" t="inlineStr">
        <is>
          <t>Maximum purchase price, excluding transaction and moving costs</t>
        </is>
      </c>
      <c r="AG58" s="22" t="inlineStr">
        <is>
          <t>AVM estimate</t>
        </is>
      </c>
      <c r="AH58" s="22" t="inlineStr">
        <is>
          <t>27 Oct 2026</t>
        </is>
      </c>
      <c r="AI58" s="22" t="inlineStr">
        <is>
          <t>Pass</t>
        </is>
      </c>
      <c r="AJ58" s="22" t="inlineStr">
        <is>
          <t>AVM house value ($1,242,201) is under $1.5M cap. Not a sale median.</t>
        </is>
      </c>
    </row>
    <row r="59" ht="15.75" customHeight="1" s="15">
      <c r="A59" s="16" t="inlineStr">
        <is>
          <t>Seaford</t>
        </is>
      </c>
      <c r="B59" s="16" t="inlineStr">
        <is>
          <t>South / Coastal</t>
        </is>
      </c>
      <c r="C59" s="16" t="inlineStr">
        <is>
          <t>Watchlist</t>
        </is>
      </c>
      <c r="D59" s="16" t="inlineStr">
        <is>
          <t>Not assessed</t>
        </is>
      </c>
      <c r="E59" s="16" t="inlineStr">
        <is>
          <t>Not assessed</t>
        </is>
      </c>
      <c r="F59" s="16" t="inlineStr">
        <is>
          <t>Not assessed</t>
        </is>
      </c>
      <c r="G59" s="16" t="n">
        <v>861235</v>
      </c>
      <c r="H59" s="16" t="inlineStr">
        <is>
          <t>AVM estimate (30 Sep 2026), NOT a verified sale median; unit $657,269 (OnTheHouse/Cotality)</t>
        </is>
      </c>
      <c r="I59" s="16">
        <f>G59*(1+Settings!$B$6)</f>
        <v/>
      </c>
      <c r="J59" s="22" t="n">
        <v>24</v>
      </c>
      <c r="K59" s="22" t="n">
        <v>8</v>
      </c>
      <c r="L59" s="16" t="inlineStr">
        <is>
          <t>Provisional pass</t>
        </is>
      </c>
      <c r="O59" s="22">
        <f>IF(K59="","",ROUND(MAX(0,10*(1-K59/Filters!$B$5)),1))</f>
        <v/>
      </c>
      <c r="W59" s="16">
        <f>IF(M59="",0,COUNT(M59:V59))</f>
        <v/>
      </c>
      <c r="X59" s="16">
        <f>IF(W59&lt;10,"",M59*ForcedChoiceCorrections!$B$6+N59*ForcedChoiceCorrections!$B$7+O59*ForcedChoiceCorrections!$B$8+P59*ForcedChoiceCorrections!$B$9+Q59*ForcedChoiceCorrections!$B$10+R59*ForcedChoiceCorrections!$B$11+S59*ForcedChoiceCorrections!$B$12+T59*ForcedChoiceCorrections!$B$13+U59*ForcedChoiceCorrections!$B$14+V59*ForcedChoiceCorrections!$B$15)</f>
        <v/>
      </c>
      <c r="Y59" s="16">
        <f>IF(AND(ISNUMBER(SEARCH("pass",L59)),ISNUMBER(X59)),COUNTIFS(L$2:L$90,"*pass*",X$2:X$90,"&gt;"&amp;X59)+1,"")</f>
        <v/>
      </c>
      <c r="Z59" s="16" t="inlineStr">
        <is>
          <t>Added 27 Oct 2026 from realestate.com.au collection "Parents." (Listings tab). Fit ratings (P/Y/lens) not yet assessed.</t>
        </is>
      </c>
      <c r="AB59" s="22" t="inlineStr">
        <is>
          <t>Yes</t>
        </is>
      </c>
      <c r="AC59" s="22" t="inlineStr">
        <is>
          <t>Seaford station, Frankston line (recall; verify)</t>
        </is>
      </c>
      <c r="AD59" s="22" t="inlineStr">
        <is>
          <t>Peninsula University Hospital ED (drive times: Google Maps leave-now 27 Oct 2026, suburb name not postcode, not peak)</t>
        </is>
      </c>
      <c r="AE59" s="22" t="n">
        <v>1500000</v>
      </c>
      <c r="AF59" s="22" t="inlineStr">
        <is>
          <t>Maximum purchase price, excluding transaction and moving costs</t>
        </is>
      </c>
      <c r="AG59" s="22" t="inlineStr">
        <is>
          <t>AVM estimate</t>
        </is>
      </c>
      <c r="AH59" s="22" t="inlineStr">
        <is>
          <t>27 Oct 2026</t>
        </is>
      </c>
      <c r="AI59" s="22" t="inlineStr">
        <is>
          <t>Pass</t>
        </is>
      </c>
      <c r="AJ59" s="22" t="inlineStr">
        <is>
          <t>AVM house value ($861,235) is under $1.5M cap. Not a sale median.</t>
        </is>
      </c>
    </row>
    <row r="60" ht="15.75" customHeight="1" s="15">
      <c r="A60" s="16" t="inlineStr">
        <is>
          <t>Chelsea</t>
        </is>
      </c>
      <c r="B60" s="16" t="inlineStr">
        <is>
          <t>South / Coastal</t>
        </is>
      </c>
      <c r="C60" s="16" t="inlineStr">
        <is>
          <t>Watchlist</t>
        </is>
      </c>
      <c r="D60" s="16" t="inlineStr">
        <is>
          <t>Not assessed</t>
        </is>
      </c>
      <c r="E60" s="16" t="inlineStr">
        <is>
          <t>Not assessed</t>
        </is>
      </c>
      <c r="F60" s="16" t="inlineStr">
        <is>
          <t>Not assessed</t>
        </is>
      </c>
      <c r="G60" s="16" t="n">
        <v>1161160</v>
      </c>
      <c r="H60" s="16" t="inlineStr">
        <is>
          <t>AVM estimate (31 Jul 2026), NOT a verified sale median; unit $734,277 (OnTheHouse/Cotality)</t>
        </is>
      </c>
      <c r="I60" s="16">
        <f>G60*(1+Settings!$B$6)</f>
        <v/>
      </c>
      <c r="J60" s="22" t="n">
        <v>30</v>
      </c>
      <c r="K60" s="22" t="n">
        <v>19</v>
      </c>
      <c r="L60" s="16" t="inlineStr">
        <is>
          <t>Provisional pass</t>
        </is>
      </c>
      <c r="O60" s="22">
        <f>IF(K60="","",ROUND(MAX(0,10*(1-K60/Filters!$B$5)),1))</f>
        <v/>
      </c>
      <c r="W60" s="16">
        <f>IF(M60="",0,COUNT(M60:V60))</f>
        <v/>
      </c>
      <c r="X60" s="16">
        <f>IF(W60&lt;10,"",M60*ForcedChoiceCorrections!$B$6+N60*ForcedChoiceCorrections!$B$7+O60*ForcedChoiceCorrections!$B$8+P60*ForcedChoiceCorrections!$B$9+Q60*ForcedChoiceCorrections!$B$10+R60*ForcedChoiceCorrections!$B$11+S60*ForcedChoiceCorrections!$B$12+T60*ForcedChoiceCorrections!$B$13+U60*ForcedChoiceCorrections!$B$14+V60*ForcedChoiceCorrections!$B$15)</f>
        <v/>
      </c>
      <c r="Y60" s="16">
        <f>IF(AND(ISNUMBER(SEARCH("pass",L60)),ISNUMBER(X60)),COUNTIFS(L$2:L$90,"*pass*",X$2:X$90,"&gt;"&amp;X60)+1,"")</f>
        <v/>
      </c>
      <c r="Z60" s="16" t="inlineStr">
        <is>
          <t>Added 27 Oct 2026 from realestate.com.au collection "Parents." (Listings tab). Fit ratings (P/Y/lens) not yet assessed. ED: Dandenong and Monash Medical Centre Clayton both 23 min.</t>
        </is>
      </c>
      <c r="AB60" s="22" t="inlineStr">
        <is>
          <t>Yes</t>
        </is>
      </c>
      <c r="AC60" s="22" t="inlineStr">
        <is>
          <t>Chelsea station, Frankston line (recall; verify)</t>
        </is>
      </c>
      <c r="AD60" s="22" t="inlineStr">
        <is>
          <t>Peninsula University Hospital ED (drive times: Google Maps leave-now 27 Oct 2026, suburb name not postcode, not peak)</t>
        </is>
      </c>
      <c r="AE60" s="22" t="n">
        <v>1500000</v>
      </c>
      <c r="AF60" s="22" t="inlineStr">
        <is>
          <t>Maximum purchase price, excluding transaction and moving costs</t>
        </is>
      </c>
      <c r="AG60" s="22" t="inlineStr">
        <is>
          <t>AVM estimate</t>
        </is>
      </c>
      <c r="AH60" s="22" t="inlineStr">
        <is>
          <t>27 Oct 2026</t>
        </is>
      </c>
      <c r="AI60" s="22" t="inlineStr">
        <is>
          <t>Pass</t>
        </is>
      </c>
      <c r="AJ60" s="22" t="inlineStr">
        <is>
          <t>AVM house value ($1,161,160) is under $1.5M cap. Not a sale median.</t>
        </is>
      </c>
    </row>
    <row r="61" ht="15.75" customHeight="1" s="15">
      <c r="A61" s="16" t="inlineStr">
        <is>
          <t>Curlewis</t>
        </is>
      </c>
      <c r="B61" s="16" t="inlineStr">
        <is>
          <t>Bellarine Peninsula</t>
        </is>
      </c>
      <c r="C61" s="16" t="inlineStr">
        <is>
          <t>Watchlist</t>
        </is>
      </c>
      <c r="D61" s="16" t="inlineStr">
        <is>
          <t>Not assessed</t>
        </is>
      </c>
      <c r="E61" s="16" t="inlineStr">
        <is>
          <t>Not assessed</t>
        </is>
      </c>
      <c r="F61" s="16" t="inlineStr">
        <is>
          <t>Not assessed</t>
        </is>
      </c>
      <c r="G61" s="16" t="n">
        <v>744355</v>
      </c>
      <c r="H61" s="16" t="inlineStr">
        <is>
          <t>AVM estimate (30 Sep 2026), NOT a verified sale median; unit $695,359 (OnTheHouse/Cotality)</t>
        </is>
      </c>
      <c r="I61" s="16">
        <f>G61*(1+Settings!$B$6)</f>
        <v/>
      </c>
      <c r="J61" s="22" t="n">
        <v>104</v>
      </c>
      <c r="K61" s="22" t="n">
        <v>20</v>
      </c>
      <c r="L61" s="16" t="inlineStr">
        <is>
          <t>Fails: GW drive</t>
        </is>
      </c>
      <c r="O61" s="22">
        <f>IF(K61="","",ROUND(MAX(0,10*(1-K61/Filters!$B$5)),1))</f>
        <v/>
      </c>
      <c r="W61" s="16">
        <f>IF(M61="",0,COUNT(M61:V61))</f>
        <v/>
      </c>
      <c r="X61" s="16">
        <f>IF(W61&lt;10,"",M61*ForcedChoiceCorrections!$B$6+N61*ForcedChoiceCorrections!$B$7+O61*ForcedChoiceCorrections!$B$8+P61*ForcedChoiceCorrections!$B$9+Q61*ForcedChoiceCorrections!$B$10+R61*ForcedChoiceCorrections!$B$11+S61*ForcedChoiceCorrections!$B$12+T61*ForcedChoiceCorrections!$B$13+U61*ForcedChoiceCorrections!$B$14+V61*ForcedChoiceCorrections!$B$15)</f>
        <v/>
      </c>
      <c r="Y61" s="16">
        <f>IF(AND(ISNUMBER(SEARCH("pass",L61)),ISNUMBER(X61)),COUNTIFS(L$2:L$90,"*pass*",X$2:X$90,"&gt;"&amp;X61)+1,"")</f>
        <v/>
      </c>
      <c r="Z61" s="16" t="inlineStr">
        <is>
          <t>Added 27 Oct 2026 from realestate.com.au collection "Parents." (Listings tab). Fit ratings (P/Y/lens) not yet assessed. ED: GW time looked up mid-afternoon; Clifton Springs (26 Oct) was 95.</t>
        </is>
      </c>
      <c r="AB61" s="22" t="inlineStr">
        <is>
          <t>No</t>
        </is>
      </c>
      <c r="AC61" s="22" t="inlineStr">
        <is>
          <t>No rail; Geelong via bus (recall; verify)</t>
        </is>
      </c>
      <c r="AD61" s="22" t="inlineStr">
        <is>
          <t>University Hospital Geelong ED (drive times: Google Maps leave-now 27 Oct 2026, suburb name not postcode, not peak)</t>
        </is>
      </c>
      <c r="AE61" s="22" t="n">
        <v>1500000</v>
      </c>
      <c r="AF61" s="22" t="inlineStr">
        <is>
          <t>Maximum purchase price, excluding transaction and moving costs</t>
        </is>
      </c>
      <c r="AG61" s="22" t="inlineStr">
        <is>
          <t>AVM estimate</t>
        </is>
      </c>
      <c r="AH61" s="22" t="inlineStr">
        <is>
          <t>27 Oct 2026</t>
        </is>
      </c>
      <c r="AI61" s="22" t="inlineStr">
        <is>
          <t>Pass</t>
        </is>
      </c>
      <c r="AJ61" s="22" t="inlineStr">
        <is>
          <t>AVM house value ($744,355) is under $1.5M cap. Not a sale median.</t>
        </is>
      </c>
    </row>
    <row r="62" ht="15.75" customHeight="1" s="15">
      <c r="A62" s="16" t="inlineStr">
        <is>
          <t>McCrae</t>
        </is>
      </c>
      <c r="B62" s="16" t="inlineStr">
        <is>
          <t>Mornington Peninsula</t>
        </is>
      </c>
      <c r="C62" s="16" t="inlineStr">
        <is>
          <t>Watchlist</t>
        </is>
      </c>
      <c r="D62" s="16" t="inlineStr">
        <is>
          <t>Not assessed</t>
        </is>
      </c>
      <c r="E62" s="16" t="inlineStr">
        <is>
          <t>Not assessed</t>
        </is>
      </c>
      <c r="F62" s="16" t="inlineStr">
        <is>
          <t>Not assessed</t>
        </is>
      </c>
      <c r="G62" s="16" t="n">
        <v>958743</v>
      </c>
      <c r="H62" s="16" t="inlineStr">
        <is>
          <t>AVM estimate (31 Aug 2026), NOT a verified sale median; unit $751,204 (OnTheHouse/Cotality)</t>
        </is>
      </c>
      <c r="I62" s="16">
        <f>G62*(1+Settings!$B$6)</f>
        <v/>
      </c>
      <c r="J62" s="22" t="n">
        <v>49</v>
      </c>
      <c r="K62" s="22" t="n">
        <v>6</v>
      </c>
      <c r="L62" s="16" t="inlineStr">
        <is>
          <t>Provisional pass</t>
        </is>
      </c>
      <c r="O62" s="22">
        <f>IF(K62="","",ROUND(MAX(0,10*(1-K62/Filters!$B$5)),1))</f>
        <v/>
      </c>
      <c r="W62" s="16">
        <f>IF(M62="",0,COUNT(M62:V62))</f>
        <v/>
      </c>
      <c r="X62" s="16">
        <f>IF(W62&lt;10,"",M62*ForcedChoiceCorrections!$B$6+N62*ForcedChoiceCorrections!$B$7+O62*ForcedChoiceCorrections!$B$8+P62*ForcedChoiceCorrections!$B$9+Q62*ForcedChoiceCorrections!$B$10+R62*ForcedChoiceCorrections!$B$11+S62*ForcedChoiceCorrections!$B$12+T62*ForcedChoiceCorrections!$B$13+U62*ForcedChoiceCorrections!$B$14+V62*ForcedChoiceCorrections!$B$15)</f>
        <v/>
      </c>
      <c r="Y62" s="16">
        <f>IF(AND(ISNUMBER(SEARCH("pass",L62)),ISNUMBER(X62)),COUNTIFS(L$2:L$90,"*pass*",X$2:X$90,"&gt;"&amp;X62)+1,"")</f>
        <v/>
      </c>
      <c r="Z62" s="16" t="inlineStr">
        <is>
          <t>Added 27 Oct 2026 from realestate.com.au collection "Parents." (Listings tab). Fit ratings (P/Y/lens) not yet assessed. ED: Rosebud ED is 24/7 but treats less serious cases; serious cases transfer to Frankston (Peninsula Health).</t>
        </is>
      </c>
      <c r="AB62" s="22" t="inlineStr">
        <is>
          <t>No</t>
        </is>
      </c>
      <c r="AC62" s="22" t="inlineStr">
        <is>
          <t>No passenger rail on the Peninsula south of Frankston (recall; verify)</t>
        </is>
      </c>
      <c r="AD62" s="22" t="inlineStr">
        <is>
          <t>Rosebud Hospital ED (drive times: Google Maps leave-now 27 Oct 2026, suburb name not postcode, not peak)</t>
        </is>
      </c>
      <c r="AE62" s="22" t="n">
        <v>1500000</v>
      </c>
      <c r="AF62" s="22" t="inlineStr">
        <is>
          <t>Maximum purchase price, excluding transaction and moving costs</t>
        </is>
      </c>
      <c r="AG62" s="22" t="inlineStr">
        <is>
          <t>AVM estimate</t>
        </is>
      </c>
      <c r="AH62" s="22" t="inlineStr">
        <is>
          <t>27 Oct 2026</t>
        </is>
      </c>
      <c r="AI62" s="22" t="inlineStr">
        <is>
          <t>Pass</t>
        </is>
      </c>
      <c r="AJ62" s="22" t="inlineStr">
        <is>
          <t>AVM house value ($958,743) is under $1.5M cap. Not a sale median.</t>
        </is>
      </c>
    </row>
    <row r="63" ht="15.75" customHeight="1" s="15">
      <c r="A63" s="16" t="inlineStr">
        <is>
          <t>Mount Martha</t>
        </is>
      </c>
      <c r="B63" s="16" t="inlineStr">
        <is>
          <t>Mornington Peninsula</t>
        </is>
      </c>
      <c r="C63" s="16" t="inlineStr">
        <is>
          <t>Watchlist</t>
        </is>
      </c>
      <c r="D63" s="16" t="inlineStr">
        <is>
          <t>Not assessed</t>
        </is>
      </c>
      <c r="E63" s="16" t="inlineStr">
        <is>
          <t>Not assessed</t>
        </is>
      </c>
      <c r="F63" s="16" t="inlineStr">
        <is>
          <t>Not assessed</t>
        </is>
      </c>
      <c r="G63" s="16" t="n">
        <v>1344095</v>
      </c>
      <c r="H63" s="16" t="inlineStr">
        <is>
          <t>AVM estimate (31 Aug 2026), NOT a verified sale median; unit $777,939 (OnTheHouse/Cotality)</t>
        </is>
      </c>
      <c r="I63" s="16">
        <f>G63*(1+Settings!$B$6)</f>
        <v/>
      </c>
      <c r="J63" s="22" t="n">
        <v>47</v>
      </c>
      <c r="K63" s="22" t="n">
        <v>19</v>
      </c>
      <c r="L63" s="16" t="inlineStr">
        <is>
          <t>Provisional pass</t>
        </is>
      </c>
      <c r="O63" s="22">
        <f>IF(K63="","",ROUND(MAX(0,10*(1-K63/Filters!$B$5)),1))</f>
        <v/>
      </c>
      <c r="W63" s="16">
        <f>IF(M63="",0,COUNT(M63:V63))</f>
        <v/>
      </c>
      <c r="X63" s="16">
        <f>IF(W63&lt;10,"",M63*ForcedChoiceCorrections!$B$6+N63*ForcedChoiceCorrections!$B$7+O63*ForcedChoiceCorrections!$B$8+P63*ForcedChoiceCorrections!$B$9+Q63*ForcedChoiceCorrections!$B$10+R63*ForcedChoiceCorrections!$B$11+S63*ForcedChoiceCorrections!$B$12+T63*ForcedChoiceCorrections!$B$13+U63*ForcedChoiceCorrections!$B$14+V63*ForcedChoiceCorrections!$B$15)</f>
        <v/>
      </c>
      <c r="Y63" s="16">
        <f>IF(AND(ISNUMBER(SEARCH("pass",L63)),ISNUMBER(X63)),COUNTIFS(L$2:L$90,"*pass*",X$2:X$90,"&gt;"&amp;X63)+1,"")</f>
        <v/>
      </c>
      <c r="Z63" s="16" t="inlineStr">
        <is>
          <t>Added 27 Oct 2026 from realestate.com.au collection "Parents." (Listings tab). Fit ratings (P/Y/lens) not yet assessed. ED: Peninsula University Hospital 22 min. Rosebud ED is 24/7 but treats less serious cases; serious cases transfer to Frankston (Peninsula Health).</t>
        </is>
      </c>
      <c r="AB63" s="22" t="inlineStr">
        <is>
          <t>No</t>
        </is>
      </c>
      <c r="AC63" s="22" t="inlineStr">
        <is>
          <t>No passenger rail on the Peninsula south of Frankston (recall; verify)</t>
        </is>
      </c>
      <c r="AD63" s="22" t="inlineStr">
        <is>
          <t>Rosebud Hospital ED (drive times: Google Maps leave-now 27 Oct 2026, suburb name not postcode, not peak)</t>
        </is>
      </c>
      <c r="AE63" s="22" t="n">
        <v>1500000</v>
      </c>
      <c r="AF63" s="22" t="inlineStr">
        <is>
          <t>Maximum purchase price, excluding transaction and moving costs</t>
        </is>
      </c>
      <c r="AG63" s="22" t="inlineStr">
        <is>
          <t>AVM estimate</t>
        </is>
      </c>
      <c r="AH63" s="22" t="inlineStr">
        <is>
          <t>27 Oct 2026</t>
        </is>
      </c>
      <c r="AI63" s="22" t="inlineStr">
        <is>
          <t>Pass</t>
        </is>
      </c>
      <c r="AJ63" s="22" t="inlineStr">
        <is>
          <t>AVM house value ($1,344,095) is under $1.5M cap. Not a sale median.</t>
        </is>
      </c>
    </row>
    <row r="64" ht="15.75" customHeight="1" s="15">
      <c r="A64" s="16" t="inlineStr">
        <is>
          <t>Mordialloc</t>
        </is>
      </c>
      <c r="B64" s="16" t="inlineStr">
        <is>
          <t>South / Coastal</t>
        </is>
      </c>
      <c r="C64" s="16" t="inlineStr">
        <is>
          <t>Watchlist</t>
        </is>
      </c>
      <c r="D64" s="16" t="inlineStr">
        <is>
          <t>Not assessed</t>
        </is>
      </c>
      <c r="E64" s="16" t="inlineStr">
        <is>
          <t>Not assessed</t>
        </is>
      </c>
      <c r="F64" s="16" t="inlineStr">
        <is>
          <t>Not assessed</t>
        </is>
      </c>
      <c r="G64" s="16" t="n">
        <v>1401241</v>
      </c>
      <c r="H64" s="16" t="inlineStr">
        <is>
          <t>AVM estimate (31 Aug 2026), NOT a verified sale median; unit $756,915 (OnTheHouse/Cotality)</t>
        </is>
      </c>
      <c r="I64" s="16">
        <f>G64*(1+Settings!$B$6)</f>
        <v/>
      </c>
      <c r="J64" s="22" t="n">
        <v>28</v>
      </c>
      <c r="K64" s="22" t="n">
        <v>14</v>
      </c>
      <c r="L64" s="16" t="inlineStr">
        <is>
          <t>Provisional pass</t>
        </is>
      </c>
      <c r="O64" s="22">
        <f>IF(K64="","",ROUND(MAX(0,10*(1-K64/Filters!$B$5)),1))</f>
        <v/>
      </c>
      <c r="W64" s="16">
        <f>IF(M64="",0,COUNT(M64:V64))</f>
        <v/>
      </c>
      <c r="X64" s="16">
        <f>IF(W64&lt;10,"",M64*ForcedChoiceCorrections!$B$6+N64*ForcedChoiceCorrections!$B$7+O64*ForcedChoiceCorrections!$B$8+P64*ForcedChoiceCorrections!$B$9+Q64*ForcedChoiceCorrections!$B$10+R64*ForcedChoiceCorrections!$B$11+S64*ForcedChoiceCorrections!$B$12+T64*ForcedChoiceCorrections!$B$13+U64*ForcedChoiceCorrections!$B$14+V64*ForcedChoiceCorrections!$B$15)</f>
        <v/>
      </c>
      <c r="Y64" s="16">
        <f>IF(AND(ISNUMBER(SEARCH("pass",L64)),ISNUMBER(X64)),COUNTIFS(L$2:L$90,"*pass*",X$2:X$90,"&gt;"&amp;X64)+1,"")</f>
        <v/>
      </c>
      <c r="Z64" s="16" t="inlineStr">
        <is>
          <t>Added 27 Oct 2026 from realestate.com.au collection "Parents." (Listings tab). Fit ratings (P/Y/lens) not yet assessed. ED: Alfred Health: Sandringham ED 24 hrs, 7 days. Monash Medical Centre Clayton 18 min.</t>
        </is>
      </c>
      <c r="AB64" s="22" t="inlineStr">
        <is>
          <t>Yes</t>
        </is>
      </c>
      <c r="AC64" s="22" t="inlineStr">
        <is>
          <t>Mordialloc station, Frankston line (recall; verify)</t>
        </is>
      </c>
      <c r="AD64" s="22" t="inlineStr">
        <is>
          <t>Sandringham Hospital ED (drive times: Google Maps leave-now 27 Oct 2026, suburb name not postcode, not peak)</t>
        </is>
      </c>
      <c r="AE64" s="22" t="n">
        <v>1500000</v>
      </c>
      <c r="AF64" s="22" t="inlineStr">
        <is>
          <t>Maximum purchase price, excluding transaction and moving costs</t>
        </is>
      </c>
      <c r="AG64" s="22" t="inlineStr">
        <is>
          <t>AVM estimate</t>
        </is>
      </c>
      <c r="AH64" s="22" t="inlineStr">
        <is>
          <t>27 Oct 2026</t>
        </is>
      </c>
      <c r="AI64" s="22" t="inlineStr">
        <is>
          <t>Pass</t>
        </is>
      </c>
      <c r="AJ64" s="22" t="inlineStr">
        <is>
          <t>AVM house value ($1,401,241) is under $1.5M cap. Not a sale median.</t>
        </is>
      </c>
    </row>
    <row r="65" ht="15.75" customHeight="1" s="15">
      <c r="A65" s="16" t="inlineStr">
        <is>
          <t>Newport</t>
        </is>
      </c>
      <c r="B65" s="16" t="inlineStr">
        <is>
          <t>West</t>
        </is>
      </c>
      <c r="C65" s="16" t="inlineStr">
        <is>
          <t>Watchlist</t>
        </is>
      </c>
      <c r="D65" s="16" t="inlineStr">
        <is>
          <t>Not assessed</t>
        </is>
      </c>
      <c r="E65" s="16" t="inlineStr">
        <is>
          <t>Not assessed</t>
        </is>
      </c>
      <c r="F65" s="16" t="inlineStr">
        <is>
          <t>Not assessed</t>
        </is>
      </c>
      <c r="G65" s="16" t="n">
        <v>1150951</v>
      </c>
      <c r="H65" s="16" t="inlineStr">
        <is>
          <t>AVM estimate (30 Sep 2026), NOT a verified sale median; unit $809,243 (OnTheHouse/Cotality)</t>
        </is>
      </c>
      <c r="I65" s="16">
        <f>G65*(1+Settings!$B$6)</f>
        <v/>
      </c>
      <c r="J65" s="22" t="n">
        <v>35</v>
      </c>
      <c r="K65" s="22" t="n">
        <v>14</v>
      </c>
      <c r="L65" s="16" t="inlineStr">
        <is>
          <t>Provisional pass</t>
        </is>
      </c>
      <c r="O65" s="22">
        <f>IF(K65="","",ROUND(MAX(0,10*(1-K65/Filters!$B$5)),1))</f>
        <v/>
      </c>
      <c r="W65" s="16">
        <f>IF(M65="",0,COUNT(M65:V65))</f>
        <v/>
      </c>
      <c r="X65" s="16">
        <f>IF(W65&lt;10,"",M65*ForcedChoiceCorrections!$B$6+N65*ForcedChoiceCorrections!$B$7+O65*ForcedChoiceCorrections!$B$8+P65*ForcedChoiceCorrections!$B$9+Q65*ForcedChoiceCorrections!$B$10+R65*ForcedChoiceCorrections!$B$11+S65*ForcedChoiceCorrections!$B$12+T65*ForcedChoiceCorrections!$B$13+U65*ForcedChoiceCorrections!$B$14+V65*ForcedChoiceCorrections!$B$15)</f>
        <v/>
      </c>
      <c r="Y65" s="16">
        <f>IF(AND(ISNUMBER(SEARCH("pass",L65)),ISNUMBER(X65)),COUNTIFS(L$2:L$90,"*pass*",X$2:X$90,"&gt;"&amp;X65)+1,"")</f>
        <v/>
      </c>
      <c r="Z65" s="16" t="inlineStr">
        <is>
          <t>Added 27 Oct 2026 from realestate.com.au collection "Parents." (Listings tab). Fit ratings (P/Y/lens) not yet assessed. ED: Matches Williamstown row; Williamstown Hospital not checked.</t>
        </is>
      </c>
      <c r="AB65" s="22" t="inlineStr">
        <is>
          <t>Yes</t>
        </is>
      </c>
      <c r="AC65" s="22" t="inlineStr">
        <is>
          <t>Newport station, Werribee/Williamstown lines (recall; verify)</t>
        </is>
      </c>
      <c r="AD65" s="22" t="inlineStr">
        <is>
          <t>Footscray Hospital ED (drive times: Google Maps leave-now 27 Oct 2026, suburb name not postcode, not peak)</t>
        </is>
      </c>
      <c r="AE65" s="22" t="n">
        <v>1500000</v>
      </c>
      <c r="AF65" s="22" t="inlineStr">
        <is>
          <t>Maximum purchase price, excluding transaction and moving costs</t>
        </is>
      </c>
      <c r="AG65" s="22" t="inlineStr">
        <is>
          <t>AVM estimate</t>
        </is>
      </c>
      <c r="AH65" s="22" t="inlineStr">
        <is>
          <t>27 Oct 2026</t>
        </is>
      </c>
      <c r="AI65" s="22" t="inlineStr">
        <is>
          <t>Pass</t>
        </is>
      </c>
      <c r="AJ65" s="22" t="inlineStr">
        <is>
          <t>AVM house value ($1,150,951) is under $1.5M cap. Not a sale median.</t>
        </is>
      </c>
    </row>
    <row r="66" ht="15.75" customHeight="1" s="15">
      <c r="A66" s="16" t="inlineStr">
        <is>
          <t>Arthurs Seat</t>
        </is>
      </c>
      <c r="B66" s="16" t="inlineStr">
        <is>
          <t>Mornington Peninsula</t>
        </is>
      </c>
      <c r="C66" s="16" t="inlineStr">
        <is>
          <t>Watchlist</t>
        </is>
      </c>
      <c r="D66" s="16" t="inlineStr">
        <is>
          <t>Not assessed</t>
        </is>
      </c>
      <c r="E66" s="16" t="inlineStr">
        <is>
          <t>Not assessed</t>
        </is>
      </c>
      <c r="F66" s="16" t="inlineStr">
        <is>
          <t>Not assessed</t>
        </is>
      </c>
      <c r="G66" s="16" t="n">
        <v>1430000</v>
      </c>
      <c r="H66" s="16" t="inlineStr">
        <is>
          <t>Sale median $1,430,000, latest 12 months, only 5 house sales (Microburbs; page says data updated Nov 2026, date unclear). WEAK evidence</t>
        </is>
      </c>
      <c r="I66" s="16">
        <f>G66*(1+Settings!$B$6)</f>
        <v/>
      </c>
      <c r="J66" s="22" t="n">
        <v>52</v>
      </c>
      <c r="K66" s="22" t="n">
        <v>13</v>
      </c>
      <c r="L66" s="16" t="inlineStr">
        <is>
          <t>Provisional pass</t>
        </is>
      </c>
      <c r="O66" s="22">
        <f>IF(K66="","",ROUND(MAX(0,10*(1-K66/Filters!$B$5)),1))</f>
        <v/>
      </c>
      <c r="W66" s="16">
        <f>IF(M66="",0,COUNT(M66:V66))</f>
        <v/>
      </c>
      <c r="X66" s="16">
        <f>IF(W66&lt;10,"",M66*ForcedChoiceCorrections!$B$6+N66*ForcedChoiceCorrections!$B$7+O66*ForcedChoiceCorrections!$B$8+P66*ForcedChoiceCorrections!$B$9+Q66*ForcedChoiceCorrections!$B$10+R66*ForcedChoiceCorrections!$B$11+S66*ForcedChoiceCorrections!$B$12+T66*ForcedChoiceCorrections!$B$13+U66*ForcedChoiceCorrections!$B$14+V66*ForcedChoiceCorrections!$B$15)</f>
        <v/>
      </c>
      <c r="Y66" s="16">
        <f>IF(AND(ISNUMBER(SEARCH("pass",L66)),ISNUMBER(X66)),COUNTIFS(L$2:L$90,"*pass*",X$2:X$90,"&gt;"&amp;X66)+1,"")</f>
        <v/>
      </c>
      <c r="Z66" s="16" t="inlineStr">
        <is>
          <t>Added 27 Oct 2026 from realestate.com.au collection "Parents." (Listings tab). Fit ratings (P/Y/lens) not yet assessed. ED: Peninsula University Hospital 30 min. Rosebud ED is 24/7 but treats less serious cases; serious cases transfer to Frankston (Peninsula Health).</t>
        </is>
      </c>
      <c r="AB66" s="22" t="inlineStr">
        <is>
          <t>No</t>
        </is>
      </c>
      <c r="AC66" s="22" t="inlineStr">
        <is>
          <t>No passenger rail on the Peninsula south of Frankston (recall; verify)</t>
        </is>
      </c>
      <c r="AD66" s="22" t="inlineStr">
        <is>
          <t>Rosebud Hospital ED (drive times: Google Maps leave-now 27 Oct 2026, suburb name not postcode, not peak)</t>
        </is>
      </c>
      <c r="AE66" s="22" t="n">
        <v>1500000</v>
      </c>
      <c r="AF66" s="22" t="inlineStr">
        <is>
          <t>Maximum purchase price, excluding transaction and moving costs</t>
        </is>
      </c>
      <c r="AG66" s="22" t="inlineStr">
        <is>
          <t>Suburb sale median (5 sales)</t>
        </is>
      </c>
      <c r="AH66" s="22" t="inlineStr">
        <is>
          <t>27 Oct 2026</t>
        </is>
      </c>
      <c r="AI66" s="22" t="inlineStr">
        <is>
          <t>Pass</t>
        </is>
      </c>
      <c r="AJ66" s="22" t="inlineStr">
        <is>
          <t>Sale median ($1,430,000) is under $1.5M cap, but based on only 5 sales. Treat as unreliable.</t>
        </is>
      </c>
    </row>
    <row r="67" ht="15.75" customHeight="1" s="15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str"/>
      <c r="L67" s="16" t="n"/>
      <c r="W67" s="16">
        <f>IF(M67="",0,COUNT(M67:V67))</f>
        <v/>
      </c>
      <c r="X67" s="16">
        <f>IF(W67&lt;10,"",M67*ForcedChoiceCorrections!$B$6+N67*ForcedChoiceCorrections!$B$7+O67*ForcedChoiceCorrections!$B$8+P67*ForcedChoiceCorrections!$B$9+Q67*ForcedChoiceCorrections!$B$10+R67*ForcedChoiceCorrections!$B$11+S67*ForcedChoiceCorrections!$B$12+T67*ForcedChoiceCorrections!$B$13+U67*ForcedChoiceCorrections!$B$14+V67*ForcedChoiceCorrections!$B$15)</f>
        <v/>
      </c>
      <c r="Y67" s="16">
        <f>IF(AND(ISNUMBER(SEARCH("pass",L67)),ISNUMBER(X67)),COUNTIFS(L$2:L$90,"*pass*",X$2:X$90,"&gt;"&amp;X67)+1,"")</f>
        <v/>
      </c>
      <c r="Z67" s="16" t="n"/>
    </row>
    <row r="68" ht="15.75" customHeight="1" s="15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str"/>
      <c r="L68" s="16" t="n"/>
      <c r="W68" s="16">
        <f>IF(M68="",0,COUNT(M68:V68))</f>
        <v/>
      </c>
      <c r="X68" s="16">
        <f>IF(W68&lt;10,"",M68*ForcedChoiceCorrections!$B$6+N68*ForcedChoiceCorrections!$B$7+O68*ForcedChoiceCorrections!$B$8+P68*ForcedChoiceCorrections!$B$9+Q68*ForcedChoiceCorrections!$B$10+R68*ForcedChoiceCorrections!$B$11+S68*ForcedChoiceCorrections!$B$12+T68*ForcedChoiceCorrections!$B$13+U68*ForcedChoiceCorrections!$B$14+V68*ForcedChoiceCorrections!$B$15)</f>
        <v/>
      </c>
      <c r="Y68" s="16">
        <f>IF(AND(ISNUMBER(SEARCH("pass",L68)),ISNUMBER(X68)),COUNTIFS(L$2:L$90,"*pass*",X$2:X$90,"&gt;"&amp;X68)+1,"")</f>
        <v/>
      </c>
      <c r="Z68" s="16" t="n"/>
    </row>
    <row r="69" ht="15.75" customHeight="1" s="15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str"/>
      <c r="L69" s="16" t="n"/>
      <c r="W69" s="16">
        <f>IF(M69="",0,COUNT(M69:V69))</f>
        <v/>
      </c>
      <c r="X69" s="16">
        <f>IF(W69&lt;10,"",M69*ForcedChoiceCorrections!$B$6+N69*ForcedChoiceCorrections!$B$7+O69*ForcedChoiceCorrections!$B$8+P69*ForcedChoiceCorrections!$B$9+Q69*ForcedChoiceCorrections!$B$10+R69*ForcedChoiceCorrections!$B$11+S69*ForcedChoiceCorrections!$B$12+T69*ForcedChoiceCorrections!$B$13+U69*ForcedChoiceCorrections!$B$14+V69*ForcedChoiceCorrections!$B$15)</f>
        <v/>
      </c>
      <c r="Y69" s="16">
        <f>IF(AND(ISNUMBER(SEARCH("pass",L69)),ISNUMBER(X69)),COUNTIFS(L$2:L$90,"*pass*",X$2:X$90,"&gt;"&amp;X69)+1,"")</f>
        <v/>
      </c>
      <c r="Z69" s="16" t="n"/>
    </row>
    <row r="70" ht="15.75" customHeight="1" s="15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str"/>
      <c r="L70" s="16" t="n"/>
      <c r="W70" s="16">
        <f>IF(M70="",0,COUNT(M70:V70))</f>
        <v/>
      </c>
      <c r="X70" s="16">
        <f>IF(W70&lt;10,"",M70*ForcedChoiceCorrections!$B$6+N70*ForcedChoiceCorrections!$B$7+O70*ForcedChoiceCorrections!$B$8+P70*ForcedChoiceCorrections!$B$9+Q70*ForcedChoiceCorrections!$B$10+R70*ForcedChoiceCorrections!$B$11+S70*ForcedChoiceCorrections!$B$12+T70*ForcedChoiceCorrections!$B$13+U70*ForcedChoiceCorrections!$B$14+V70*ForcedChoiceCorrections!$B$15)</f>
        <v/>
      </c>
      <c r="Y70" s="16">
        <f>IF(AND(ISNUMBER(SEARCH("pass",L70)),ISNUMBER(X70)),COUNTIFS(L$2:L$90,"*pass*",X$2:X$90,"&gt;"&amp;X70)+1,"")</f>
        <v/>
      </c>
      <c r="Z70" s="16" t="n"/>
    </row>
    <row r="71" ht="15.75" customHeight="1" s="15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str"/>
      <c r="L71" s="16" t="n"/>
      <c r="W71" s="16">
        <f>IF(M71="",0,COUNT(M71:V71))</f>
        <v/>
      </c>
      <c r="X71" s="16">
        <f>IF(W71&lt;10,"",M71*ForcedChoiceCorrections!$B$6+N71*ForcedChoiceCorrections!$B$7+O71*ForcedChoiceCorrections!$B$8+P71*ForcedChoiceCorrections!$B$9+Q71*ForcedChoiceCorrections!$B$10+R71*ForcedChoiceCorrections!$B$11+S71*ForcedChoiceCorrections!$B$12+T71*ForcedChoiceCorrections!$B$13+U71*ForcedChoiceCorrections!$B$14+V71*ForcedChoiceCorrections!$B$15)</f>
        <v/>
      </c>
      <c r="Y71" s="16">
        <f>IF(AND(ISNUMBER(SEARCH("pass",L71)),ISNUMBER(X71)),COUNTIFS(L$2:L$90,"*pass*",X$2:X$90,"&gt;"&amp;X71)+1,"")</f>
        <v/>
      </c>
      <c r="Z71" s="16" t="n"/>
    </row>
    <row r="72" ht="15.75" customHeight="1" s="15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str"/>
      <c r="L72" s="16" t="n"/>
      <c r="W72" s="16">
        <f>IF(M72="",0,COUNT(M72:V72))</f>
        <v/>
      </c>
      <c r="X72" s="16">
        <f>IF(W72&lt;10,"",M72*ForcedChoiceCorrections!$B$6+N72*ForcedChoiceCorrections!$B$7+O72*ForcedChoiceCorrections!$B$8+P72*ForcedChoiceCorrections!$B$9+Q72*ForcedChoiceCorrections!$B$10+R72*ForcedChoiceCorrections!$B$11+S72*ForcedChoiceCorrections!$B$12+T72*ForcedChoiceCorrections!$B$13+U72*ForcedChoiceCorrections!$B$14+V72*ForcedChoiceCorrections!$B$15)</f>
        <v/>
      </c>
      <c r="Y72" s="16">
        <f>IF(AND(ISNUMBER(SEARCH("pass",L72)),ISNUMBER(X72)),COUNTIFS(L$2:L$90,"*pass*",X$2:X$90,"&gt;"&amp;X72)+1,"")</f>
        <v/>
      </c>
      <c r="Z72" s="16" t="n"/>
    </row>
    <row r="73" ht="15.75" customHeight="1" s="15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str"/>
      <c r="L73" s="16" t="n"/>
      <c r="W73" s="16">
        <f>IF(M73="",0,COUNT(M73:V73))</f>
        <v/>
      </c>
      <c r="X73" s="16">
        <f>IF(W73&lt;10,"",M73*ForcedChoiceCorrections!$B$6+N73*ForcedChoiceCorrections!$B$7+O73*ForcedChoiceCorrections!$B$8+P73*ForcedChoiceCorrections!$B$9+Q73*ForcedChoiceCorrections!$B$10+R73*ForcedChoiceCorrections!$B$11+S73*ForcedChoiceCorrections!$B$12+T73*ForcedChoiceCorrections!$B$13+U73*ForcedChoiceCorrections!$B$14+V73*ForcedChoiceCorrections!$B$15)</f>
        <v/>
      </c>
      <c r="Y73" s="16">
        <f>IF(AND(ISNUMBER(SEARCH("pass",L73)),ISNUMBER(X73)),COUNTIFS(L$2:L$90,"*pass*",X$2:X$90,"&gt;"&amp;X73)+1,"")</f>
        <v/>
      </c>
      <c r="Z73" s="16" t="n"/>
    </row>
    <row r="74" ht="15.75" customHeight="1" s="15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str"/>
      <c r="L74" s="16" t="n"/>
      <c r="W74" s="16">
        <f>IF(M74="",0,COUNT(M74:V74))</f>
        <v/>
      </c>
      <c r="X74" s="16">
        <f>IF(W74&lt;10,"",M74*ForcedChoiceCorrections!$B$6+N74*ForcedChoiceCorrections!$B$7+O74*ForcedChoiceCorrections!$B$8+P74*ForcedChoiceCorrections!$B$9+Q74*ForcedChoiceCorrections!$B$10+R74*ForcedChoiceCorrections!$B$11+S74*ForcedChoiceCorrections!$B$12+T74*ForcedChoiceCorrections!$B$13+U74*ForcedChoiceCorrections!$B$14+V74*ForcedChoiceCorrections!$B$15)</f>
        <v/>
      </c>
      <c r="Y74" s="16">
        <f>IF(AND(ISNUMBER(SEARCH("pass",L74)),ISNUMBER(X74)),COUNTIFS(L$2:L$90,"*pass*",X$2:X$90,"&gt;"&amp;X74)+1,"")</f>
        <v/>
      </c>
      <c r="Z74" s="16" t="n"/>
    </row>
    <row r="75" ht="15.75" customHeight="1" s="1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str"/>
      <c r="L75" s="16" t="n"/>
      <c r="W75" s="16">
        <f>IF(M75="",0,COUNT(M75:V75))</f>
        <v/>
      </c>
      <c r="X75" s="16">
        <f>IF(W75&lt;10,"",M75*ForcedChoiceCorrections!$B$6+N75*ForcedChoiceCorrections!$B$7+O75*ForcedChoiceCorrections!$B$8+P75*ForcedChoiceCorrections!$B$9+Q75*ForcedChoiceCorrections!$B$10+R75*ForcedChoiceCorrections!$B$11+S75*ForcedChoiceCorrections!$B$12+T75*ForcedChoiceCorrections!$B$13+U75*ForcedChoiceCorrections!$B$14+V75*ForcedChoiceCorrections!$B$15)</f>
        <v/>
      </c>
      <c r="Y75" s="16">
        <f>IF(AND(ISNUMBER(SEARCH("pass",L75)),ISNUMBER(X75)),COUNTIFS(L$2:L$90,"*pass*",X$2:X$90,"&gt;"&amp;X75)+1,"")</f>
        <v/>
      </c>
      <c r="Z75" s="16" t="n"/>
    </row>
    <row r="76" ht="15.75" customHeight="1" s="15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str"/>
      <c r="L76" s="16" t="n"/>
      <c r="W76" s="16">
        <f>IF(M76="",0,COUNT(M76:V76))</f>
        <v/>
      </c>
      <c r="X76" s="16">
        <f>IF(W76&lt;10,"",M76*ForcedChoiceCorrections!$B$6+N76*ForcedChoiceCorrections!$B$7+O76*ForcedChoiceCorrections!$B$8+P76*ForcedChoiceCorrections!$B$9+Q76*ForcedChoiceCorrections!$B$10+R76*ForcedChoiceCorrections!$B$11+S76*ForcedChoiceCorrections!$B$12+T76*ForcedChoiceCorrections!$B$13+U76*ForcedChoiceCorrections!$B$14+V76*ForcedChoiceCorrections!$B$15)</f>
        <v/>
      </c>
      <c r="Y76" s="16">
        <f>IF(AND(ISNUMBER(SEARCH("pass",L76)),ISNUMBER(X76)),COUNTIFS(L$2:L$90,"*pass*",X$2:X$90,"&gt;"&amp;X76)+1,"")</f>
        <v/>
      </c>
      <c r="Z76" s="16" t="n"/>
    </row>
    <row r="77" ht="15.75" customHeight="1" s="15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str"/>
      <c r="L77" s="16" t="n"/>
      <c r="W77" s="16">
        <f>IF(M77="",0,COUNT(M77:V77))</f>
        <v/>
      </c>
      <c r="X77" s="16">
        <f>IF(W77&lt;10,"",M77*ForcedChoiceCorrections!$B$6+N77*ForcedChoiceCorrections!$B$7+O77*ForcedChoiceCorrections!$B$8+P77*ForcedChoiceCorrections!$B$9+Q77*ForcedChoiceCorrections!$B$10+R77*ForcedChoiceCorrections!$B$11+S77*ForcedChoiceCorrections!$B$12+T77*ForcedChoiceCorrections!$B$13+U77*ForcedChoiceCorrections!$B$14+V77*ForcedChoiceCorrections!$B$15)</f>
        <v/>
      </c>
      <c r="Y77" s="16">
        <f>IF(AND(ISNUMBER(SEARCH("pass",L77)),ISNUMBER(X77)),COUNTIFS(L$2:L$90,"*pass*",X$2:X$90,"&gt;"&amp;X77)+1,"")</f>
        <v/>
      </c>
      <c r="Z77" s="16" t="n"/>
    </row>
    <row r="78" ht="15.75" customHeight="1" s="15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str"/>
      <c r="L78" s="16" t="n"/>
      <c r="W78" s="16">
        <f>IF(M78="",0,COUNT(M78:V78))</f>
        <v/>
      </c>
      <c r="X78" s="16">
        <f>IF(W78&lt;10,"",M78*ForcedChoiceCorrections!$B$6+N78*ForcedChoiceCorrections!$B$7+O78*ForcedChoiceCorrections!$B$8+P78*ForcedChoiceCorrections!$B$9+Q78*ForcedChoiceCorrections!$B$10+R78*ForcedChoiceCorrections!$B$11+S78*ForcedChoiceCorrections!$B$12+T78*ForcedChoiceCorrections!$B$13+U78*ForcedChoiceCorrections!$B$14+V78*ForcedChoiceCorrections!$B$15)</f>
        <v/>
      </c>
      <c r="Y78" s="16">
        <f>IF(AND(ISNUMBER(SEARCH("pass",L78)),ISNUMBER(X78)),COUNTIFS(L$2:L$90,"*pass*",X$2:X$90,"&gt;"&amp;X78)+1,"")</f>
        <v/>
      </c>
      <c r="Z78" s="16" t="n"/>
    </row>
    <row r="79" ht="15.75" customHeight="1" s="15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str"/>
      <c r="L79" s="16" t="n"/>
      <c r="W79" s="16">
        <f>IF(M79="",0,COUNT(M79:V79))</f>
        <v/>
      </c>
      <c r="X79" s="16">
        <f>IF(W79&lt;10,"",M79*ForcedChoiceCorrections!$B$6+N79*ForcedChoiceCorrections!$B$7+O79*ForcedChoiceCorrections!$B$8+P79*ForcedChoiceCorrections!$B$9+Q79*ForcedChoiceCorrections!$B$10+R79*ForcedChoiceCorrections!$B$11+S79*ForcedChoiceCorrections!$B$12+T79*ForcedChoiceCorrections!$B$13+U79*ForcedChoiceCorrections!$B$14+V79*ForcedChoiceCorrections!$B$15)</f>
        <v/>
      </c>
      <c r="Y79" s="16">
        <f>IF(AND(ISNUMBER(SEARCH("pass",L79)),ISNUMBER(X79)),COUNTIFS(L$2:L$90,"*pass*",X$2:X$90,"&gt;"&amp;X79)+1,"")</f>
        <v/>
      </c>
      <c r="Z79" s="16" t="n"/>
    </row>
    <row r="80" ht="15.75" customHeight="1" s="15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str"/>
      <c r="L80" s="16" t="n"/>
      <c r="W80" s="16">
        <f>IF(M80="",0,COUNT(M80:V80))</f>
        <v/>
      </c>
      <c r="X80" s="16">
        <f>IF(W80&lt;10,"",M80*ForcedChoiceCorrections!$B$6+N80*ForcedChoiceCorrections!$B$7+O80*ForcedChoiceCorrections!$B$8+P80*ForcedChoiceCorrections!$B$9+Q80*ForcedChoiceCorrections!$B$10+R80*ForcedChoiceCorrections!$B$11+S80*ForcedChoiceCorrections!$B$12+T80*ForcedChoiceCorrections!$B$13+U80*ForcedChoiceCorrections!$B$14+V80*ForcedChoiceCorrections!$B$15)</f>
        <v/>
      </c>
      <c r="Y80" s="16">
        <f>IF(AND(ISNUMBER(SEARCH("pass",L80)),ISNUMBER(X80)),COUNTIFS(L$2:L$90,"*pass*",X$2:X$90,"&gt;"&amp;X80)+1,"")</f>
        <v/>
      </c>
      <c r="Z80" s="16" t="n"/>
    </row>
    <row r="81" ht="15.75" customHeight="1" s="15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str"/>
      <c r="L81" s="16" t="n"/>
      <c r="W81" s="16">
        <f>IF(M81="",0,COUNT(M81:V81))</f>
        <v/>
      </c>
      <c r="X81" s="16">
        <f>IF(W81&lt;10,"",M81*ForcedChoiceCorrections!$B$6+N81*ForcedChoiceCorrections!$B$7+O81*ForcedChoiceCorrections!$B$8+P81*ForcedChoiceCorrections!$B$9+Q81*ForcedChoiceCorrections!$B$10+R81*ForcedChoiceCorrections!$B$11+S81*ForcedChoiceCorrections!$B$12+T81*ForcedChoiceCorrections!$B$13+U81*ForcedChoiceCorrections!$B$14+V81*ForcedChoiceCorrections!$B$15)</f>
        <v/>
      </c>
      <c r="Y81" s="16">
        <f>IF(AND(ISNUMBER(SEARCH("pass",L81)),ISNUMBER(X81)),COUNTIFS(L$2:L$90,"*pass*",X$2:X$90,"&gt;"&amp;X81)+1,"")</f>
        <v/>
      </c>
      <c r="Z81" s="16" t="n"/>
    </row>
    <row r="82" ht="15.75" customHeight="1" s="15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str"/>
      <c r="L82" s="16" t="n"/>
      <c r="W82" s="16">
        <f>IF(M82="",0,COUNT(M82:V82))</f>
        <v/>
      </c>
      <c r="X82" s="16">
        <f>IF(W82&lt;10,"",M82*ForcedChoiceCorrections!$B$6+N82*ForcedChoiceCorrections!$B$7+O82*ForcedChoiceCorrections!$B$8+P82*ForcedChoiceCorrections!$B$9+Q82*ForcedChoiceCorrections!$B$10+R82*ForcedChoiceCorrections!$B$11+S82*ForcedChoiceCorrections!$B$12+T82*ForcedChoiceCorrections!$B$13+U82*ForcedChoiceCorrections!$B$14+V82*ForcedChoiceCorrections!$B$15)</f>
        <v/>
      </c>
      <c r="Y82" s="16">
        <f>IF(AND(ISNUMBER(SEARCH("pass",L82)),ISNUMBER(X82)),COUNTIFS(L$2:L$90,"*pass*",X$2:X$90,"&gt;"&amp;X82)+1,"")</f>
        <v/>
      </c>
      <c r="Z82" s="16" t="n"/>
    </row>
    <row r="83" ht="15.75" customHeight="1" s="15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str"/>
      <c r="L83" s="16" t="n"/>
      <c r="W83" s="16">
        <f>IF(M83="",0,COUNT(M83:V83))</f>
        <v/>
      </c>
      <c r="X83" s="16">
        <f>IF(W83&lt;10,"",M83*ForcedChoiceCorrections!$B$6+N83*ForcedChoiceCorrections!$B$7+O83*ForcedChoiceCorrections!$B$8+P83*ForcedChoiceCorrections!$B$9+Q83*ForcedChoiceCorrections!$B$10+R83*ForcedChoiceCorrections!$B$11+S83*ForcedChoiceCorrections!$B$12+T83*ForcedChoiceCorrections!$B$13+U83*ForcedChoiceCorrections!$B$14+V83*ForcedChoiceCorrections!$B$15)</f>
        <v/>
      </c>
      <c r="Y83" s="16">
        <f>IF(AND(ISNUMBER(SEARCH("pass",L83)),ISNUMBER(X83)),COUNTIFS(L$2:L$90,"*pass*",X$2:X$90,"&gt;"&amp;X83)+1,"")</f>
        <v/>
      </c>
      <c r="Z83" s="16" t="n"/>
    </row>
    <row r="84" ht="15.75" customHeight="1" s="15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str"/>
      <c r="L84" s="16" t="n"/>
      <c r="W84" s="16">
        <f>IF(M84="",0,COUNT(M84:V84))</f>
        <v/>
      </c>
      <c r="X84" s="16">
        <f>IF(W84&lt;10,"",M84*ForcedChoiceCorrections!$B$6+N84*ForcedChoiceCorrections!$B$7+O84*ForcedChoiceCorrections!$B$8+P84*ForcedChoiceCorrections!$B$9+Q84*ForcedChoiceCorrections!$B$10+R84*ForcedChoiceCorrections!$B$11+S84*ForcedChoiceCorrections!$B$12+T84*ForcedChoiceCorrections!$B$13+U84*ForcedChoiceCorrections!$B$14+V84*ForcedChoiceCorrections!$B$15)</f>
        <v/>
      </c>
      <c r="Y84" s="16">
        <f>IF(AND(ISNUMBER(SEARCH("pass",L84)),ISNUMBER(X84)),COUNTIFS(L$2:L$90,"*pass*",X$2:X$90,"&gt;"&amp;X84)+1,"")</f>
        <v/>
      </c>
      <c r="Z84" s="16" t="n"/>
    </row>
    <row r="85" ht="15.75" customHeight="1" s="15">
      <c r="A85" s="16" t="n"/>
      <c r="B85" s="16" t="n"/>
      <c r="C85" s="16" t="n"/>
      <c r="D85" s="16" t="n"/>
      <c r="E85" s="16" t="n"/>
      <c r="F85" s="16" t="n"/>
      <c r="G85" s="16" t="n"/>
      <c r="H85" s="16" t="n"/>
      <c r="I85" s="16" t="str"/>
      <c r="L85" s="16" t="n"/>
      <c r="W85" s="16">
        <f>IF(M85="",0,COUNT(M85:V85))</f>
        <v/>
      </c>
      <c r="X85" s="16">
        <f>IF(W85&lt;10,"",M85*ForcedChoiceCorrections!$B$6+N85*ForcedChoiceCorrections!$B$7+O85*ForcedChoiceCorrections!$B$8+P85*ForcedChoiceCorrections!$B$9+Q85*ForcedChoiceCorrections!$B$10+R85*ForcedChoiceCorrections!$B$11+S85*ForcedChoiceCorrections!$B$12+T85*ForcedChoiceCorrections!$B$13+U85*ForcedChoiceCorrections!$B$14+V85*ForcedChoiceCorrections!$B$15)</f>
        <v/>
      </c>
      <c r="Y85" s="16">
        <f>IF(AND(ISNUMBER(SEARCH("pass",L85)),ISNUMBER(X85)),COUNTIFS(L$2:L$90,"*pass*",X$2:X$90,"&gt;"&amp;X85)+1,"")</f>
        <v/>
      </c>
      <c r="Z85" s="16" t="n"/>
    </row>
    <row r="86" ht="15.75" customHeight="1" s="15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str"/>
      <c r="L86" s="16" t="n"/>
      <c r="W86" s="16">
        <f>IF(M86="",0,COUNT(M86:V86))</f>
        <v/>
      </c>
      <c r="X86" s="16">
        <f>IF(W86&lt;10,"",M86*ForcedChoiceCorrections!$B$6+N86*ForcedChoiceCorrections!$B$7+O86*ForcedChoiceCorrections!$B$8+P86*ForcedChoiceCorrections!$B$9+Q86*ForcedChoiceCorrections!$B$10+R86*ForcedChoiceCorrections!$B$11+S86*ForcedChoiceCorrections!$B$12+T86*ForcedChoiceCorrections!$B$13+U86*ForcedChoiceCorrections!$B$14+V86*ForcedChoiceCorrections!$B$15)</f>
        <v/>
      </c>
      <c r="Y86" s="16">
        <f>IF(AND(ISNUMBER(SEARCH("pass",L86)),ISNUMBER(X86)),COUNTIFS(L$2:L$90,"*pass*",X$2:X$90,"&gt;"&amp;X86)+1,"")</f>
        <v/>
      </c>
      <c r="Z86" s="16" t="n"/>
    </row>
    <row r="87" ht="15.75" customHeight="1" s="15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str"/>
      <c r="L87" s="16" t="n"/>
      <c r="W87" s="16">
        <f>IF(M87="",0,COUNT(M87:V87))</f>
        <v/>
      </c>
      <c r="X87" s="16">
        <f>IF(W87&lt;10,"",M87*ForcedChoiceCorrections!$B$6+N87*ForcedChoiceCorrections!$B$7+O87*ForcedChoiceCorrections!$B$8+P87*ForcedChoiceCorrections!$B$9+Q87*ForcedChoiceCorrections!$B$10+R87*ForcedChoiceCorrections!$B$11+S87*ForcedChoiceCorrections!$B$12+T87*ForcedChoiceCorrections!$B$13+U87*ForcedChoiceCorrections!$B$14+V87*ForcedChoiceCorrections!$B$15)</f>
        <v/>
      </c>
      <c r="Y87" s="16">
        <f>IF(AND(ISNUMBER(SEARCH("pass",L87)),ISNUMBER(X87)),COUNTIFS(L$2:L$90,"*pass*",X$2:X$90,"&gt;"&amp;X87)+1,"")</f>
        <v/>
      </c>
      <c r="Z87" s="16" t="n"/>
    </row>
    <row r="88" ht="15.75" customHeight="1" s="15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str"/>
      <c r="L88" s="16" t="n"/>
      <c r="W88" s="16">
        <f>IF(M88="",0,COUNT(M88:V88))</f>
        <v/>
      </c>
      <c r="X88" s="16">
        <f>IF(W88&lt;10,"",M88*ForcedChoiceCorrections!$B$6+N88*ForcedChoiceCorrections!$B$7+O88*ForcedChoiceCorrections!$B$8+P88*ForcedChoiceCorrections!$B$9+Q88*ForcedChoiceCorrections!$B$10+R88*ForcedChoiceCorrections!$B$11+S88*ForcedChoiceCorrections!$B$12+T88*ForcedChoiceCorrections!$B$13+U88*ForcedChoiceCorrections!$B$14+V88*ForcedChoiceCorrections!$B$15)</f>
        <v/>
      </c>
      <c r="Y88" s="16">
        <f>IF(AND(ISNUMBER(SEARCH("pass",L88)),ISNUMBER(X88)),COUNTIFS(L$2:L$90,"*pass*",X$2:X$90,"&gt;"&amp;X88)+1,"")</f>
        <v/>
      </c>
      <c r="Z88" s="16" t="n"/>
    </row>
    <row r="89" ht="15.75" customHeight="1" s="15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str"/>
      <c r="L89" s="16" t="n"/>
      <c r="W89" s="16">
        <f>IF(M89="",0,COUNT(M89:V89))</f>
        <v/>
      </c>
      <c r="X89" s="16">
        <f>IF(W89&lt;10,"",M89*ForcedChoiceCorrections!$B$6+N89*ForcedChoiceCorrections!$B$7+O89*ForcedChoiceCorrections!$B$8+P89*ForcedChoiceCorrections!$B$9+Q89*ForcedChoiceCorrections!$B$10+R89*ForcedChoiceCorrections!$B$11+S89*ForcedChoiceCorrections!$B$12+T89*ForcedChoiceCorrections!$B$13+U89*ForcedChoiceCorrections!$B$14+V89*ForcedChoiceCorrections!$B$15)</f>
        <v/>
      </c>
      <c r="Y89" s="16">
        <f>IF(AND(ISNUMBER(SEARCH("pass",L89)),ISNUMBER(X89)),COUNTIFS(L$2:L$90,"*pass*",X$2:X$90,"&gt;"&amp;X89)+1,"")</f>
        <v/>
      </c>
      <c r="Z89" s="16" t="n"/>
    </row>
    <row r="90" ht="15.75" customHeight="1" s="15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str"/>
      <c r="L90" s="16" t="n"/>
      <c r="W90" s="16">
        <f>IF(M90="",0,COUNT(M90:V90))</f>
        <v/>
      </c>
      <c r="X90" s="16">
        <f>IF(W90&lt;10,"",M90*ForcedChoiceCorrections!$B$6+N90*ForcedChoiceCorrections!$B$7+O90*ForcedChoiceCorrections!$B$8+P90*ForcedChoiceCorrections!$B$9+Q90*ForcedChoiceCorrections!$B$10+R90*ForcedChoiceCorrections!$B$11+S90*ForcedChoiceCorrections!$B$12+T90*ForcedChoiceCorrections!$B$13+U90*ForcedChoiceCorrections!$B$14+V90*ForcedChoiceCorrections!$B$15)</f>
        <v/>
      </c>
      <c r="Y90" s="16">
        <f>IF(AND(ISNUMBER(SEARCH("pass",L90)),ISNUMBER(X90)),COUNTIFS(L$2:L$90,"*pass*",X$2:X$90,"&gt;"&amp;X90)+1,"")</f>
        <v/>
      </c>
      <c r="Z90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W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22" min="1" max="1"/>
    <col width="26" customWidth="1" style="22" min="2" max="2"/>
    <col width="16" customWidth="1" style="22" min="3" max="3"/>
    <col width="30" customWidth="1" style="22" min="4" max="4"/>
    <col width="12" customWidth="1" style="22" min="5" max="6"/>
    <col width="15" customWidth="1" style="22" min="7" max="7"/>
    <col width="6" customWidth="1" style="22" min="8" max="10"/>
    <col width="9" customWidth="1" style="22" min="11" max="11"/>
    <col width="12" customWidth="1" style="22" min="12" max="12"/>
    <col width="20" customWidth="1" style="22" min="13" max="13"/>
    <col width="17" customWidth="1" style="22" min="14" max="14"/>
    <col width="16" customWidth="1" style="22" min="15" max="15"/>
    <col width="18" customWidth="1" style="22" min="16" max="16"/>
    <col width="10" customWidth="1" style="22" min="17" max="19"/>
    <col width="24" customWidth="1" style="22" min="20" max="20"/>
    <col width="50" customWidth="1" style="22" min="21" max="21"/>
    <col width="60" customWidth="1" style="15" min="22" max="22"/>
    <col width="60" customWidth="1" style="22" min="23" max="23"/>
  </cols>
  <sheetData>
    <row r="1" ht="79.84999999999999" customHeight="1" s="15">
      <c r="A1" s="25" t="inlineStr">
        <is>
          <t>#</t>
        </is>
      </c>
      <c r="B1" s="25" t="inlineStr">
        <is>
          <t>Address</t>
        </is>
      </c>
      <c r="C1" s="25" t="inlineStr">
        <is>
          <t>Suburb</t>
        </is>
      </c>
      <c r="D1" s="25" t="inlineStr">
        <is>
          <t>Price guide (as listed)</t>
        </is>
      </c>
      <c r="E1" s="25" t="inlineStr">
        <is>
          <t>Guide low ($)</t>
        </is>
      </c>
      <c r="F1" s="25" t="inlineStr">
        <is>
          <t>Guide high ($)</t>
        </is>
      </c>
      <c r="G1" s="25" t="inlineStr">
        <is>
          <t>Budget check (vs Filters!B2)</t>
        </is>
      </c>
      <c r="H1" s="25" t="inlineStr">
        <is>
          <t>Beds</t>
        </is>
      </c>
      <c r="I1" s="25" t="inlineStr">
        <is>
          <t>Baths</t>
        </is>
      </c>
      <c r="J1" s="25" t="inlineStr">
        <is>
          <t>Cars</t>
        </is>
      </c>
      <c r="K1" s="25" t="inlineStr">
        <is>
          <t>Land (m²)</t>
        </is>
      </c>
      <c r="L1" s="25" t="inlineStr">
        <is>
          <t>Listing status</t>
        </is>
      </c>
      <c r="M1" s="25" t="inlineStr">
        <is>
          <t>Next inspection (as of 27 Oct)</t>
        </is>
      </c>
      <c r="N1" s="25" t="inlineStr">
        <is>
          <t>Agent</t>
        </is>
      </c>
      <c r="O1" s="25" t="inlineStr">
        <is>
          <t>Scorecard suburb (lookup key)</t>
        </is>
      </c>
      <c r="P1" s="25" t="inlineStr">
        <is>
          <t>Scorecard shortlist status</t>
        </is>
      </c>
      <c r="Q1" s="25" t="inlineStr">
        <is>
          <t>Drive to GW (min, suburb)</t>
        </is>
      </c>
      <c r="R1" s="25" t="inlineStr">
        <is>
          <t>Drive to ED (min, suburb)</t>
        </is>
      </c>
      <c r="S1" s="25" t="inlineStr">
        <is>
          <t>Train (suburb)</t>
        </is>
      </c>
      <c r="T1" s="25" t="inlineStr">
        <is>
          <t>Overall check</t>
        </is>
      </c>
      <c r="U1" s="25" t="inlineStr">
        <is>
          <t>Notes</t>
        </is>
      </c>
      <c r="V1" s="30" t="inlineStr">
        <is>
          <t>Listing URL (realestate.com.au)</t>
        </is>
      </c>
      <c r="W1" s="26" t="inlineStr">
        <is>
          <t>Source: realestate.com.au collection 'Parents.', read from browser 27 Oct 2026 (copied from the Google Sheet version of this tab). A–F, H–O, U are pasted values; G and P–T are formulas. Prices are agent guides (purchase price, before costs), compared with Filters!B2 purchase cap. Drive times and train are suburb-level from SuburbScorecard, not per address. Inspection times go stale after 31 Oct. Refresh = re-read the collection and overwrite pasted columns only.</t>
        </is>
      </c>
    </row>
    <row r="2" ht="15" customHeight="1" s="15">
      <c r="A2" s="22" t="n">
        <v>1</v>
      </c>
      <c r="B2" s="31" t="inlineStr">
        <is>
          <t>6 Beales Street</t>
        </is>
      </c>
      <c r="C2" s="22" t="inlineStr">
        <is>
          <t>Torquay</t>
        </is>
      </c>
      <c r="D2" s="22" t="inlineStr">
        <is>
          <t>$1,475,000-$1,575,000</t>
        </is>
      </c>
      <c r="E2" s="24" t="n">
        <v>1475000</v>
      </c>
      <c r="F2" s="24" t="n">
        <v>1575000</v>
      </c>
      <c r="G2" s="22">
        <f>IF(E2="","Needs data",IF(F2&lt;=Filters!$B$2,"Within cap",IF(E2&lt;=Filters!$B$2,"Straddles cap","Over cap")))</f>
        <v/>
      </c>
      <c r="H2" s="22" t="n">
        <v>4</v>
      </c>
      <c r="I2" s="22" t="n">
        <v>2</v>
      </c>
      <c r="J2" s="22" t="n">
        <v>2</v>
      </c>
      <c r="K2" s="22" t="n">
        <v>411</v>
      </c>
      <c r="L2" s="22" t="inlineStr">
        <is>
          <t>Active</t>
        </is>
      </c>
      <c r="M2" s="22" t="inlineStr">
        <is>
          <t>Tue 27 Oct 5:00pm</t>
        </is>
      </c>
      <c r="N2" s="22" t="inlineStr">
        <is>
          <t>Chris Henson</t>
        </is>
      </c>
      <c r="O2" s="22" t="inlineStr">
        <is>
          <t>Torquay</t>
        </is>
      </c>
      <c r="P2" s="22">
        <f>IFERROR(INDEX(SuburbScorecard!$C:$C,MATCH($O2,SuburbScorecard!$A:$A,0)),"Not on scorecard")</f>
        <v/>
      </c>
      <c r="Q2" s="22">
        <f>IFERROR(IF(INDEX(SuburbScorecard!$J:$J,MATCH($O2,SuburbScorecard!$A:$A,0))="","",INDEX(SuburbScorecard!$J:$J,MATCH($O2,SuburbScorecard!$A:$A,0))),"")</f>
        <v/>
      </c>
      <c r="R2" s="22">
        <f>IFERROR(IF(INDEX(SuburbScorecard!$K:$K,MATCH($O2,SuburbScorecard!$A:$A,0))="","",INDEX(SuburbScorecard!$K:$K,MATCH($O2,SuburbScorecard!$A:$A,0))),"")</f>
        <v/>
      </c>
      <c r="S2" s="22">
        <f>IFERROR(IF(INDEX(SuburbScorecard!$AB:$AB,MATCH($O2,SuburbScorecard!$A:$A,0))="","Needs data",INDEX(SuburbScorecard!$AB:$AB,MATCH($O2,SuburbScorecard!$A:$A,0))),"Needs data")</f>
        <v/>
      </c>
      <c r="T2" s="22">
        <f>IF(L2="Under offer","Under offer",IF(G2="Over cap","Fails: budget",IF(NOT(AND(ISNUMBER(Q2),ISNUMBER(R2))),"Needs data",IF(Q2&gt;Filters!$B$4,"Fails: GW drive",IF(R2&gt;Filters!$B$5,"Fails: ED drive",IF(G2="Straddles cap","Pass if bought near low end","Pass"))))))</f>
        <v/>
      </c>
      <c r="V2" s="22" t="inlineStr">
        <is>
          <t>https://www.realestate.com.au/property-house-vic-torquay-152666740</t>
        </is>
      </c>
    </row>
    <row r="3" ht="15" customHeight="1" s="15">
      <c r="A3" s="22" t="n">
        <v>2</v>
      </c>
      <c r="B3" s="31" t="inlineStr">
        <is>
          <t>1/1 Bruce Street</t>
        </is>
      </c>
      <c r="C3" s="22" t="inlineStr">
        <is>
          <t>West Footscray</t>
        </is>
      </c>
      <c r="D3" s="22" t="inlineStr">
        <is>
          <t>$1,200,000-$1,300,000</t>
        </is>
      </c>
      <c r="E3" s="24" t="n">
        <v>1200000</v>
      </c>
      <c r="F3" s="24" t="n">
        <v>1300000</v>
      </c>
      <c r="G3" s="22">
        <f>IF(E3="","Needs data",IF(F3&lt;=Filters!$B$2,"Within cap",IF(E3&lt;=Filters!$B$2,"Straddles cap","Over cap")))</f>
        <v/>
      </c>
      <c r="H3" s="22" t="n">
        <v>3</v>
      </c>
      <c r="I3" s="22" t="n">
        <v>2</v>
      </c>
      <c r="J3" s="22" t="n">
        <v>2</v>
      </c>
      <c r="L3" s="22" t="inlineStr">
        <is>
          <t>Active</t>
        </is>
      </c>
      <c r="M3" s="22" t="inlineStr">
        <is>
          <t>Thu 29 Oct 5:15pm</t>
        </is>
      </c>
      <c r="N3" s="22" t="inlineStr">
        <is>
          <t>Huss Saad</t>
        </is>
      </c>
      <c r="O3" s="22" t="inlineStr">
        <is>
          <t>West Footscray</t>
        </is>
      </c>
      <c r="P3" s="22">
        <f>IFERROR(INDEX(SuburbScorecard!$C:$C,MATCH($O3,SuburbScorecard!$A:$A,0)),"Not on scorecard")</f>
        <v/>
      </c>
      <c r="Q3" s="22">
        <f>IFERROR(IF(INDEX(SuburbScorecard!$J:$J,MATCH($O3,SuburbScorecard!$A:$A,0))="","",INDEX(SuburbScorecard!$J:$J,MATCH($O3,SuburbScorecard!$A:$A,0))),"")</f>
        <v/>
      </c>
      <c r="R3" s="22">
        <f>IFERROR(IF(INDEX(SuburbScorecard!$K:$K,MATCH($O3,SuburbScorecard!$A:$A,0))="","",INDEX(SuburbScorecard!$K:$K,MATCH($O3,SuburbScorecard!$A:$A,0))),"")</f>
        <v/>
      </c>
      <c r="S3" s="22">
        <f>IFERROR(IF(INDEX(SuburbScorecard!$AB:$AB,MATCH($O3,SuburbScorecard!$A:$A,0))="","Needs data",INDEX(SuburbScorecard!$AB:$AB,MATCH($O3,SuburbScorecard!$A:$A,0))),"Needs data")</f>
        <v/>
      </c>
      <c r="T3" s="22">
        <f>IF(L3="Under offer","Under offer",IF(G3="Over cap","Fails: budget",IF(NOT(AND(ISNUMBER(Q3),ISNUMBER(R3))),"Needs data",IF(Q3&gt;Filters!$B$4,"Fails: GW drive",IF(R3&gt;Filters!$B$5,"Fails: ED drive",IF(G3="Straddles cap","Pass if bought near low end","Pass"))))))</f>
        <v/>
      </c>
      <c r="U3" s="22" t="n"/>
      <c r="V3" s="22" t="inlineStr">
        <is>
          <t>https://www.realestate.com.au/property-house-vic-west+footscray-152623144</t>
        </is>
      </c>
    </row>
    <row r="4" ht="15" customHeight="1" s="15">
      <c r="A4" s="22" t="n">
        <v>3</v>
      </c>
      <c r="B4" s="31" t="inlineStr">
        <is>
          <t>67 Donna Buang Road</t>
        </is>
      </c>
      <c r="C4" s="22" t="inlineStr">
        <is>
          <t>Warburton</t>
        </is>
      </c>
      <c r="D4" s="22" t="inlineStr">
        <is>
          <t>$900,000-$990,000</t>
        </is>
      </c>
      <c r="E4" s="24" t="n">
        <v>900000</v>
      </c>
      <c r="F4" s="24" t="n">
        <v>990000</v>
      </c>
      <c r="G4" s="22">
        <f>IF(E4="","Needs data",IF(F4&lt;=Filters!$B$2,"Within cap",IF(E4&lt;=Filters!$B$2,"Straddles cap","Over cap")))</f>
        <v/>
      </c>
      <c r="H4" s="22" t="n">
        <v>5</v>
      </c>
      <c r="I4" s="22" t="n">
        <v>3</v>
      </c>
      <c r="J4" s="22" t="n">
        <v>4</v>
      </c>
      <c r="K4" s="22" t="n">
        <v>3235</v>
      </c>
      <c r="L4" s="22" t="inlineStr">
        <is>
          <t>Active</t>
        </is>
      </c>
      <c r="M4" s="22" t="inlineStr">
        <is>
          <t>None listed</t>
        </is>
      </c>
      <c r="N4" s="22" t="inlineStr">
        <is>
          <t>Suzie Brannelly</t>
        </is>
      </c>
      <c r="O4" s="22" t="inlineStr">
        <is>
          <t>Warburton</t>
        </is>
      </c>
      <c r="P4" s="22">
        <f>IFERROR(INDEX(SuburbScorecard!$C:$C,MATCH($O4,SuburbScorecard!$A:$A,0)),"Not on scorecard")</f>
        <v/>
      </c>
      <c r="Q4" s="22">
        <f>IFERROR(IF(INDEX(SuburbScorecard!$J:$J,MATCH($O4,SuburbScorecard!$A:$A,0))="","",INDEX(SuburbScorecard!$J:$J,MATCH($O4,SuburbScorecard!$A:$A,0))),"")</f>
        <v/>
      </c>
      <c r="R4" s="22">
        <f>IFERROR(IF(INDEX(SuburbScorecard!$K:$K,MATCH($O4,SuburbScorecard!$A:$A,0))="","",INDEX(SuburbScorecard!$K:$K,MATCH($O4,SuburbScorecard!$A:$A,0))),"")</f>
        <v/>
      </c>
      <c r="S4" s="22">
        <f>IFERROR(IF(INDEX(SuburbScorecard!$AB:$AB,MATCH($O4,SuburbScorecard!$A:$A,0))="","Needs data",INDEX(SuburbScorecard!$AB:$AB,MATCH($O4,SuburbScorecard!$A:$A,0))),"Needs data")</f>
        <v/>
      </c>
      <c r="T4" s="22">
        <f>IF(L4="Under offer","Under offer",IF(G4="Over cap","Fails: budget",IF(NOT(AND(ISNUMBER(Q4),ISNUMBER(R4))),"Needs data",IF(Q4&gt;Filters!$B$4,"Fails: GW drive",IF(R4&gt;Filters!$B$5,"Fails: ED drive",IF(G4="Straddles cap","Pass if bought near low end","Pass"))))))</f>
        <v/>
      </c>
      <c r="U4" s="22" t="inlineStr">
        <is>
          <t>Drive times added 27 Oct (suburb centre). 3,235 m² block; check winter, fire and slope</t>
        </is>
      </c>
      <c r="V4" s="22" t="inlineStr">
        <is>
          <t>https://www.realestate.com.au/property-house-vic-warburton-150763740</t>
        </is>
      </c>
    </row>
    <row r="5" ht="15" customHeight="1" s="15">
      <c r="A5" s="22" t="n">
        <v>4</v>
      </c>
      <c r="B5" s="31" t="inlineStr">
        <is>
          <t>8 Williams Bay Grove</t>
        </is>
      </c>
      <c r="C5" s="22" t="inlineStr">
        <is>
          <t>Williamstown</t>
        </is>
      </c>
      <c r="D5" s="22" t="inlineStr">
        <is>
          <t>$1,700,000</t>
        </is>
      </c>
      <c r="E5" s="24" t="n">
        <v>1700000</v>
      </c>
      <c r="F5" s="24" t="n">
        <v>1700000</v>
      </c>
      <c r="G5" s="22">
        <f>IF(E5="","Needs data",IF(F5&lt;=Filters!$B$2,"Within cap",IF(E5&lt;=Filters!$B$2,"Straddles cap","Over cap")))</f>
        <v/>
      </c>
      <c r="H5" s="22" t="n">
        <v>3</v>
      </c>
      <c r="I5" s="22" t="n">
        <v>2</v>
      </c>
      <c r="J5" s="22" t="n">
        <v>2</v>
      </c>
      <c r="L5" s="22" t="inlineStr">
        <is>
          <t>Active</t>
        </is>
      </c>
      <c r="M5" s="22" t="inlineStr">
        <is>
          <t>Sat 31 Oct 11:15am</t>
        </is>
      </c>
      <c r="N5" s="22" t="inlineStr">
        <is>
          <t>Katie Smith</t>
        </is>
      </c>
      <c r="O5" s="22" t="inlineStr">
        <is>
          <t>Williamstown</t>
        </is>
      </c>
      <c r="P5" s="22">
        <f>IFERROR(INDEX(SuburbScorecard!$C:$C,MATCH($O5,SuburbScorecard!$A:$A,0)),"Not on scorecard")</f>
        <v/>
      </c>
      <c r="Q5" s="22">
        <f>IFERROR(IF(INDEX(SuburbScorecard!$J:$J,MATCH($O5,SuburbScorecard!$A:$A,0))="","",INDEX(SuburbScorecard!$J:$J,MATCH($O5,SuburbScorecard!$A:$A,0))),"")</f>
        <v/>
      </c>
      <c r="R5" s="22">
        <f>IFERROR(IF(INDEX(SuburbScorecard!$K:$K,MATCH($O5,SuburbScorecard!$A:$A,0))="","",INDEX(SuburbScorecard!$K:$K,MATCH($O5,SuburbScorecard!$A:$A,0))),"")</f>
        <v/>
      </c>
      <c r="S5" s="22">
        <f>IFERROR(IF(INDEX(SuburbScorecard!$AB:$AB,MATCH($O5,SuburbScorecard!$A:$A,0))="","Needs data",INDEX(SuburbScorecard!$AB:$AB,MATCH($O5,SuburbScorecard!$A:$A,0))),"Needs data")</f>
        <v/>
      </c>
      <c r="T5" s="22">
        <f>IF(L5="Under offer","Under offer",IF(G5="Over cap","Fails: budget",IF(NOT(AND(ISNUMBER(Q5),ISNUMBER(R5))),"Needs data",IF(Q5&gt;Filters!$B$4,"Fails: GW drive",IF(R5&gt;Filters!$B$5,"Fails: ED drive",IF(G5="Straddles cap","Pass if bought near low end","Pass"))))))</f>
        <v/>
      </c>
      <c r="V5" s="22" t="inlineStr">
        <is>
          <t>https://www.realestate.com.au/property-house-vic-williamstown-152686328</t>
        </is>
      </c>
    </row>
    <row r="6" ht="15" customHeight="1" s="15">
      <c r="A6" s="22" t="n">
        <v>5</v>
      </c>
      <c r="B6" s="31" t="inlineStr">
        <is>
          <t>25 Phillips Crescent</t>
        </is>
      </c>
      <c r="C6" s="22" t="inlineStr">
        <is>
          <t>Rosanna</t>
        </is>
      </c>
      <c r="D6" s="22" t="inlineStr">
        <is>
          <t>ESR $1,450,000-$1,550,000</t>
        </is>
      </c>
      <c r="E6" s="24" t="n">
        <v>1450000</v>
      </c>
      <c r="F6" s="24" t="n">
        <v>1550000</v>
      </c>
      <c r="G6" s="22">
        <f>IF(E6="","Needs data",IF(F6&lt;=Filters!$B$2,"Within cap",IF(E6&lt;=Filters!$B$2,"Straddles cap","Over cap")))</f>
        <v/>
      </c>
      <c r="H6" s="22" t="n">
        <v>4</v>
      </c>
      <c r="I6" s="22" t="n">
        <v>3</v>
      </c>
      <c r="J6" s="22" t="n">
        <v>2</v>
      </c>
      <c r="K6" s="22" t="n">
        <v>655</v>
      </c>
      <c r="L6" s="22" t="inlineStr">
        <is>
          <t>Active</t>
        </is>
      </c>
      <c r="M6" s="22" t="inlineStr">
        <is>
          <t>Tue 27 Oct 5:00pm</t>
        </is>
      </c>
      <c r="N6" s="22" t="inlineStr">
        <is>
          <t>Ashlee Jade</t>
        </is>
      </c>
      <c r="O6" s="22" t="inlineStr">
        <is>
          <t>Rosanna</t>
        </is>
      </c>
      <c r="P6" s="22">
        <f>IFERROR(INDEX(SuburbScorecard!$C:$C,MATCH($O6,SuburbScorecard!$A:$A,0)),"Not on scorecard")</f>
        <v/>
      </c>
      <c r="Q6" s="22">
        <f>IFERROR(IF(INDEX(SuburbScorecard!$J:$J,MATCH($O6,SuburbScorecard!$A:$A,0))="","",INDEX(SuburbScorecard!$J:$J,MATCH($O6,SuburbScorecard!$A:$A,0))),"")</f>
        <v/>
      </c>
      <c r="R6" s="22">
        <f>IFERROR(IF(INDEX(SuburbScorecard!$K:$K,MATCH($O6,SuburbScorecard!$A:$A,0))="","",INDEX(SuburbScorecard!$K:$K,MATCH($O6,SuburbScorecard!$A:$A,0))),"")</f>
        <v/>
      </c>
      <c r="S6" s="22">
        <f>IFERROR(IF(INDEX(SuburbScorecard!$AB:$AB,MATCH($O6,SuburbScorecard!$A:$A,0))="","Needs data",INDEX(SuburbScorecard!$AB:$AB,MATCH($O6,SuburbScorecard!$A:$A,0))),"Needs data")</f>
        <v/>
      </c>
      <c r="T6" s="22">
        <f>IF(L6="Under offer","Under offer",IF(G6="Over cap","Fails: budget",IF(NOT(AND(ISNUMBER(Q6),ISNUMBER(R6))),"Needs data",IF(Q6&gt;Filters!$B$4,"Fails: GW drive",IF(R6&gt;Filters!$B$5,"Fails: ED drive",IF(G6="Straddles cap","Pass if bought near low end","Pass"))))))</f>
        <v/>
      </c>
      <c r="U6" s="22" t="n"/>
      <c r="V6" s="22" t="inlineStr">
        <is>
          <t>https://www.realestate.com.au/property-house-vic-rosanna-152574468</t>
        </is>
      </c>
    </row>
    <row r="7" ht="15" customHeight="1" s="15">
      <c r="A7" s="22" t="n">
        <v>6</v>
      </c>
      <c r="B7" s="31" t="inlineStr">
        <is>
          <t>29 Campbell Street</t>
        </is>
      </c>
      <c r="C7" s="22" t="inlineStr">
        <is>
          <t>Diamond Creek</t>
        </is>
      </c>
      <c r="D7" s="22" t="inlineStr">
        <is>
          <t>New price $1.25m</t>
        </is>
      </c>
      <c r="E7" s="24" t="n">
        <v>1250000</v>
      </c>
      <c r="F7" s="24" t="n">
        <v>1250000</v>
      </c>
      <c r="G7" s="22">
        <f>IF(E7="","Needs data",IF(F7&lt;=Filters!$B$2,"Within cap",IF(E7&lt;=Filters!$B$2,"Straddles cap","Over cap")))</f>
        <v/>
      </c>
      <c r="H7" s="22" t="n">
        <v>4</v>
      </c>
      <c r="I7" s="22" t="n">
        <v>2</v>
      </c>
      <c r="J7" s="22" t="n">
        <v>2</v>
      </c>
      <c r="K7" s="22" t="n">
        <v>884</v>
      </c>
      <c r="L7" s="22" t="inlineStr">
        <is>
          <t>Active</t>
        </is>
      </c>
      <c r="M7" s="22" t="inlineStr">
        <is>
          <t>Tue 27 Oct 6:00pm</t>
        </is>
      </c>
      <c r="N7" s="22" t="inlineStr">
        <is>
          <t>Sheryl Emerson</t>
        </is>
      </c>
      <c r="O7" s="22" t="inlineStr">
        <is>
          <t>Diamond Creek</t>
        </is>
      </c>
      <c r="P7" s="22">
        <f>IFERROR(INDEX(SuburbScorecard!$C:$C,MATCH($O7,SuburbScorecard!$A:$A,0)),"Not on scorecard")</f>
        <v/>
      </c>
      <c r="Q7" s="22">
        <f>IFERROR(IF(INDEX(SuburbScorecard!$J:$J,MATCH($O7,SuburbScorecard!$A:$A,0))="","",INDEX(SuburbScorecard!$J:$J,MATCH($O7,SuburbScorecard!$A:$A,0))),"")</f>
        <v/>
      </c>
      <c r="R7" s="22">
        <f>IFERROR(IF(INDEX(SuburbScorecard!$K:$K,MATCH($O7,SuburbScorecard!$A:$A,0))="","",INDEX(SuburbScorecard!$K:$K,MATCH($O7,SuburbScorecard!$A:$A,0))),"")</f>
        <v/>
      </c>
      <c r="S7" s="22">
        <f>IFERROR(IF(INDEX(SuburbScorecard!$AB:$AB,MATCH($O7,SuburbScorecard!$A:$A,0))="","Needs data",INDEX(SuburbScorecard!$AB:$AB,MATCH($O7,SuburbScorecard!$A:$A,0))),"Needs data")</f>
        <v/>
      </c>
      <c r="T7" s="22">
        <f>IF(L7="Under offer","Under offer",IF(G7="Over cap","Fails: budget",IF(NOT(AND(ISNUMBER(Q7),ISNUMBER(R7))),"Needs data",IF(Q7&gt;Filters!$B$4,"Fails: GW drive",IF(R7&gt;Filters!$B$5,"Fails: ED drive",IF(G7="Straddles cap","Pass if bought near low end","Pass"))))))</f>
        <v/>
      </c>
      <c r="V7" s="22" t="inlineStr">
        <is>
          <t>https://www.realestate.com.au/property-house-vic-diamond+creek-152290624</t>
        </is>
      </c>
    </row>
    <row r="8" ht="15" customHeight="1" s="15">
      <c r="A8" s="22" t="n">
        <v>7</v>
      </c>
      <c r="B8" s="31" t="inlineStr">
        <is>
          <t>23 Park Street</t>
        </is>
      </c>
      <c r="C8" s="22" t="inlineStr">
        <is>
          <t>Mordialloc</t>
        </is>
      </c>
      <c r="D8" s="22" t="inlineStr">
        <is>
          <t>$1,750,000-$1,900,000</t>
        </is>
      </c>
      <c r="E8" s="24" t="n">
        <v>1750000</v>
      </c>
      <c r="F8" s="24" t="n">
        <v>1900000</v>
      </c>
      <c r="G8" s="22">
        <f>IF(E8="","Needs data",IF(F8&lt;=Filters!$B$2,"Within cap",IF(E8&lt;=Filters!$B$2,"Straddles cap","Over cap")))</f>
        <v/>
      </c>
      <c r="H8" s="22" t="n">
        <v>4</v>
      </c>
      <c r="I8" s="22" t="n">
        <v>2</v>
      </c>
      <c r="J8" s="22" t="n">
        <v>2</v>
      </c>
      <c r="K8" s="22" t="n">
        <v>613</v>
      </c>
      <c r="L8" s="22" t="inlineStr">
        <is>
          <t>Active</t>
        </is>
      </c>
      <c r="M8" s="22" t="inlineStr">
        <is>
          <t>Tue 27 Oct 3:30pm</t>
        </is>
      </c>
      <c r="N8" s="22" t="inlineStr">
        <is>
          <t>Lou Colella</t>
        </is>
      </c>
      <c r="O8" s="22" t="inlineStr">
        <is>
          <t>Mordialloc</t>
        </is>
      </c>
      <c r="P8" s="22">
        <f>IFERROR(INDEX(SuburbScorecard!$C:$C,MATCH($O8,SuburbScorecard!$A:$A,0)),"Not on scorecard")</f>
        <v/>
      </c>
      <c r="Q8" s="22">
        <f>IFERROR(IF(INDEX(SuburbScorecard!$J:$J,MATCH($O8,SuburbScorecard!$A:$A,0))="","",INDEX(SuburbScorecard!$J:$J,MATCH($O8,SuburbScorecard!$A:$A,0))),"")</f>
        <v/>
      </c>
      <c r="R8" s="22">
        <f>IFERROR(IF(INDEX(SuburbScorecard!$K:$K,MATCH($O8,SuburbScorecard!$A:$A,0))="","",INDEX(SuburbScorecard!$K:$K,MATCH($O8,SuburbScorecard!$A:$A,0))),"")</f>
        <v/>
      </c>
      <c r="S8" s="22">
        <f>IFERROR(IF(INDEX(SuburbScorecard!$AB:$AB,MATCH($O8,SuburbScorecard!$A:$A,0))="","Needs data",INDEX(SuburbScorecard!$AB:$AB,MATCH($O8,SuburbScorecard!$A:$A,0))),"Needs data")</f>
        <v/>
      </c>
      <c r="T8" s="22">
        <f>IF(L8="Under offer","Under offer",IF(G8="Over cap","Fails: budget",IF(NOT(AND(ISNUMBER(Q8),ISNUMBER(R8))),"Needs data",IF(Q8&gt;Filters!$B$4,"Fails: GW drive",IF(R8&gt;Filters!$B$5,"Fails: ED drive",IF(G8="Straddles cap","Pass if bought near low end","Pass"))))))</f>
        <v/>
      </c>
      <c r="U8" s="22" t="n"/>
      <c r="V8" s="22" t="inlineStr">
        <is>
          <t>https://www.realestate.com.au/property-house-vic-mordialloc-152622844</t>
        </is>
      </c>
    </row>
    <row r="9" ht="15" customHeight="1" s="15">
      <c r="A9" s="22" t="n">
        <v>8</v>
      </c>
      <c r="B9" s="31" t="inlineStr">
        <is>
          <t>156A Nepean Highway</t>
        </is>
      </c>
      <c r="C9" s="22" t="inlineStr">
        <is>
          <t>Seaford</t>
        </is>
      </c>
      <c r="D9" s="22" t="inlineStr">
        <is>
          <t>$1,690,000-$1,850,000</t>
        </is>
      </c>
      <c r="E9" s="24" t="n">
        <v>1690000</v>
      </c>
      <c r="F9" s="24" t="n">
        <v>1850000</v>
      </c>
      <c r="G9" s="22">
        <f>IF(E9="","Needs data",IF(F9&lt;=Filters!$B$2,"Within cap",IF(E9&lt;=Filters!$B$2,"Straddles cap","Over cap")))</f>
        <v/>
      </c>
      <c r="H9" s="22" t="n">
        <v>4</v>
      </c>
      <c r="I9" s="22" t="n">
        <v>2</v>
      </c>
      <c r="J9" s="22" t="n">
        <v>4</v>
      </c>
      <c r="K9" s="22" t="n">
        <v>319</v>
      </c>
      <c r="L9" s="22" t="inlineStr">
        <is>
          <t>Under offer</t>
        </is>
      </c>
      <c r="M9" s="22" t="inlineStr">
        <is>
          <t>None listed</t>
        </is>
      </c>
      <c r="N9" s="22" t="inlineStr">
        <is>
          <t>Dean Bozunovic</t>
        </is>
      </c>
      <c r="O9" s="22" t="inlineStr">
        <is>
          <t>Seaford</t>
        </is>
      </c>
      <c r="P9" s="22">
        <f>IFERROR(INDEX(SuburbScorecard!$C:$C,MATCH($O9,SuburbScorecard!$A:$A,0)),"Not on scorecard")</f>
        <v/>
      </c>
      <c r="Q9" s="22">
        <f>IFERROR(IF(INDEX(SuburbScorecard!$J:$J,MATCH($O9,SuburbScorecard!$A:$A,0))="","",INDEX(SuburbScorecard!$J:$J,MATCH($O9,SuburbScorecard!$A:$A,0))),"")</f>
        <v/>
      </c>
      <c r="R9" s="22">
        <f>IFERROR(IF(INDEX(SuburbScorecard!$K:$K,MATCH($O9,SuburbScorecard!$A:$A,0))="","",INDEX(SuburbScorecard!$K:$K,MATCH($O9,SuburbScorecard!$A:$A,0))),"")</f>
        <v/>
      </c>
      <c r="S9" s="22">
        <f>IFERROR(IF(INDEX(SuburbScorecard!$AB:$AB,MATCH($O9,SuburbScorecard!$A:$A,0))="","Needs data",INDEX(SuburbScorecard!$AB:$AB,MATCH($O9,SuburbScorecard!$A:$A,0))),"Needs data")</f>
        <v/>
      </c>
      <c r="T9" s="22">
        <f>IF(L9="Under offer","Under offer",IF(G9="Over cap","Fails: budget",IF(NOT(AND(ISNUMBER(Q9),ISNUMBER(R9))),"Needs data",IF(Q9&gt;Filters!$B$4,"Fails: GW drive",IF(R9&gt;Filters!$B$5,"Fails: ED drive",IF(G9="Straddles cap","Pass if bought near low end","Pass"))))))</f>
        <v/>
      </c>
      <c r="U9" s="22" t="n"/>
      <c r="V9" s="22" t="inlineStr">
        <is>
          <t>https://www.realestate.com.au/property-house-vic-seaford-152011424</t>
        </is>
      </c>
    </row>
    <row r="10" ht="15" customHeight="1" s="15">
      <c r="A10" s="22" t="n">
        <v>9</v>
      </c>
      <c r="B10" s="31" t="inlineStr">
        <is>
          <t>1/192 Nepean Highway</t>
        </is>
      </c>
      <c r="C10" s="22" t="inlineStr">
        <is>
          <t>Seaford</t>
        </is>
      </c>
      <c r="D10" s="22" t="inlineStr">
        <is>
          <t>$1,450,000-$1,595,000</t>
        </is>
      </c>
      <c r="E10" s="24" t="n">
        <v>1450000</v>
      </c>
      <c r="F10" s="24" t="n">
        <v>1595000</v>
      </c>
      <c r="G10" s="22">
        <f>IF(E10="","Needs data",IF(F10&lt;=Filters!$B$2,"Within cap",IF(E10&lt;=Filters!$B$2,"Straddles cap","Over cap")))</f>
        <v/>
      </c>
      <c r="H10" s="22" t="n">
        <v>3</v>
      </c>
      <c r="I10" s="22" t="n">
        <v>2</v>
      </c>
      <c r="J10" s="22" t="n">
        <v>2</v>
      </c>
      <c r="K10" s="22" t="n">
        <v>1019</v>
      </c>
      <c r="L10" s="22" t="inlineStr">
        <is>
          <t>Active</t>
        </is>
      </c>
      <c r="M10" s="22" t="inlineStr">
        <is>
          <t>Sat 31 Oct 1:00pm</t>
        </is>
      </c>
      <c r="N10" s="22" t="inlineStr">
        <is>
          <t>Luke Magree</t>
        </is>
      </c>
      <c r="O10" s="22" t="inlineStr">
        <is>
          <t>Seaford</t>
        </is>
      </c>
      <c r="P10" s="22">
        <f>IFERROR(INDEX(SuburbScorecard!$C:$C,MATCH($O10,SuburbScorecard!$A:$A,0)),"Not on scorecard")</f>
        <v/>
      </c>
      <c r="Q10" s="22">
        <f>IFERROR(IF(INDEX(SuburbScorecard!$J:$J,MATCH($O10,SuburbScorecard!$A:$A,0))="","",INDEX(SuburbScorecard!$J:$J,MATCH($O10,SuburbScorecard!$A:$A,0))),"")</f>
        <v/>
      </c>
      <c r="R10" s="22">
        <f>IFERROR(IF(INDEX(SuburbScorecard!$K:$K,MATCH($O10,SuburbScorecard!$A:$A,0))="","",INDEX(SuburbScorecard!$K:$K,MATCH($O10,SuburbScorecard!$A:$A,0))),"")</f>
        <v/>
      </c>
      <c r="S10" s="22">
        <f>IFERROR(IF(INDEX(SuburbScorecard!$AB:$AB,MATCH($O10,SuburbScorecard!$A:$A,0))="","Needs data",INDEX(SuburbScorecard!$AB:$AB,MATCH($O10,SuburbScorecard!$A:$A,0))),"Needs data")</f>
        <v/>
      </c>
      <c r="T10" s="22">
        <f>IF(L10="Under offer","Under offer",IF(G10="Over cap","Fails: budget",IF(NOT(AND(ISNUMBER(Q10),ISNUMBER(R10))),"Needs data",IF(Q10&gt;Filters!$B$4,"Fails: GW drive",IF(R10&gt;Filters!$B$5,"Fails: ED drive",IF(G10="Straddles cap","Pass if bought near low end","Pass"))))))</f>
        <v/>
      </c>
      <c r="U10" s="22" t="n"/>
      <c r="V10" s="22" t="inlineStr">
        <is>
          <t>https://www.realestate.com.au/property-house-vic-seaford-151815440</t>
        </is>
      </c>
    </row>
    <row r="11" ht="15" customHeight="1" s="15">
      <c r="A11" s="22" t="n">
        <v>10</v>
      </c>
      <c r="B11" s="31" t="inlineStr">
        <is>
          <t>51 Granya Grove</t>
        </is>
      </c>
      <c r="C11" s="22" t="inlineStr">
        <is>
          <t>Mount Eliza</t>
        </is>
      </c>
      <c r="D11" s="22" t="inlineStr">
        <is>
          <t>$1,799,000-$1,978,000</t>
        </is>
      </c>
      <c r="E11" s="24" t="n">
        <v>1799000</v>
      </c>
      <c r="F11" s="24" t="n">
        <v>1978000</v>
      </c>
      <c r="G11" s="22">
        <f>IF(E11="","Needs data",IF(F11&lt;=Filters!$B$2,"Within cap",IF(E11&lt;=Filters!$B$2,"Straddles cap","Over cap")))</f>
        <v/>
      </c>
      <c r="H11" s="22" t="n">
        <v>5</v>
      </c>
      <c r="I11" s="22" t="n">
        <v>2</v>
      </c>
      <c r="J11" s="22" t="n">
        <v>2</v>
      </c>
      <c r="K11" s="22" t="n">
        <v>976</v>
      </c>
      <c r="L11" s="22" t="inlineStr">
        <is>
          <t>Active</t>
        </is>
      </c>
      <c r="M11" s="22" t="inlineStr">
        <is>
          <t>Sat 31 Oct 1:00pm</t>
        </is>
      </c>
      <c r="N11" s="22" t="inlineStr">
        <is>
          <t>Bailey White</t>
        </is>
      </c>
      <c r="O11" s="22" t="inlineStr">
        <is>
          <t>Mount Eliza</t>
        </is>
      </c>
      <c r="P11" s="22">
        <f>IFERROR(INDEX(SuburbScorecard!$C:$C,MATCH($O11,SuburbScorecard!$A:$A,0)),"Not on scorecard")</f>
        <v/>
      </c>
      <c r="Q11" s="22">
        <f>IFERROR(IF(INDEX(SuburbScorecard!$J:$J,MATCH($O11,SuburbScorecard!$A:$A,0))="","",INDEX(SuburbScorecard!$J:$J,MATCH($O11,SuburbScorecard!$A:$A,0))),"")</f>
        <v/>
      </c>
      <c r="R11" s="22">
        <f>IFERROR(IF(INDEX(SuburbScorecard!$K:$K,MATCH($O11,SuburbScorecard!$A:$A,0))="","",INDEX(SuburbScorecard!$K:$K,MATCH($O11,SuburbScorecard!$A:$A,0))),"")</f>
        <v/>
      </c>
      <c r="S11" s="22">
        <f>IFERROR(IF(INDEX(SuburbScorecard!$AB:$AB,MATCH($O11,SuburbScorecard!$A:$A,0))="","Needs data",INDEX(SuburbScorecard!$AB:$AB,MATCH($O11,SuburbScorecard!$A:$A,0))),"Needs data")</f>
        <v/>
      </c>
      <c r="T11" s="22">
        <f>IF(L11="Under offer","Under offer",IF(G11="Over cap","Fails: budget",IF(NOT(AND(ISNUMBER(Q11),ISNUMBER(R11))),"Needs data",IF(Q11&gt;Filters!$B$4,"Fails: GW drive",IF(R11&gt;Filters!$B$5,"Fails: ED drive",IF(G11="Straddles cap","Pass if bought near low end","Pass"))))))</f>
        <v/>
      </c>
      <c r="V11" s="22" t="inlineStr">
        <is>
          <t>https://www.realestate.com.au/property-house-vic-mount+eliza-151176748</t>
        </is>
      </c>
    </row>
    <row r="12" ht="15" customHeight="1" s="15">
      <c r="A12" s="22" t="n">
        <v>11</v>
      </c>
      <c r="B12" s="31" t="inlineStr">
        <is>
          <t>54 Granya Grove</t>
        </is>
      </c>
      <c r="C12" s="22" t="inlineStr">
        <is>
          <t>Mount Eliza</t>
        </is>
      </c>
      <c r="D12" s="22" t="inlineStr">
        <is>
          <t>$1,275,000-$1,375,000</t>
        </is>
      </c>
      <c r="E12" s="24" t="n">
        <v>1275000</v>
      </c>
      <c r="F12" s="24" t="n">
        <v>1375000</v>
      </c>
      <c r="G12" s="22">
        <f>IF(E12="","Needs data",IF(F12&lt;=Filters!$B$2,"Within cap",IF(E12&lt;=Filters!$B$2,"Straddles cap","Over cap")))</f>
        <v/>
      </c>
      <c r="H12" s="22" t="n">
        <v>3</v>
      </c>
      <c r="I12" s="22" t="n">
        <v>2</v>
      </c>
      <c r="J12" s="22" t="n">
        <v>2</v>
      </c>
      <c r="K12" s="22" t="n">
        <v>985</v>
      </c>
      <c r="L12" s="22" t="inlineStr">
        <is>
          <t>Active</t>
        </is>
      </c>
      <c r="M12" s="22" t="inlineStr">
        <is>
          <t>Sat 31 Oct 12:30pm</t>
        </is>
      </c>
      <c r="N12" s="22" t="inlineStr">
        <is>
          <t>Candice Blanch</t>
        </is>
      </c>
      <c r="O12" s="22" t="inlineStr">
        <is>
          <t>Mount Eliza</t>
        </is>
      </c>
      <c r="P12" s="22">
        <f>IFERROR(INDEX(SuburbScorecard!$C:$C,MATCH($O12,SuburbScorecard!$A:$A,0)),"Not on scorecard")</f>
        <v/>
      </c>
      <c r="Q12" s="22">
        <f>IFERROR(IF(INDEX(SuburbScorecard!$J:$J,MATCH($O12,SuburbScorecard!$A:$A,0))="","",INDEX(SuburbScorecard!$J:$J,MATCH($O12,SuburbScorecard!$A:$A,0))),"")</f>
        <v/>
      </c>
      <c r="R12" s="22">
        <f>IFERROR(IF(INDEX(SuburbScorecard!$K:$K,MATCH($O12,SuburbScorecard!$A:$A,0))="","",INDEX(SuburbScorecard!$K:$K,MATCH($O12,SuburbScorecard!$A:$A,0))),"")</f>
        <v/>
      </c>
      <c r="S12" s="22">
        <f>IFERROR(IF(INDEX(SuburbScorecard!$AB:$AB,MATCH($O12,SuburbScorecard!$A:$A,0))="","Needs data",INDEX(SuburbScorecard!$AB:$AB,MATCH($O12,SuburbScorecard!$A:$A,0))),"Needs data")</f>
        <v/>
      </c>
      <c r="T12" s="22">
        <f>IF(L12="Under offer","Under offer",IF(G12="Over cap","Fails: budget",IF(NOT(AND(ISNUMBER(Q12),ISNUMBER(R12))),"Needs data",IF(Q12&gt;Filters!$B$4,"Fails: GW drive",IF(R12&gt;Filters!$B$5,"Fails: ED drive",IF(G12="Straddles cap","Pass if bought near low end","Pass"))))))</f>
        <v/>
      </c>
      <c r="V12" s="22" t="inlineStr">
        <is>
          <t>https://www.realestate.com.au/property-house-vic-mount+eliza-152450032</t>
        </is>
      </c>
    </row>
    <row r="13" ht="15" customHeight="1" s="15">
      <c r="A13" s="22" t="n">
        <v>12</v>
      </c>
      <c r="B13" s="31" t="inlineStr">
        <is>
          <t>110 Koornalla Crescent</t>
        </is>
      </c>
      <c r="C13" s="22" t="inlineStr">
        <is>
          <t>Mount Eliza</t>
        </is>
      </c>
      <c r="D13" s="22" t="inlineStr">
        <is>
          <t>$1,300,000-$1,430,000</t>
        </is>
      </c>
      <c r="E13" s="24" t="n">
        <v>1300000</v>
      </c>
      <c r="F13" s="24" t="n">
        <v>1430000</v>
      </c>
      <c r="G13" s="22">
        <f>IF(E13="","Needs data",IF(F13&lt;=Filters!$B$2,"Within cap",IF(E13&lt;=Filters!$B$2,"Straddles cap","Over cap")))</f>
        <v/>
      </c>
      <c r="H13" s="22" t="n">
        <v>4</v>
      </c>
      <c r="I13" s="22" t="n">
        <v>2</v>
      </c>
      <c r="J13" s="22" t="n">
        <v>2</v>
      </c>
      <c r="K13" s="22" t="n">
        <v>981</v>
      </c>
      <c r="L13" s="22" t="inlineStr">
        <is>
          <t>Active</t>
        </is>
      </c>
      <c r="M13" s="22" t="inlineStr">
        <is>
          <t>None listed</t>
        </is>
      </c>
      <c r="N13" s="22" t="inlineStr">
        <is>
          <t>Will Crowder</t>
        </is>
      </c>
      <c r="O13" s="22" t="inlineStr">
        <is>
          <t>Mount Eliza</t>
        </is>
      </c>
      <c r="P13" s="22">
        <f>IFERROR(INDEX(SuburbScorecard!$C:$C,MATCH($O13,SuburbScorecard!$A:$A,0)),"Not on scorecard")</f>
        <v/>
      </c>
      <c r="Q13" s="22">
        <f>IFERROR(IF(INDEX(SuburbScorecard!$J:$J,MATCH($O13,SuburbScorecard!$A:$A,0))="","",INDEX(SuburbScorecard!$J:$J,MATCH($O13,SuburbScorecard!$A:$A,0))),"")</f>
        <v/>
      </c>
      <c r="R13" s="22">
        <f>IFERROR(IF(INDEX(SuburbScorecard!$K:$K,MATCH($O13,SuburbScorecard!$A:$A,0))="","",INDEX(SuburbScorecard!$K:$K,MATCH($O13,SuburbScorecard!$A:$A,0))),"")</f>
        <v/>
      </c>
      <c r="S13" s="22">
        <f>IFERROR(IF(INDEX(SuburbScorecard!$AB:$AB,MATCH($O13,SuburbScorecard!$A:$A,0))="","Needs data",INDEX(SuburbScorecard!$AB:$AB,MATCH($O13,SuburbScorecard!$A:$A,0))),"Needs data")</f>
        <v/>
      </c>
      <c r="T13" s="22">
        <f>IF(L13="Under offer","Under offer",IF(G13="Over cap","Fails: budget",IF(NOT(AND(ISNUMBER(Q13),ISNUMBER(R13))),"Needs data",IF(Q13&gt;Filters!$B$4,"Fails: GW drive",IF(R13&gt;Filters!$B$5,"Fails: ED drive",IF(G13="Straddles cap","Pass if bought near low end","Pass"))))))</f>
        <v/>
      </c>
      <c r="V13" s="22" t="inlineStr">
        <is>
          <t>https://www.realestate.com.au/property-house-vic-mount+eliza-152376824</t>
        </is>
      </c>
    </row>
    <row r="14" ht="15" customHeight="1" s="15">
      <c r="A14" s="22" t="n">
        <v>13</v>
      </c>
      <c r="B14" s="31" t="inlineStr">
        <is>
          <t>1374 Nepean Highway</t>
        </is>
      </c>
      <c r="C14" s="22" t="inlineStr">
        <is>
          <t>Mount Eliza</t>
        </is>
      </c>
      <c r="D14" s="22" t="inlineStr">
        <is>
          <t>$890,000-$970,000</t>
        </is>
      </c>
      <c r="E14" s="24" t="n">
        <v>890000</v>
      </c>
      <c r="F14" s="24" t="n">
        <v>970000</v>
      </c>
      <c r="G14" s="22">
        <f>IF(E14="","Needs data",IF(F14&lt;=Filters!$B$2,"Within cap",IF(E14&lt;=Filters!$B$2,"Straddles cap","Over cap")))</f>
        <v/>
      </c>
      <c r="H14" s="22" t="n">
        <v>4</v>
      </c>
      <c r="I14" s="22" t="n">
        <v>2</v>
      </c>
      <c r="J14" s="22" t="n">
        <v>2</v>
      </c>
      <c r="K14" s="22" t="n">
        <v>790</v>
      </c>
      <c r="L14" s="22" t="inlineStr">
        <is>
          <t>Active</t>
        </is>
      </c>
      <c r="M14" s="22" t="inlineStr">
        <is>
          <t>Sat 31 Oct 2:00pm</t>
        </is>
      </c>
      <c r="N14" s="22" t="inlineStr">
        <is>
          <t>Danae Eden</t>
        </is>
      </c>
      <c r="O14" s="22" t="inlineStr">
        <is>
          <t>Mount Eliza</t>
        </is>
      </c>
      <c r="P14" s="22">
        <f>IFERROR(INDEX(SuburbScorecard!$C:$C,MATCH($O14,SuburbScorecard!$A:$A,0)),"Not on scorecard")</f>
        <v/>
      </c>
      <c r="Q14" s="22">
        <f>IFERROR(IF(INDEX(SuburbScorecard!$J:$J,MATCH($O14,SuburbScorecard!$A:$A,0))="","",INDEX(SuburbScorecard!$J:$J,MATCH($O14,SuburbScorecard!$A:$A,0))),"")</f>
        <v/>
      </c>
      <c r="R14" s="22">
        <f>IFERROR(IF(INDEX(SuburbScorecard!$K:$K,MATCH($O14,SuburbScorecard!$A:$A,0))="","",INDEX(SuburbScorecard!$K:$K,MATCH($O14,SuburbScorecard!$A:$A,0))),"")</f>
        <v/>
      </c>
      <c r="S14" s="22">
        <f>IFERROR(IF(INDEX(SuburbScorecard!$AB:$AB,MATCH($O14,SuburbScorecard!$A:$A,0))="","Needs data",INDEX(SuburbScorecard!$AB:$AB,MATCH($O14,SuburbScorecard!$A:$A,0))),"Needs data")</f>
        <v/>
      </c>
      <c r="T14" s="22">
        <f>IF(L14="Under offer","Under offer",IF(G14="Over cap","Fails: budget",IF(NOT(AND(ISNUMBER(Q14),ISNUMBER(R14))),"Needs data",IF(Q14&gt;Filters!$B$4,"Fails: GW drive",IF(R14&gt;Filters!$B$5,"Fails: ED drive",IF(G14="Straddles cap","Pass if bought near low end","Pass"))))))</f>
        <v/>
      </c>
      <c r="V14" s="22" t="inlineStr">
        <is>
          <t>https://www.realestate.com.au/property-house-vic-mount+eliza-151903892</t>
        </is>
      </c>
    </row>
    <row r="15" ht="15" customHeight="1" s="15">
      <c r="A15" s="22" t="n">
        <v>14</v>
      </c>
      <c r="B15" s="31" t="inlineStr">
        <is>
          <t>45 Seahaze Street</t>
        </is>
      </c>
      <c r="C15" s="22" t="inlineStr">
        <is>
          <t>Arthurs Seat</t>
        </is>
      </c>
      <c r="D15" s="22" t="inlineStr">
        <is>
          <t>Private sale $1,650,000-$1,750,000</t>
        </is>
      </c>
      <c r="E15" s="24" t="n">
        <v>1650000</v>
      </c>
      <c r="F15" s="24" t="n">
        <v>1750000</v>
      </c>
      <c r="G15" s="22">
        <f>IF(E15="","Needs data",IF(F15&lt;=Filters!$B$2,"Within cap",IF(E15&lt;=Filters!$B$2,"Straddles cap","Over cap")))</f>
        <v/>
      </c>
      <c r="H15" s="22" t="n">
        <v>4</v>
      </c>
      <c r="I15" s="22" t="n">
        <v>2</v>
      </c>
      <c r="J15" s="22" t="n">
        <v>4</v>
      </c>
      <c r="K15" s="22" t="n">
        <v>819</v>
      </c>
      <c r="L15" s="22" t="inlineStr">
        <is>
          <t>Active</t>
        </is>
      </c>
      <c r="M15" s="22" t="inlineStr">
        <is>
          <t>None listed</t>
        </is>
      </c>
      <c r="N15" s="22" t="inlineStr">
        <is>
          <t>Tom Barr Smith</t>
        </is>
      </c>
      <c r="O15" s="22" t="inlineStr">
        <is>
          <t>Arthurs Seat</t>
        </is>
      </c>
      <c r="P15" s="22">
        <f>IFERROR(INDEX(SuburbScorecard!$C:$C,MATCH($O15,SuburbScorecard!$A:$A,0)),"Not on scorecard")</f>
        <v/>
      </c>
      <c r="Q15" s="22">
        <f>IFERROR(IF(INDEX(SuburbScorecard!$J:$J,MATCH($O15,SuburbScorecard!$A:$A,0))="","",INDEX(SuburbScorecard!$J:$J,MATCH($O15,SuburbScorecard!$A:$A,0))),"")</f>
        <v/>
      </c>
      <c r="R15" s="22">
        <f>IFERROR(IF(INDEX(SuburbScorecard!$K:$K,MATCH($O15,SuburbScorecard!$A:$A,0))="","",INDEX(SuburbScorecard!$K:$K,MATCH($O15,SuburbScorecard!$A:$A,0))),"")</f>
        <v/>
      </c>
      <c r="S15" s="22">
        <f>IFERROR(IF(INDEX(SuburbScorecard!$AB:$AB,MATCH($O15,SuburbScorecard!$A:$A,0))="","Needs data",INDEX(SuburbScorecard!$AB:$AB,MATCH($O15,SuburbScorecard!$A:$A,0))),"Needs data")</f>
        <v/>
      </c>
      <c r="T15" s="22">
        <f>IF(L15="Under offer","Under offer",IF(G15="Over cap","Fails: budget",IF(NOT(AND(ISNUMBER(Q15),ISNUMBER(R15))),"Needs data",IF(Q15&gt;Filters!$B$4,"Fails: GW drive",IF(R15&gt;Filters!$B$5,"Fails: ED drive",IF(G15="Straddles cap","Pass if bought near low end","Pass"))))))</f>
        <v/>
      </c>
      <c r="U15" s="22" t="n"/>
      <c r="V15" s="22" t="inlineStr">
        <is>
          <t>https://www.realestate.com.au/property-house-vic-arthurs+seat-146680920</t>
        </is>
      </c>
    </row>
    <row r="16" ht="15" customHeight="1" s="15">
      <c r="A16" s="22" t="n">
        <v>15</v>
      </c>
      <c r="B16" s="31" t="inlineStr">
        <is>
          <t>4 McArthur Street</t>
        </is>
      </c>
      <c r="C16" s="22" t="inlineStr">
        <is>
          <t>Dromana</t>
        </is>
      </c>
      <c r="D16" s="22" t="inlineStr">
        <is>
          <t>$1,349,000</t>
        </is>
      </c>
      <c r="E16" s="24" t="n">
        <v>1349000</v>
      </c>
      <c r="F16" s="24" t="n">
        <v>1349000</v>
      </c>
      <c r="G16" s="22">
        <f>IF(E16="","Needs data",IF(F16&lt;=Filters!$B$2,"Within cap",IF(E16&lt;=Filters!$B$2,"Straddles cap","Over cap")))</f>
        <v/>
      </c>
      <c r="H16" s="22" t="n">
        <v>3</v>
      </c>
      <c r="I16" s="22" t="n">
        <v>2</v>
      </c>
      <c r="J16" s="22" t="n">
        <v>2</v>
      </c>
      <c r="K16" s="22" t="n">
        <v>675</v>
      </c>
      <c r="L16" s="22" t="inlineStr">
        <is>
          <t>Active</t>
        </is>
      </c>
      <c r="M16" s="22" t="inlineStr">
        <is>
          <t>None listed</t>
        </is>
      </c>
      <c r="N16" s="22" t="inlineStr">
        <is>
          <t>Scott Joyce</t>
        </is>
      </c>
      <c r="O16" s="22" t="inlineStr">
        <is>
          <t>Dromana</t>
        </is>
      </c>
      <c r="P16" s="22">
        <f>IFERROR(INDEX(SuburbScorecard!$C:$C,MATCH($O16,SuburbScorecard!$A:$A,0)),"Not on scorecard")</f>
        <v/>
      </c>
      <c r="Q16" s="22">
        <f>IFERROR(IF(INDEX(SuburbScorecard!$J:$J,MATCH($O16,SuburbScorecard!$A:$A,0))="","",INDEX(SuburbScorecard!$J:$J,MATCH($O16,SuburbScorecard!$A:$A,0))),"")</f>
        <v/>
      </c>
      <c r="R16" s="22">
        <f>IFERROR(IF(INDEX(SuburbScorecard!$K:$K,MATCH($O16,SuburbScorecard!$A:$A,0))="","",INDEX(SuburbScorecard!$K:$K,MATCH($O16,SuburbScorecard!$A:$A,0))),"")</f>
        <v/>
      </c>
      <c r="S16" s="22">
        <f>IFERROR(IF(INDEX(SuburbScorecard!$AB:$AB,MATCH($O16,SuburbScorecard!$A:$A,0))="","Needs data",INDEX(SuburbScorecard!$AB:$AB,MATCH($O16,SuburbScorecard!$A:$A,0))),"Needs data")</f>
        <v/>
      </c>
      <c r="T16" s="22">
        <f>IF(L16="Under offer","Under offer",IF(G16="Over cap","Fails: budget",IF(NOT(AND(ISNUMBER(Q16),ISNUMBER(R16))),"Needs data",IF(Q16&gt;Filters!$B$4,"Fails: GW drive",IF(R16&gt;Filters!$B$5,"Fails: ED drive",IF(G16="Straddles cap","Pass if bought near low end","Pass"))))))</f>
        <v/>
      </c>
      <c r="U16" s="22" t="n"/>
      <c r="V16" s="22" t="inlineStr">
        <is>
          <t>https://www.realestate.com.au/property-house-vic-dromana-152005848</t>
        </is>
      </c>
    </row>
    <row r="17" ht="15" customHeight="1" s="15">
      <c r="A17" s="22" t="n">
        <v>16</v>
      </c>
      <c r="B17" s="31" t="inlineStr">
        <is>
          <t>3-5 Bonavista Way</t>
        </is>
      </c>
      <c r="C17" s="22" t="inlineStr">
        <is>
          <t>Curlewis</t>
        </is>
      </c>
      <c r="D17" s="22" t="inlineStr">
        <is>
          <t>$1,350,000-$1,450,000</t>
        </is>
      </c>
      <c r="E17" s="24" t="n">
        <v>1350000</v>
      </c>
      <c r="F17" s="24" t="n">
        <v>1450000</v>
      </c>
      <c r="G17" s="22">
        <f>IF(E17="","Needs data",IF(F17&lt;=Filters!$B$2,"Within cap",IF(E17&lt;=Filters!$B$2,"Straddles cap","Over cap")))</f>
        <v/>
      </c>
      <c r="H17" s="22" t="n">
        <v>5</v>
      </c>
      <c r="I17" s="22" t="n">
        <v>3</v>
      </c>
      <c r="J17" s="22" t="n">
        <v>5</v>
      </c>
      <c r="K17" s="22" t="n">
        <v>580</v>
      </c>
      <c r="L17" s="22" t="inlineStr">
        <is>
          <t>Active</t>
        </is>
      </c>
      <c r="M17" s="22" t="inlineStr">
        <is>
          <t>Sat 31 Oct 11:50am</t>
        </is>
      </c>
      <c r="N17" s="22" t="inlineStr">
        <is>
          <t>Harley Lewis</t>
        </is>
      </c>
      <c r="O17" s="22" t="inlineStr">
        <is>
          <t>Curlewis</t>
        </is>
      </c>
      <c r="P17" s="22">
        <f>IFERROR(INDEX(SuburbScorecard!$C:$C,MATCH($O17,SuburbScorecard!$A:$A,0)),"Not on scorecard")</f>
        <v/>
      </c>
      <c r="Q17" s="22">
        <f>IFERROR(IF(INDEX(SuburbScorecard!$J:$J,MATCH($O17,SuburbScorecard!$A:$A,0))="","",INDEX(SuburbScorecard!$J:$J,MATCH($O17,SuburbScorecard!$A:$A,0))),"")</f>
        <v/>
      </c>
      <c r="R17" s="22">
        <f>IFERROR(IF(INDEX(SuburbScorecard!$K:$K,MATCH($O17,SuburbScorecard!$A:$A,0))="","",INDEX(SuburbScorecard!$K:$K,MATCH($O17,SuburbScorecard!$A:$A,0))),"")</f>
        <v/>
      </c>
      <c r="S17" s="22">
        <f>IFERROR(IF(INDEX(SuburbScorecard!$AB:$AB,MATCH($O17,SuburbScorecard!$A:$A,0))="","Needs data",INDEX(SuburbScorecard!$AB:$AB,MATCH($O17,SuburbScorecard!$A:$A,0))),"Needs data")</f>
        <v/>
      </c>
      <c r="T17" s="22">
        <f>IF(L17="Under offer","Under offer",IF(G17="Over cap","Fails: budget",IF(NOT(AND(ISNUMBER(Q17),ISNUMBER(R17))),"Needs data",IF(Q17&gt;Filters!$B$4,"Fails: GW drive",IF(R17&gt;Filters!$B$5,"Fails: ED drive",IF(G17="Straddles cap","Pass if bought near low end","Pass"))))))</f>
        <v/>
      </c>
      <c r="U17" s="22" t="n"/>
      <c r="V17" s="22" t="inlineStr">
        <is>
          <t>https://www.realestate.com.au/property-house-vic-curlewis-152352192</t>
        </is>
      </c>
    </row>
    <row r="18" ht="15" customHeight="1" s="15">
      <c r="A18" s="22" t="n">
        <v>17</v>
      </c>
      <c r="B18" s="31" t="inlineStr">
        <is>
          <t>36 Arthurs Avenue</t>
        </is>
      </c>
      <c r="C18" s="22" t="inlineStr">
        <is>
          <t>McCrae</t>
        </is>
      </c>
      <c r="D18" s="22" t="inlineStr">
        <is>
          <t>New price $1,500,000-$1,650,000</t>
        </is>
      </c>
      <c r="E18" s="24" t="n">
        <v>1500000</v>
      </c>
      <c r="F18" s="24" t="n">
        <v>1650000</v>
      </c>
      <c r="G18" s="22">
        <f>IF(E18="","Needs data",IF(F18&lt;=Filters!$B$2,"Within cap",IF(E18&lt;=Filters!$B$2,"Straddles cap","Over cap")))</f>
        <v/>
      </c>
      <c r="H18" s="22" t="n">
        <v>5</v>
      </c>
      <c r="I18" s="22" t="n">
        <v>3</v>
      </c>
      <c r="J18" s="22" t="n">
        <v>6</v>
      </c>
      <c r="K18" s="22" t="n">
        <v>913</v>
      </c>
      <c r="L18" s="22" t="inlineStr">
        <is>
          <t>Active</t>
        </is>
      </c>
      <c r="M18" s="22" t="inlineStr">
        <is>
          <t>Sat 31 Oct 2:00pm</t>
        </is>
      </c>
      <c r="N18" s="22" t="inlineStr">
        <is>
          <t>Sam Austen</t>
        </is>
      </c>
      <c r="O18" s="22" t="inlineStr">
        <is>
          <t>McCrae</t>
        </is>
      </c>
      <c r="P18" s="22">
        <f>IFERROR(INDEX(SuburbScorecard!$C:$C,MATCH($O18,SuburbScorecard!$A:$A,0)),"Not on scorecard")</f>
        <v/>
      </c>
      <c r="Q18" s="22">
        <f>IFERROR(IF(INDEX(SuburbScorecard!$J:$J,MATCH($O18,SuburbScorecard!$A:$A,0))="","",INDEX(SuburbScorecard!$J:$J,MATCH($O18,SuburbScorecard!$A:$A,0))),"")</f>
        <v/>
      </c>
      <c r="R18" s="22">
        <f>IFERROR(IF(INDEX(SuburbScorecard!$K:$K,MATCH($O18,SuburbScorecard!$A:$A,0))="","",INDEX(SuburbScorecard!$K:$K,MATCH($O18,SuburbScorecard!$A:$A,0))),"")</f>
        <v/>
      </c>
      <c r="S18" s="22">
        <f>IFERROR(IF(INDEX(SuburbScorecard!$AB:$AB,MATCH($O18,SuburbScorecard!$A:$A,0))="","Needs data",INDEX(SuburbScorecard!$AB:$AB,MATCH($O18,SuburbScorecard!$A:$A,0))),"Needs data")</f>
        <v/>
      </c>
      <c r="T18" s="22">
        <f>IF(L18="Under offer","Under offer",IF(G18="Over cap","Fails: budget",IF(NOT(AND(ISNUMBER(Q18),ISNUMBER(R18))),"Needs data",IF(Q18&gt;Filters!$B$4,"Fails: GW drive",IF(R18&gt;Filters!$B$5,"Fails: ED drive",IF(G18="Straddles cap","Pass if bought near low end","Pass"))))))</f>
        <v/>
      </c>
      <c r="U18" s="22" t="n"/>
      <c r="V18" s="22" t="inlineStr">
        <is>
          <t>https://www.realestate.com.au/property-house-vic-mccrae-151835348</t>
        </is>
      </c>
    </row>
    <row r="19" ht="15" customHeight="1" s="15">
      <c r="A19" s="22" t="n">
        <v>18</v>
      </c>
      <c r="B19" s="31" t="inlineStr">
        <is>
          <t>2B Fowler Street</t>
        </is>
      </c>
      <c r="C19" s="22" t="inlineStr">
        <is>
          <t>Chelsea</t>
        </is>
      </c>
      <c r="D19" s="22" t="inlineStr">
        <is>
          <t>$1,400,000-$1,540,000</t>
        </is>
      </c>
      <c r="E19" s="24" t="n">
        <v>1400000</v>
      </c>
      <c r="F19" s="24" t="n">
        <v>1540000</v>
      </c>
      <c r="G19" s="22">
        <f>IF(E19="","Needs data",IF(F19&lt;=Filters!$B$2,"Within cap",IF(E19&lt;=Filters!$B$2,"Straddles cap","Over cap")))</f>
        <v/>
      </c>
      <c r="H19" s="22" t="n">
        <v>5</v>
      </c>
      <c r="I19" s="22" t="n">
        <v>3</v>
      </c>
      <c r="J19" s="22" t="n">
        <v>3</v>
      </c>
      <c r="K19" s="22" t="n">
        <v>688</v>
      </c>
      <c r="L19" s="22" t="inlineStr">
        <is>
          <t>Active</t>
        </is>
      </c>
      <c r="M19" s="22" t="inlineStr">
        <is>
          <t>Wed 28 Oct 3:50pm</t>
        </is>
      </c>
      <c r="N19" s="22" t="inlineStr">
        <is>
          <t>Daniel Wright</t>
        </is>
      </c>
      <c r="O19" s="22" t="inlineStr">
        <is>
          <t>Chelsea</t>
        </is>
      </c>
      <c r="P19" s="22">
        <f>IFERROR(INDEX(SuburbScorecard!$C:$C,MATCH($O19,SuburbScorecard!$A:$A,0)),"Not on scorecard")</f>
        <v/>
      </c>
      <c r="Q19" s="22">
        <f>IFERROR(IF(INDEX(SuburbScorecard!$J:$J,MATCH($O19,SuburbScorecard!$A:$A,0))="","",INDEX(SuburbScorecard!$J:$J,MATCH($O19,SuburbScorecard!$A:$A,0))),"")</f>
        <v/>
      </c>
      <c r="R19" s="22">
        <f>IFERROR(IF(INDEX(SuburbScorecard!$K:$K,MATCH($O19,SuburbScorecard!$A:$A,0))="","",INDEX(SuburbScorecard!$K:$K,MATCH($O19,SuburbScorecard!$A:$A,0))),"")</f>
        <v/>
      </c>
      <c r="S19" s="22">
        <f>IFERROR(IF(INDEX(SuburbScorecard!$AB:$AB,MATCH($O19,SuburbScorecard!$A:$A,0))="","Needs data",INDEX(SuburbScorecard!$AB:$AB,MATCH($O19,SuburbScorecard!$A:$A,0))),"Needs data")</f>
        <v/>
      </c>
      <c r="T19" s="22">
        <f>IF(L19="Under offer","Under offer",IF(G19="Over cap","Fails: budget",IF(NOT(AND(ISNUMBER(Q19),ISNUMBER(R19))),"Needs data",IF(Q19&gt;Filters!$B$4,"Fails: GW drive",IF(R19&gt;Filters!$B$5,"Fails: ED drive",IF(G19="Straddles cap","Pass if bought near low end","Pass"))))))</f>
        <v/>
      </c>
      <c r="U19" s="22" t="n"/>
      <c r="V19" s="22" t="inlineStr">
        <is>
          <t>https://www.realestate.com.au/property-house-vic-chelsea-152626264</t>
        </is>
      </c>
    </row>
    <row r="20" ht="15" customHeight="1" s="15">
      <c r="A20" s="22" t="n">
        <v>19</v>
      </c>
      <c r="B20" s="31" t="inlineStr">
        <is>
          <t>13 Harcombe Crescent</t>
        </is>
      </c>
      <c r="C20" s="22" t="inlineStr">
        <is>
          <t>Torquay</t>
        </is>
      </c>
      <c r="D20" s="22" t="inlineStr">
        <is>
          <t>$1,200,000-$1,300,000</t>
        </is>
      </c>
      <c r="E20" s="24" t="n">
        <v>1200000</v>
      </c>
      <c r="F20" s="24" t="n">
        <v>1300000</v>
      </c>
      <c r="G20" s="22">
        <f>IF(E20="","Needs data",IF(F20&lt;=Filters!$B$2,"Within cap",IF(E20&lt;=Filters!$B$2,"Straddles cap","Over cap")))</f>
        <v/>
      </c>
      <c r="H20" s="22" t="n">
        <v>4</v>
      </c>
      <c r="I20" s="22" t="n">
        <v>2</v>
      </c>
      <c r="J20" s="22" t="n">
        <v>2</v>
      </c>
      <c r="K20" s="22" t="n">
        <v>392</v>
      </c>
      <c r="L20" s="22" t="inlineStr">
        <is>
          <t>Active</t>
        </is>
      </c>
      <c r="M20" s="22" t="inlineStr">
        <is>
          <t>None listed</t>
        </is>
      </c>
      <c r="N20" s="22" t="inlineStr">
        <is>
          <t>Chris Henson</t>
        </is>
      </c>
      <c r="O20" s="22" t="inlineStr">
        <is>
          <t>Torquay</t>
        </is>
      </c>
      <c r="P20" s="22">
        <f>IFERROR(INDEX(SuburbScorecard!$C:$C,MATCH($O20,SuburbScorecard!$A:$A,0)),"Not on scorecard")</f>
        <v/>
      </c>
      <c r="Q20" s="22">
        <f>IFERROR(IF(INDEX(SuburbScorecard!$J:$J,MATCH($O20,SuburbScorecard!$A:$A,0))="","",INDEX(SuburbScorecard!$J:$J,MATCH($O20,SuburbScorecard!$A:$A,0))),"")</f>
        <v/>
      </c>
      <c r="R20" s="22">
        <f>IFERROR(IF(INDEX(SuburbScorecard!$K:$K,MATCH($O20,SuburbScorecard!$A:$A,0))="","",INDEX(SuburbScorecard!$K:$K,MATCH($O20,SuburbScorecard!$A:$A,0))),"")</f>
        <v/>
      </c>
      <c r="S20" s="22">
        <f>IFERROR(IF(INDEX(SuburbScorecard!$AB:$AB,MATCH($O20,SuburbScorecard!$A:$A,0))="","Needs data",INDEX(SuburbScorecard!$AB:$AB,MATCH($O20,SuburbScorecard!$A:$A,0))),"Needs data")</f>
        <v/>
      </c>
      <c r="T20" s="22">
        <f>IF(L20="Under offer","Under offer",IF(G20="Over cap","Fails: budget",IF(NOT(AND(ISNUMBER(Q20),ISNUMBER(R20))),"Needs data",IF(Q20&gt;Filters!$B$4,"Fails: GW drive",IF(R20&gt;Filters!$B$5,"Fails: ED drive",IF(G20="Straddles cap","Pass if bought near low end","Pass"))))))</f>
        <v/>
      </c>
      <c r="V20" s="22" t="inlineStr">
        <is>
          <t>https://www.realestate.com.au/property-house-vic-torquay-152670688</t>
        </is>
      </c>
    </row>
    <row r="21" ht="15" customHeight="1" s="15">
      <c r="A21" s="22" t="n">
        <v>20</v>
      </c>
      <c r="B21" s="31" t="inlineStr">
        <is>
          <t>6 Dowman Street</t>
        </is>
      </c>
      <c r="C21" s="22" t="inlineStr">
        <is>
          <t>Newport</t>
        </is>
      </c>
      <c r="D21" s="22" t="inlineStr">
        <is>
          <t>$1,790,000</t>
        </is>
      </c>
      <c r="E21" s="24" t="n">
        <v>1790000</v>
      </c>
      <c r="F21" s="24" t="n">
        <v>1790000</v>
      </c>
      <c r="G21" s="22">
        <f>IF(E21="","Needs data",IF(F21&lt;=Filters!$B$2,"Within cap",IF(E21&lt;=Filters!$B$2,"Straddles cap","Over cap")))</f>
        <v/>
      </c>
      <c r="H21" s="22" t="n">
        <v>4</v>
      </c>
      <c r="I21" s="22" t="n">
        <v>2</v>
      </c>
      <c r="J21" s="22" t="n">
        <v>4</v>
      </c>
      <c r="K21" s="22" t="n">
        <v>417</v>
      </c>
      <c r="L21" s="22" t="inlineStr">
        <is>
          <t>Active</t>
        </is>
      </c>
      <c r="M21" s="22" t="inlineStr">
        <is>
          <t>Tue 27 Oct 5:00pm</t>
        </is>
      </c>
      <c r="N21" s="22" t="inlineStr">
        <is>
          <t>Nathan Smith</t>
        </is>
      </c>
      <c r="O21" s="22" t="inlineStr">
        <is>
          <t>Newport</t>
        </is>
      </c>
      <c r="P21" s="22">
        <f>IFERROR(INDEX(SuburbScorecard!$C:$C,MATCH($O21,SuburbScorecard!$A:$A,0)),"Not on scorecard")</f>
        <v/>
      </c>
      <c r="Q21" s="22">
        <f>IFERROR(IF(INDEX(SuburbScorecard!$J:$J,MATCH($O21,SuburbScorecard!$A:$A,0))="","",INDEX(SuburbScorecard!$J:$J,MATCH($O21,SuburbScorecard!$A:$A,0))),"")</f>
        <v/>
      </c>
      <c r="R21" s="22">
        <f>IFERROR(IF(INDEX(SuburbScorecard!$K:$K,MATCH($O21,SuburbScorecard!$A:$A,0))="","",INDEX(SuburbScorecard!$K:$K,MATCH($O21,SuburbScorecard!$A:$A,0))),"")</f>
        <v/>
      </c>
      <c r="S21" s="22">
        <f>IFERROR(IF(INDEX(SuburbScorecard!$AB:$AB,MATCH($O21,SuburbScorecard!$A:$A,0))="","Needs data",INDEX(SuburbScorecard!$AB:$AB,MATCH($O21,SuburbScorecard!$A:$A,0))),"Needs data")</f>
        <v/>
      </c>
      <c r="T21" s="22">
        <f>IF(L21="Under offer","Under offer",IF(G21="Over cap","Fails: budget",IF(NOT(AND(ISNUMBER(Q21),ISNUMBER(R21))),"Needs data",IF(Q21&gt;Filters!$B$4,"Fails: GW drive",IF(R21&gt;Filters!$B$5,"Fails: ED drive",IF(G21="Straddles cap","Pass if bought near low end","Pass"))))))</f>
        <v/>
      </c>
      <c r="U21" s="22" t="n"/>
      <c r="V21" s="22" t="inlineStr">
        <is>
          <t>https://www.realestate.com.au/property-house-vic-newport-152302080</t>
        </is>
      </c>
    </row>
    <row r="22" ht="15" customHeight="1" s="15">
      <c r="A22" s="22" t="n">
        <v>21</v>
      </c>
      <c r="B22" s="31" t="inlineStr">
        <is>
          <t>28 Stradbroke Avenue</t>
        </is>
      </c>
      <c r="C22" s="22" t="inlineStr">
        <is>
          <t>Frankston South</t>
        </is>
      </c>
      <c r="D22" s="22" t="inlineStr">
        <is>
          <t>Reserve $940,000</t>
        </is>
      </c>
      <c r="E22" s="24" t="n">
        <v>940000</v>
      </c>
      <c r="F22" s="24" t="n">
        <v>940000</v>
      </c>
      <c r="G22" s="22">
        <f>IF(E22="","Needs data",IF(F22&lt;=Filters!$B$2,"Within cap",IF(E22&lt;=Filters!$B$2,"Straddles cap","Over cap")))</f>
        <v/>
      </c>
      <c r="H22" s="22" t="n">
        <v>4</v>
      </c>
      <c r="I22" s="22" t="n">
        <v>2</v>
      </c>
      <c r="J22" s="22" t="n">
        <v>1</v>
      </c>
      <c r="K22" s="22" t="n">
        <v>551</v>
      </c>
      <c r="L22" s="22" t="inlineStr">
        <is>
          <t>Active</t>
        </is>
      </c>
      <c r="M22" s="22" t="inlineStr">
        <is>
          <t>Sat 31 Oct 9:30am</t>
        </is>
      </c>
      <c r="N22" s="22" t="inlineStr">
        <is>
          <t>Brooke Wegener</t>
        </is>
      </c>
      <c r="O22" s="22" t="inlineStr">
        <is>
          <t>Frankston South</t>
        </is>
      </c>
      <c r="P22" s="22">
        <f>IFERROR(INDEX(SuburbScorecard!$C:$C,MATCH($O22,SuburbScorecard!$A:$A,0)),"Not on scorecard")</f>
        <v/>
      </c>
      <c r="Q22" s="22">
        <f>IFERROR(IF(INDEX(SuburbScorecard!$J:$J,MATCH($O22,SuburbScorecard!$A:$A,0))="","",INDEX(SuburbScorecard!$J:$J,MATCH($O22,SuburbScorecard!$A:$A,0))),"")</f>
        <v/>
      </c>
      <c r="R22" s="22">
        <f>IFERROR(IF(INDEX(SuburbScorecard!$K:$K,MATCH($O22,SuburbScorecard!$A:$A,0))="","",INDEX(SuburbScorecard!$K:$K,MATCH($O22,SuburbScorecard!$A:$A,0))),"")</f>
        <v/>
      </c>
      <c r="S22" s="22">
        <f>IFERROR(IF(INDEX(SuburbScorecard!$AB:$AB,MATCH($O22,SuburbScorecard!$A:$A,0))="","Needs data",INDEX(SuburbScorecard!$AB:$AB,MATCH($O22,SuburbScorecard!$A:$A,0))),"Needs data")</f>
        <v/>
      </c>
      <c r="T22" s="22">
        <f>IF(L22="Under offer","Under offer",IF(G22="Over cap","Fails: budget",IF(NOT(AND(ISNUMBER(Q22),ISNUMBER(R22))),"Needs data",IF(Q22&gt;Filters!$B$4,"Fails: GW drive",IF(R22&gt;Filters!$B$5,"Fails: ED drive",IF(G22="Straddles cap","Pass if bought near low end","Pass"))))))</f>
        <v/>
      </c>
      <c r="U22" s="22" t="inlineStr">
        <is>
          <t>Reserve price (auction); final price likely higher</t>
        </is>
      </c>
      <c r="V22" s="22" t="inlineStr">
        <is>
          <t>https://www.realestate.com.au/property-house-vic-frankston+south-152212372</t>
        </is>
      </c>
    </row>
    <row r="23" ht="15" customHeight="1" s="15">
      <c r="A23" s="22" t="n">
        <v>22</v>
      </c>
      <c r="B23" s="31" t="inlineStr">
        <is>
          <t>7 Gordon Avenue</t>
        </is>
      </c>
      <c r="C23" s="22" t="inlineStr">
        <is>
          <t>Tecoma</t>
        </is>
      </c>
      <c r="D23" s="22" t="inlineStr">
        <is>
          <t>$1,300,000-$1,400,000</t>
        </is>
      </c>
      <c r="E23" s="24" t="n">
        <v>1300000</v>
      </c>
      <c r="F23" s="24" t="n">
        <v>1400000</v>
      </c>
      <c r="G23" s="22">
        <f>IF(E23="","Needs data",IF(F23&lt;=Filters!$B$2,"Within cap",IF(E23&lt;=Filters!$B$2,"Straddles cap","Over cap")))</f>
        <v/>
      </c>
      <c r="H23" s="22" t="n">
        <v>4</v>
      </c>
      <c r="I23" s="22" t="n">
        <v>2</v>
      </c>
      <c r="J23" s="22" t="n">
        <v>2</v>
      </c>
      <c r="K23" s="22" t="n">
        <v>1120</v>
      </c>
      <c r="L23" s="22" t="inlineStr">
        <is>
          <t>Under offer</t>
        </is>
      </c>
      <c r="M23" s="22" t="inlineStr">
        <is>
          <t>None listed</t>
        </is>
      </c>
      <c r="N23" s="22" t="inlineStr">
        <is>
          <t>Bree Roberts</t>
        </is>
      </c>
      <c r="O23" s="22" t="inlineStr">
        <is>
          <t>Tecoma</t>
        </is>
      </c>
      <c r="P23" s="22">
        <f>IFERROR(INDEX(SuburbScorecard!$C:$C,MATCH($O23,SuburbScorecard!$A:$A,0)),"Not on scorecard")</f>
        <v/>
      </c>
      <c r="Q23" s="22">
        <f>IFERROR(IF(INDEX(SuburbScorecard!$J:$J,MATCH($O23,SuburbScorecard!$A:$A,0))="","",INDEX(SuburbScorecard!$J:$J,MATCH($O23,SuburbScorecard!$A:$A,0))),"")</f>
        <v/>
      </c>
      <c r="R23" s="22">
        <f>IFERROR(IF(INDEX(SuburbScorecard!$K:$K,MATCH($O23,SuburbScorecard!$A:$A,0))="","",INDEX(SuburbScorecard!$K:$K,MATCH($O23,SuburbScorecard!$A:$A,0))),"")</f>
        <v/>
      </c>
      <c r="S23" s="22">
        <f>IFERROR(IF(INDEX(SuburbScorecard!$AB:$AB,MATCH($O23,SuburbScorecard!$A:$A,0))="","Needs data",INDEX(SuburbScorecard!$AB:$AB,MATCH($O23,SuburbScorecard!$A:$A,0))),"Needs data")</f>
        <v/>
      </c>
      <c r="T23" s="22">
        <f>IF(L23="Under offer","Under offer",IF(G23="Over cap","Fails: budget",IF(NOT(AND(ISNUMBER(Q23),ISNUMBER(R23))),"Needs data",IF(Q23&gt;Filters!$B$4,"Fails: GW drive",IF(R23&gt;Filters!$B$5,"Fails: ED drive",IF(G23="Straddles cap","Pass if bought near low end","Pass"))))))</f>
        <v/>
      </c>
      <c r="V23" s="22" t="inlineStr">
        <is>
          <t>https://www.realestate.com.au/property-house-vic-tecoma-152652276</t>
        </is>
      </c>
    </row>
    <row r="24" ht="15" customHeight="1" s="15">
      <c r="A24" s="22" t="n">
        <v>23</v>
      </c>
      <c r="B24" s="31" t="inlineStr">
        <is>
          <t>24 Monbulk Road</t>
        </is>
      </c>
      <c r="C24" s="22" t="inlineStr">
        <is>
          <t>Belgrave</t>
        </is>
      </c>
      <c r="D24" s="22" t="inlineStr">
        <is>
          <t>Auction $850,000-$920,000</t>
        </is>
      </c>
      <c r="E24" s="24" t="n">
        <v>850000</v>
      </c>
      <c r="F24" s="24" t="n">
        <v>920000</v>
      </c>
      <c r="G24" s="22">
        <f>IF(E24="","Needs data",IF(F24&lt;=Filters!$B$2,"Within cap",IF(E24&lt;=Filters!$B$2,"Straddles cap","Over cap")))</f>
        <v/>
      </c>
      <c r="H24" s="22" t="n">
        <v>4</v>
      </c>
      <c r="I24" s="22" t="n">
        <v>2</v>
      </c>
      <c r="J24" s="22" t="n">
        <v>4</v>
      </c>
      <c r="K24" s="22" t="n">
        <v>3492</v>
      </c>
      <c r="L24" s="22" t="inlineStr">
        <is>
          <t>Active</t>
        </is>
      </c>
      <c r="M24" s="22" t="inlineStr">
        <is>
          <t>Wed 28 Oct 4:00pm</t>
        </is>
      </c>
      <c r="N24" s="22" t="inlineStr">
        <is>
          <t>Cristine Jones</t>
        </is>
      </c>
      <c r="O24" s="22" t="inlineStr">
        <is>
          <t>Belgrave</t>
        </is>
      </c>
      <c r="P24" s="22">
        <f>IFERROR(INDEX(SuburbScorecard!$C:$C,MATCH($O24,SuburbScorecard!$A:$A,0)),"Not on scorecard")</f>
        <v/>
      </c>
      <c r="Q24" s="22">
        <f>IFERROR(IF(INDEX(SuburbScorecard!$J:$J,MATCH($O24,SuburbScorecard!$A:$A,0))="","",INDEX(SuburbScorecard!$J:$J,MATCH($O24,SuburbScorecard!$A:$A,0))),"")</f>
        <v/>
      </c>
      <c r="R24" s="22">
        <f>IFERROR(IF(INDEX(SuburbScorecard!$K:$K,MATCH($O24,SuburbScorecard!$A:$A,0))="","",INDEX(SuburbScorecard!$K:$K,MATCH($O24,SuburbScorecard!$A:$A,0))),"")</f>
        <v/>
      </c>
      <c r="S24" s="22">
        <f>IFERROR(IF(INDEX(SuburbScorecard!$AB:$AB,MATCH($O24,SuburbScorecard!$A:$A,0))="","Needs data",INDEX(SuburbScorecard!$AB:$AB,MATCH($O24,SuburbScorecard!$A:$A,0))),"Needs data")</f>
        <v/>
      </c>
      <c r="T24" s="22">
        <f>IF(L24="Under offer","Under offer",IF(G24="Over cap","Fails: budget",IF(NOT(AND(ISNUMBER(Q24),ISNUMBER(R24))),"Needs data",IF(Q24&gt;Filters!$B$4,"Fails: GW drive",IF(R24&gt;Filters!$B$5,"Fails: ED drive",IF(G24="Straddles cap","Pass if bought near low end","Pass"))))))</f>
        <v/>
      </c>
      <c r="U24" s="22" t="inlineStr">
        <is>
          <t>Auction guide</t>
        </is>
      </c>
      <c r="V24" s="22" t="inlineStr">
        <is>
          <t>https://www.realestate.com.au/property-house-vic-belgrave-152722196</t>
        </is>
      </c>
    </row>
    <row r="25" ht="15" customHeight="1" s="15">
      <c r="A25" s="22" t="n">
        <v>24</v>
      </c>
      <c r="B25" s="31" t="inlineStr">
        <is>
          <t>16 Forest Road</t>
        </is>
      </c>
      <c r="C25" s="22" t="inlineStr">
        <is>
          <t>Belgrave</t>
        </is>
      </c>
      <c r="D25" s="22" t="inlineStr">
        <is>
          <t>Reserve $1,035,000</t>
        </is>
      </c>
      <c r="E25" s="24" t="n">
        <v>1035000</v>
      </c>
      <c r="F25" s="24" t="n">
        <v>1035000</v>
      </c>
      <c r="G25" s="22">
        <f>IF(E25="","Needs data",IF(F25&lt;=Filters!$B$2,"Within cap",IF(E25&lt;=Filters!$B$2,"Straddles cap","Over cap")))</f>
        <v/>
      </c>
      <c r="H25" s="22" t="n">
        <v>4</v>
      </c>
      <c r="I25" s="22" t="n">
        <v>2</v>
      </c>
      <c r="K25" s="22" t="n">
        <v>2070</v>
      </c>
      <c r="L25" s="22" t="inlineStr">
        <is>
          <t>Active</t>
        </is>
      </c>
      <c r="M25" s="22" t="inlineStr">
        <is>
          <t>Thu 29 Oct 6:00pm</t>
        </is>
      </c>
      <c r="N25" s="22" t="inlineStr">
        <is>
          <t>Austen Kosasih</t>
        </is>
      </c>
      <c r="O25" s="22" t="inlineStr">
        <is>
          <t>Belgrave</t>
        </is>
      </c>
      <c r="P25" s="22">
        <f>IFERROR(INDEX(SuburbScorecard!$C:$C,MATCH($O25,SuburbScorecard!$A:$A,0)),"Not on scorecard")</f>
        <v/>
      </c>
      <c r="Q25" s="22">
        <f>IFERROR(IF(INDEX(SuburbScorecard!$J:$J,MATCH($O25,SuburbScorecard!$A:$A,0))="","",INDEX(SuburbScorecard!$J:$J,MATCH($O25,SuburbScorecard!$A:$A,0))),"")</f>
        <v/>
      </c>
      <c r="R25" s="22">
        <f>IFERROR(IF(INDEX(SuburbScorecard!$K:$K,MATCH($O25,SuburbScorecard!$A:$A,0))="","",INDEX(SuburbScorecard!$K:$K,MATCH($O25,SuburbScorecard!$A:$A,0))),"")</f>
        <v/>
      </c>
      <c r="S25" s="22">
        <f>IFERROR(IF(INDEX(SuburbScorecard!$AB:$AB,MATCH($O25,SuburbScorecard!$A:$A,0))="","Needs data",INDEX(SuburbScorecard!$AB:$AB,MATCH($O25,SuburbScorecard!$A:$A,0))),"Needs data")</f>
        <v/>
      </c>
      <c r="T25" s="22">
        <f>IF(L25="Under offer","Under offer",IF(G25="Over cap","Fails: budget",IF(NOT(AND(ISNUMBER(Q25),ISNUMBER(R25))),"Needs data",IF(Q25&gt;Filters!$B$4,"Fails: GW drive",IF(R25&gt;Filters!$B$5,"Fails: ED drive",IF(G25="Straddles cap","Pass if bought near low end","Pass"))))))</f>
        <v/>
      </c>
      <c r="U25" s="22" t="inlineStr">
        <is>
          <t>Car spaces not shown on card; check listing. Reserve price (auction)</t>
        </is>
      </c>
      <c r="V25" s="22" t="inlineStr">
        <is>
          <t>https://www.realestate.com.au/property-house-vic-belgrave-152535704</t>
        </is>
      </c>
    </row>
    <row r="26" ht="15" customHeight="1" s="15">
      <c r="A26" s="22" t="n">
        <v>25</v>
      </c>
      <c r="B26" s="31" t="inlineStr">
        <is>
          <t>3 Forest Road</t>
        </is>
      </c>
      <c r="C26" s="22" t="inlineStr">
        <is>
          <t>Belgrave</t>
        </is>
      </c>
      <c r="D26" s="22" t="inlineStr">
        <is>
          <t>$1,150,000-$1,250,000</t>
        </is>
      </c>
      <c r="E26" s="24" t="n">
        <v>1150000</v>
      </c>
      <c r="F26" s="24" t="n">
        <v>1250000</v>
      </c>
      <c r="G26" s="22">
        <f>IF(E26="","Needs data",IF(F26&lt;=Filters!$B$2,"Within cap",IF(E26&lt;=Filters!$B$2,"Straddles cap","Over cap")))</f>
        <v/>
      </c>
      <c r="H26" s="22" t="n">
        <v>4</v>
      </c>
      <c r="I26" s="22" t="n">
        <v>2</v>
      </c>
      <c r="J26" s="22" t="n">
        <v>2</v>
      </c>
      <c r="K26" s="22" t="n">
        <v>1432</v>
      </c>
      <c r="L26" s="22" t="inlineStr">
        <is>
          <t>Active</t>
        </is>
      </c>
      <c r="M26" s="22" t="inlineStr">
        <is>
          <t>None listed</t>
        </is>
      </c>
      <c r="N26" s="22" t="inlineStr">
        <is>
          <t>Sam Skolnick</t>
        </is>
      </c>
      <c r="O26" s="22" t="inlineStr">
        <is>
          <t>Belgrave</t>
        </is>
      </c>
      <c r="P26" s="22">
        <f>IFERROR(INDEX(SuburbScorecard!$C:$C,MATCH($O26,SuburbScorecard!$A:$A,0)),"Not on scorecard")</f>
        <v/>
      </c>
      <c r="Q26" s="22">
        <f>IFERROR(IF(INDEX(SuburbScorecard!$J:$J,MATCH($O26,SuburbScorecard!$A:$A,0))="","",INDEX(SuburbScorecard!$J:$J,MATCH($O26,SuburbScorecard!$A:$A,0))),"")</f>
        <v/>
      </c>
      <c r="R26" s="22">
        <f>IFERROR(IF(INDEX(SuburbScorecard!$K:$K,MATCH($O26,SuburbScorecard!$A:$A,0))="","",INDEX(SuburbScorecard!$K:$K,MATCH($O26,SuburbScorecard!$A:$A,0))),"")</f>
        <v/>
      </c>
      <c r="S26" s="22">
        <f>IFERROR(IF(INDEX(SuburbScorecard!$AB:$AB,MATCH($O26,SuburbScorecard!$A:$A,0))="","Needs data",INDEX(SuburbScorecard!$AB:$AB,MATCH($O26,SuburbScorecard!$A:$A,0))),"Needs data")</f>
        <v/>
      </c>
      <c r="T26" s="22">
        <f>IF(L26="Under offer","Under offer",IF(G26="Over cap","Fails: budget",IF(NOT(AND(ISNUMBER(Q26),ISNUMBER(R26))),"Needs data",IF(Q26&gt;Filters!$B$4,"Fails: GW drive",IF(R26&gt;Filters!$B$5,"Fails: ED drive",IF(G26="Straddles cap","Pass if bought near low end","Pass"))))))</f>
        <v/>
      </c>
      <c r="V26" s="22" t="inlineStr">
        <is>
          <t>https://www.realestate.com.au/property-house-vic-belgrave-152654296</t>
        </is>
      </c>
    </row>
    <row r="27" ht="15" customHeight="1" s="15">
      <c r="A27" s="22" t="n">
        <v>26</v>
      </c>
      <c r="B27" s="31" t="inlineStr">
        <is>
          <t>11 Dalkeith Crescent</t>
        </is>
      </c>
      <c r="C27" s="22" t="inlineStr">
        <is>
          <t>Belgrave</t>
        </is>
      </c>
      <c r="D27" s="22" t="inlineStr">
        <is>
          <t>$870,000-$946,000</t>
        </is>
      </c>
      <c r="E27" s="24" t="n">
        <v>870000</v>
      </c>
      <c r="F27" s="24" t="n">
        <v>946000</v>
      </c>
      <c r="G27" s="22">
        <f>IF(E27="","Needs data",IF(F27&lt;=Filters!$B$2,"Within cap",IF(E27&lt;=Filters!$B$2,"Straddles cap","Over cap")))</f>
        <v/>
      </c>
      <c r="H27" s="22" t="n">
        <v>5</v>
      </c>
      <c r="I27" s="22" t="n">
        <v>2</v>
      </c>
      <c r="J27" s="22" t="n">
        <v>2</v>
      </c>
      <c r="K27" s="22" t="n">
        <v>1066</v>
      </c>
      <c r="L27" s="22" t="inlineStr">
        <is>
          <t>Active</t>
        </is>
      </c>
      <c r="M27" s="22" t="inlineStr">
        <is>
          <t>Tue 27 Oct 5:00pm</t>
        </is>
      </c>
      <c r="N27" s="22" t="inlineStr">
        <is>
          <t>Mick Dolphin</t>
        </is>
      </c>
      <c r="O27" s="22" t="inlineStr">
        <is>
          <t>Belgrave</t>
        </is>
      </c>
      <c r="P27" s="22">
        <f>IFERROR(INDEX(SuburbScorecard!$C:$C,MATCH($O27,SuburbScorecard!$A:$A,0)),"Not on scorecard")</f>
        <v/>
      </c>
      <c r="Q27" s="22">
        <f>IFERROR(IF(INDEX(SuburbScorecard!$J:$J,MATCH($O27,SuburbScorecard!$A:$A,0))="","",INDEX(SuburbScorecard!$J:$J,MATCH($O27,SuburbScorecard!$A:$A,0))),"")</f>
        <v/>
      </c>
      <c r="R27" s="22">
        <f>IFERROR(IF(INDEX(SuburbScorecard!$K:$K,MATCH($O27,SuburbScorecard!$A:$A,0))="","",INDEX(SuburbScorecard!$K:$K,MATCH($O27,SuburbScorecard!$A:$A,0))),"")</f>
        <v/>
      </c>
      <c r="S27" s="22">
        <f>IFERROR(IF(INDEX(SuburbScorecard!$AB:$AB,MATCH($O27,SuburbScorecard!$A:$A,0))="","Needs data",INDEX(SuburbScorecard!$AB:$AB,MATCH($O27,SuburbScorecard!$A:$A,0))),"Needs data")</f>
        <v/>
      </c>
      <c r="T27" s="22">
        <f>IF(L27="Under offer","Under offer",IF(G27="Over cap","Fails: budget",IF(NOT(AND(ISNUMBER(Q27),ISNUMBER(R27))),"Needs data",IF(Q27&gt;Filters!$B$4,"Fails: GW drive",IF(R27&gt;Filters!$B$5,"Fails: ED drive",IF(G27="Straddles cap","Pass if bought near low end","Pass"))))))</f>
        <v/>
      </c>
      <c r="V27" s="22" t="inlineStr">
        <is>
          <t>https://www.realestate.com.au/property-house-vic-belgrave-152729140</t>
        </is>
      </c>
    </row>
    <row r="28" ht="15" customHeight="1" s="15">
      <c r="A28" s="22" t="n">
        <v>27</v>
      </c>
      <c r="B28" s="31" t="inlineStr">
        <is>
          <t>23 Sherwood Crescent</t>
        </is>
      </c>
      <c r="C28" s="22" t="inlineStr">
        <is>
          <t>Mount Martha</t>
        </is>
      </c>
      <c r="D28" s="22" t="inlineStr">
        <is>
          <t>$1,390,000-$1,490,000</t>
        </is>
      </c>
      <c r="E28" s="24" t="n">
        <v>1390000</v>
      </c>
      <c r="F28" s="24" t="n">
        <v>1490000</v>
      </c>
      <c r="G28" s="22">
        <f>IF(E28="","Needs data",IF(F28&lt;=Filters!$B$2,"Within cap",IF(E28&lt;=Filters!$B$2,"Straddles cap","Over cap")))</f>
        <v/>
      </c>
      <c r="H28" s="22" t="n">
        <v>5</v>
      </c>
      <c r="I28" s="22" t="n">
        <v>3</v>
      </c>
      <c r="J28" s="22" t="n">
        <v>2</v>
      </c>
      <c r="K28" s="22" t="n">
        <v>920</v>
      </c>
      <c r="L28" s="22" t="inlineStr">
        <is>
          <t>Active</t>
        </is>
      </c>
      <c r="M28" s="22" t="inlineStr">
        <is>
          <t>None listed</t>
        </is>
      </c>
      <c r="N28" s="22" t="inlineStr">
        <is>
          <t>Brendan Collopy</t>
        </is>
      </c>
      <c r="O28" s="22" t="inlineStr">
        <is>
          <t>Mount Martha</t>
        </is>
      </c>
      <c r="P28" s="22">
        <f>IFERROR(INDEX(SuburbScorecard!$C:$C,MATCH($O28,SuburbScorecard!$A:$A,0)),"Not on scorecard")</f>
        <v/>
      </c>
      <c r="Q28" s="22">
        <f>IFERROR(IF(INDEX(SuburbScorecard!$J:$J,MATCH($O28,SuburbScorecard!$A:$A,0))="","",INDEX(SuburbScorecard!$J:$J,MATCH($O28,SuburbScorecard!$A:$A,0))),"")</f>
        <v/>
      </c>
      <c r="R28" s="22">
        <f>IFERROR(IF(INDEX(SuburbScorecard!$K:$K,MATCH($O28,SuburbScorecard!$A:$A,0))="","",INDEX(SuburbScorecard!$K:$K,MATCH($O28,SuburbScorecard!$A:$A,0))),"")</f>
        <v/>
      </c>
      <c r="S28" s="22">
        <f>IFERROR(IF(INDEX(SuburbScorecard!$AB:$AB,MATCH($O28,SuburbScorecard!$A:$A,0))="","Needs data",INDEX(SuburbScorecard!$AB:$AB,MATCH($O28,SuburbScorecard!$A:$A,0))),"Needs data")</f>
        <v/>
      </c>
      <c r="T28" s="22">
        <f>IF(L28="Under offer","Under offer",IF(G28="Over cap","Fails: budget",IF(NOT(AND(ISNUMBER(Q28),ISNUMBER(R28))),"Needs data",IF(Q28&gt;Filters!$B$4,"Fails: GW drive",IF(R28&gt;Filters!$B$5,"Fails: ED drive",IF(G28="Straddles cap","Pass if bought near low end","Pass"))))))</f>
        <v/>
      </c>
      <c r="U28" s="22" t="n"/>
      <c r="V28" s="22" t="inlineStr">
        <is>
          <t>https://www.realestate.com.au/property-house-vic-mount+martha-152575492</t>
        </is>
      </c>
    </row>
    <row r="29" ht="15" customHeight="1" s="15">
      <c r="A29" s="22" t="n">
        <v>28</v>
      </c>
      <c r="B29" s="31" t="inlineStr">
        <is>
          <t>85 Terrys Avenue</t>
        </is>
      </c>
      <c r="C29" s="22" t="inlineStr">
        <is>
          <t>Tecoma</t>
        </is>
      </c>
      <c r="D29" s="22" t="inlineStr">
        <is>
          <t>$1,250,000-$1,340,000</t>
        </is>
      </c>
      <c r="E29" s="24" t="n">
        <v>1250000</v>
      </c>
      <c r="F29" s="24" t="n">
        <v>1340000</v>
      </c>
      <c r="G29" s="22">
        <f>IF(E29="","Needs data",IF(F29&lt;=Filters!$B$2,"Within cap",IF(E29&lt;=Filters!$B$2,"Straddles cap","Over cap")))</f>
        <v/>
      </c>
      <c r="H29" s="22" t="n">
        <v>5</v>
      </c>
      <c r="I29" s="22" t="n">
        <v>2</v>
      </c>
      <c r="J29" s="22" t="n">
        <v>4</v>
      </c>
      <c r="K29" s="22" t="n">
        <v>1354</v>
      </c>
      <c r="L29" s="22" t="inlineStr">
        <is>
          <t>Active</t>
        </is>
      </c>
      <c r="M29" s="22" t="inlineStr">
        <is>
          <t>Tue 27 Oct 5:15pm</t>
        </is>
      </c>
      <c r="N29" s="22" t="inlineStr">
        <is>
          <t>Brad Conder</t>
        </is>
      </c>
      <c r="O29" s="22" t="inlineStr">
        <is>
          <t>Tecoma</t>
        </is>
      </c>
      <c r="P29" s="22">
        <f>IFERROR(INDEX(SuburbScorecard!$C:$C,MATCH($O29,SuburbScorecard!$A:$A,0)),"Not on scorecard")</f>
        <v/>
      </c>
      <c r="Q29" s="22">
        <f>IFERROR(IF(INDEX(SuburbScorecard!$J:$J,MATCH($O29,SuburbScorecard!$A:$A,0))="","",INDEX(SuburbScorecard!$J:$J,MATCH($O29,SuburbScorecard!$A:$A,0))),"")</f>
        <v/>
      </c>
      <c r="R29" s="22">
        <f>IFERROR(IF(INDEX(SuburbScorecard!$K:$K,MATCH($O29,SuburbScorecard!$A:$A,0))="","",INDEX(SuburbScorecard!$K:$K,MATCH($O29,SuburbScorecard!$A:$A,0))),"")</f>
        <v/>
      </c>
      <c r="S29" s="22">
        <f>IFERROR(IF(INDEX(SuburbScorecard!$AB:$AB,MATCH($O29,SuburbScorecard!$A:$A,0))="","Needs data",INDEX(SuburbScorecard!$AB:$AB,MATCH($O29,SuburbScorecard!$A:$A,0))),"Needs data")</f>
        <v/>
      </c>
      <c r="T29" s="22">
        <f>IF(L29="Under offer","Under offer",IF(G29="Over cap","Fails: budget",IF(NOT(AND(ISNUMBER(Q29),ISNUMBER(R29))),"Needs data",IF(Q29&gt;Filters!$B$4,"Fails: GW drive",IF(R29&gt;Filters!$B$5,"Fails: ED drive",IF(G29="Straddles cap","Pass if bought near low end","Pass"))))))</f>
        <v/>
      </c>
      <c r="V29" s="22" t="inlineStr">
        <is>
          <t>https://www.realestate.com.au/property-house-vic-tecoma-152712080</t>
        </is>
      </c>
    </row>
    <row r="30" ht="15" customHeight="1" s="15">
      <c r="A30" s="22" t="n">
        <v>29</v>
      </c>
      <c r="B30" s="31" t="inlineStr">
        <is>
          <t>84 Belgrave Gembrook Road</t>
        </is>
      </c>
      <c r="C30" s="22" t="inlineStr">
        <is>
          <t>Belgrave</t>
        </is>
      </c>
      <c r="D30" s="22" t="inlineStr">
        <is>
          <t>$945,000-$1,035,000</t>
        </is>
      </c>
      <c r="E30" s="24" t="n">
        <v>945000</v>
      </c>
      <c r="F30" s="24" t="n">
        <v>1035000</v>
      </c>
      <c r="G30" s="22">
        <f>IF(E30="","Needs data",IF(F30&lt;=Filters!$B$2,"Within cap",IF(E30&lt;=Filters!$B$2,"Straddles cap","Over cap")))</f>
        <v/>
      </c>
      <c r="H30" s="22" t="n">
        <v>5</v>
      </c>
      <c r="I30" s="22" t="n">
        <v>2</v>
      </c>
      <c r="J30" s="22" t="n">
        <v>2</v>
      </c>
      <c r="K30" s="22" t="n">
        <v>4089</v>
      </c>
      <c r="L30" s="22" t="inlineStr">
        <is>
          <t>Active</t>
        </is>
      </c>
      <c r="M30" s="22" t="inlineStr">
        <is>
          <t>Thu 29 Oct 1:30pm</t>
        </is>
      </c>
      <c r="N30" s="22" t="inlineStr">
        <is>
          <t>Jarrod Peterson</t>
        </is>
      </c>
      <c r="O30" s="22" t="inlineStr">
        <is>
          <t>Belgrave</t>
        </is>
      </c>
      <c r="P30" s="22">
        <f>IFERROR(INDEX(SuburbScorecard!$C:$C,MATCH($O30,SuburbScorecard!$A:$A,0)),"Not on scorecard")</f>
        <v/>
      </c>
      <c r="Q30" s="22">
        <f>IFERROR(IF(INDEX(SuburbScorecard!$J:$J,MATCH($O30,SuburbScorecard!$A:$A,0))="","",INDEX(SuburbScorecard!$J:$J,MATCH($O30,SuburbScorecard!$A:$A,0))),"")</f>
        <v/>
      </c>
      <c r="R30" s="22">
        <f>IFERROR(IF(INDEX(SuburbScorecard!$K:$K,MATCH($O30,SuburbScorecard!$A:$A,0))="","",INDEX(SuburbScorecard!$K:$K,MATCH($O30,SuburbScorecard!$A:$A,0))),"")</f>
        <v/>
      </c>
      <c r="S30" s="22">
        <f>IFERROR(IF(INDEX(SuburbScorecard!$AB:$AB,MATCH($O30,SuburbScorecard!$A:$A,0))="","Needs data",INDEX(SuburbScorecard!$AB:$AB,MATCH($O30,SuburbScorecard!$A:$A,0))),"Needs data")</f>
        <v/>
      </c>
      <c r="T30" s="22">
        <f>IF(L30="Under offer","Under offer",IF(G30="Over cap","Fails: budget",IF(NOT(AND(ISNUMBER(Q30),ISNUMBER(R30))),"Needs data",IF(Q30&gt;Filters!$B$4,"Fails: GW drive",IF(R30&gt;Filters!$B$5,"Fails: ED drive",IF(G30="Straddles cap","Pass if bought near low end","Pass"))))))</f>
        <v/>
      </c>
      <c r="V30" s="22" t="inlineStr">
        <is>
          <t>https://www.realestate.com.au/property-house-vic-belgrave-152583472</t>
        </is>
      </c>
    </row>
    <row r="31" ht="15" customHeight="1" s="15">
      <c r="A31" s="22" t="n">
        <v>30</v>
      </c>
      <c r="B31" s="31" t="inlineStr">
        <is>
          <t>3 Fiocchi Avenue</t>
        </is>
      </c>
      <c r="C31" s="22" t="inlineStr">
        <is>
          <t>Frankston</t>
        </is>
      </c>
      <c r="D31" s="22" t="inlineStr">
        <is>
          <t>$1,350,000-$1,450,000</t>
        </is>
      </c>
      <c r="E31" s="24" t="n">
        <v>1350000</v>
      </c>
      <c r="F31" s="24" t="n">
        <v>1450000</v>
      </c>
      <c r="G31" s="22">
        <f>IF(E31="","Needs data",IF(F31&lt;=Filters!$B$2,"Within cap",IF(E31&lt;=Filters!$B$2,"Straddles cap","Over cap")))</f>
        <v/>
      </c>
      <c r="H31" s="22" t="n">
        <v>4</v>
      </c>
      <c r="I31" s="22" t="n">
        <v>3</v>
      </c>
      <c r="J31" s="22" t="n">
        <v>2</v>
      </c>
      <c r="K31" s="22" t="n">
        <v>781</v>
      </c>
      <c r="L31" s="22" t="inlineStr">
        <is>
          <t>Active</t>
        </is>
      </c>
      <c r="M31" s="22" t="inlineStr">
        <is>
          <t>None listed</t>
        </is>
      </c>
      <c r="N31" s="22" t="inlineStr">
        <is>
          <t>Not shown</t>
        </is>
      </c>
      <c r="O31" s="22" t="inlineStr">
        <is>
          <t>Frankston</t>
        </is>
      </c>
      <c r="P31" s="22">
        <f>IFERROR(INDEX(SuburbScorecard!$C:$C,MATCH($O31,SuburbScorecard!$A:$A,0)),"Not on scorecard")</f>
        <v/>
      </c>
      <c r="Q31" s="22">
        <f>IFERROR(IF(INDEX(SuburbScorecard!$J:$J,MATCH($O31,SuburbScorecard!$A:$A,0))="","",INDEX(SuburbScorecard!$J:$J,MATCH($O31,SuburbScorecard!$A:$A,0))),"")</f>
        <v/>
      </c>
      <c r="R31" s="22">
        <f>IFERROR(IF(INDEX(SuburbScorecard!$K:$K,MATCH($O31,SuburbScorecard!$A:$A,0))="","",INDEX(SuburbScorecard!$K:$K,MATCH($O31,SuburbScorecard!$A:$A,0))),"")</f>
        <v/>
      </c>
      <c r="S31" s="22">
        <f>IFERROR(IF(INDEX(SuburbScorecard!$AB:$AB,MATCH($O31,SuburbScorecard!$A:$A,0))="","Needs data",INDEX(SuburbScorecard!$AB:$AB,MATCH($O31,SuburbScorecard!$A:$A,0))),"Needs data")</f>
        <v/>
      </c>
      <c r="T31" s="22">
        <f>IF(L31="Under offer","Under offer",IF(G31="Over cap","Fails: budget",IF(NOT(AND(ISNUMBER(Q31),ISNUMBER(R31))),"Needs data",IF(Q31&gt;Filters!$B$4,"Fails: GW drive",IF(R31&gt;Filters!$B$5,"Fails: ED drive",IF(G31="Straddles cap","Pass if bought near low end","Pass"))))))</f>
        <v/>
      </c>
      <c r="U31" s="22" t="inlineStr">
        <is>
          <t>Agent name not shown on card</t>
        </is>
      </c>
      <c r="V31" s="22" t="inlineStr">
        <is>
          <t>https://www.realestate.com.au/property-house-vic-frankston-151132640</t>
        </is>
      </c>
    </row>
    <row r="32" ht="15" customHeight="1" s="15">
      <c r="A32" s="22" t="n">
        <v>31</v>
      </c>
      <c r="B32" s="31" t="inlineStr">
        <is>
          <t>2 Bader Court</t>
        </is>
      </c>
      <c r="C32" s="22" t="inlineStr">
        <is>
          <t>Frankston South</t>
        </is>
      </c>
      <c r="D32" s="22" t="inlineStr">
        <is>
          <t>$1,500,000-$1,650,000</t>
        </is>
      </c>
      <c r="E32" s="24" t="n">
        <v>1500000</v>
      </c>
      <c r="F32" s="24" t="n">
        <v>1650000</v>
      </c>
      <c r="G32" s="22">
        <f>IF(E32="","Needs data",IF(F32&lt;=Filters!$B$2,"Within cap",IF(E32&lt;=Filters!$B$2,"Straddles cap","Over cap")))</f>
        <v/>
      </c>
      <c r="H32" s="22" t="n">
        <v>4</v>
      </c>
      <c r="I32" s="22" t="n">
        <v>2</v>
      </c>
      <c r="J32" s="22" t="n">
        <v>4</v>
      </c>
      <c r="K32" s="22" t="n">
        <v>430</v>
      </c>
      <c r="L32" s="22" t="inlineStr">
        <is>
          <t>Active</t>
        </is>
      </c>
      <c r="M32" s="22" t="inlineStr">
        <is>
          <t>Thu 29 Oct 5:30pm</t>
        </is>
      </c>
      <c r="N32" s="22" t="inlineStr">
        <is>
          <t>Geoff Oxford</t>
        </is>
      </c>
      <c r="O32" s="22" t="inlineStr">
        <is>
          <t>Frankston South</t>
        </is>
      </c>
      <c r="P32" s="22">
        <f>IFERROR(INDEX(SuburbScorecard!$C:$C,MATCH($O32,SuburbScorecard!$A:$A,0)),"Not on scorecard")</f>
        <v/>
      </c>
      <c r="Q32" s="22">
        <f>IFERROR(IF(INDEX(SuburbScorecard!$J:$J,MATCH($O32,SuburbScorecard!$A:$A,0))="","",INDEX(SuburbScorecard!$J:$J,MATCH($O32,SuburbScorecard!$A:$A,0))),"")</f>
        <v/>
      </c>
      <c r="R32" s="22">
        <f>IFERROR(IF(INDEX(SuburbScorecard!$K:$K,MATCH($O32,SuburbScorecard!$A:$A,0))="","",INDEX(SuburbScorecard!$K:$K,MATCH($O32,SuburbScorecard!$A:$A,0))),"")</f>
        <v/>
      </c>
      <c r="S32" s="22">
        <f>IFERROR(IF(INDEX(SuburbScorecard!$AB:$AB,MATCH($O32,SuburbScorecard!$A:$A,0))="","Needs data",INDEX(SuburbScorecard!$AB:$AB,MATCH($O32,SuburbScorecard!$A:$A,0))),"Needs data")</f>
        <v/>
      </c>
      <c r="T32" s="22">
        <f>IF(L32="Under offer","Under offer",IF(G32="Over cap","Fails: budget",IF(NOT(AND(ISNUMBER(Q32),ISNUMBER(R32))),"Needs data",IF(Q32&gt;Filters!$B$4,"Fails: GW drive",IF(R32&gt;Filters!$B$5,"Fails: ED drive",IF(G32="Straddles cap","Pass if bought near low end","Pass"))))))</f>
        <v/>
      </c>
      <c r="V32" s="22" t="inlineStr">
        <is>
          <t>https://www.realestate.com.au/property-house-vic-frankston+south-152593596</t>
        </is>
      </c>
    </row>
    <row r="33" ht="15" customHeight="1" s="15">
      <c r="A33" s="22" t="n">
        <v>32</v>
      </c>
      <c r="B33" s="31" t="inlineStr">
        <is>
          <t>35 Mountain Avenue</t>
        </is>
      </c>
      <c r="C33" s="22" t="inlineStr">
        <is>
          <t>Frankston South</t>
        </is>
      </c>
      <c r="D33" s="22" t="inlineStr">
        <is>
          <t>$1,150,000-$1,250,000</t>
        </is>
      </c>
      <c r="E33" s="24" t="n">
        <v>1150000</v>
      </c>
      <c r="F33" s="24" t="n">
        <v>1250000</v>
      </c>
      <c r="G33" s="22">
        <f>IF(E33="","Needs data",IF(F33&lt;=Filters!$B$2,"Within cap",IF(E33&lt;=Filters!$B$2,"Straddles cap","Over cap")))</f>
        <v/>
      </c>
      <c r="H33" s="22" t="n">
        <v>3</v>
      </c>
      <c r="I33" s="22" t="n">
        <v>2</v>
      </c>
      <c r="J33" s="22" t="n">
        <v>6</v>
      </c>
      <c r="K33" s="22" t="n">
        <v>2502</v>
      </c>
      <c r="L33" s="22" t="inlineStr">
        <is>
          <t>Active</t>
        </is>
      </c>
      <c r="M33" s="22" t="inlineStr">
        <is>
          <t>Sat 31 Oct 11:00am</t>
        </is>
      </c>
      <c r="N33" s="22" t="inlineStr">
        <is>
          <t>Ashley Weston</t>
        </is>
      </c>
      <c r="O33" s="22" t="inlineStr">
        <is>
          <t>Frankston South</t>
        </is>
      </c>
      <c r="P33" s="22">
        <f>IFERROR(INDEX(SuburbScorecard!$C:$C,MATCH($O33,SuburbScorecard!$A:$A,0)),"Not on scorecard")</f>
        <v/>
      </c>
      <c r="Q33" s="22">
        <f>IFERROR(IF(INDEX(SuburbScorecard!$J:$J,MATCH($O33,SuburbScorecard!$A:$A,0))="","",INDEX(SuburbScorecard!$J:$J,MATCH($O33,SuburbScorecard!$A:$A,0))),"")</f>
        <v/>
      </c>
      <c r="R33" s="22">
        <f>IFERROR(IF(INDEX(SuburbScorecard!$K:$K,MATCH($O33,SuburbScorecard!$A:$A,0))="","",INDEX(SuburbScorecard!$K:$K,MATCH($O33,SuburbScorecard!$A:$A,0))),"")</f>
        <v/>
      </c>
      <c r="S33" s="22">
        <f>IFERROR(IF(INDEX(SuburbScorecard!$AB:$AB,MATCH($O33,SuburbScorecard!$A:$A,0))="","Needs data",INDEX(SuburbScorecard!$AB:$AB,MATCH($O33,SuburbScorecard!$A:$A,0))),"Needs data")</f>
        <v/>
      </c>
      <c r="T33" s="22">
        <f>IF(L33="Under offer","Under offer",IF(G33="Over cap","Fails: budget",IF(NOT(AND(ISNUMBER(Q33),ISNUMBER(R33))),"Needs data",IF(Q33&gt;Filters!$B$4,"Fails: GW drive",IF(R33&gt;Filters!$B$5,"Fails: ED drive",IF(G33="Straddles cap","Pass if bought near low end","Pass"))))))</f>
        <v/>
      </c>
      <c r="V33" s="22" t="inlineStr">
        <is>
          <t>https://www.realestate.com.au/property-house-vic-frankston+south-152448552</t>
        </is>
      </c>
    </row>
  </sheetData>
  <autoFilter ref="A1:U33"/>
  <conditionalFormatting sqref="T2:T33">
    <cfRule type="expression" rank="0" priority="2" equalAverage="0" aboveAverage="0" dxfId="10" text="" percent="0" bottom="0">
      <formula>LEFT($T2,4)="Pass"</formula>
    </cfRule>
    <cfRule type="expression" rank="0" priority="3" equalAverage="0" aboveAverage="0" dxfId="11" text="" percent="0" bottom="0">
      <formula>LEFT($T2,5)="Fails"</formula>
    </cfRule>
    <cfRule type="expression" rank="0" priority="4" equalAverage="0" aboveAverage="0" dxfId="12" text="" percent="0" bottom="0">
      <formula>$T2="Needs data"</formula>
    </cfRule>
  </conditionalFormatting>
  <hyperlinks>
    <hyperlink xmlns:r="http://schemas.openxmlformats.org/officeDocument/2006/relationships" ref="B2" r:id="rId1"/>
    <hyperlink xmlns:r="http://schemas.openxmlformats.org/officeDocument/2006/relationships" ref="V2" r:id="rId2"/>
    <hyperlink xmlns:r="http://schemas.openxmlformats.org/officeDocument/2006/relationships" ref="B3" r:id="rId3"/>
    <hyperlink xmlns:r="http://schemas.openxmlformats.org/officeDocument/2006/relationships" ref="V3" r:id="rId4"/>
    <hyperlink xmlns:r="http://schemas.openxmlformats.org/officeDocument/2006/relationships" ref="B4" r:id="rId5"/>
    <hyperlink xmlns:r="http://schemas.openxmlformats.org/officeDocument/2006/relationships" ref="V4" r:id="rId6"/>
    <hyperlink xmlns:r="http://schemas.openxmlformats.org/officeDocument/2006/relationships" ref="B5" r:id="rId7"/>
    <hyperlink xmlns:r="http://schemas.openxmlformats.org/officeDocument/2006/relationships" ref="V5" r:id="rId8"/>
    <hyperlink xmlns:r="http://schemas.openxmlformats.org/officeDocument/2006/relationships" ref="B6" r:id="rId9"/>
    <hyperlink xmlns:r="http://schemas.openxmlformats.org/officeDocument/2006/relationships" ref="V6" r:id="rId10"/>
    <hyperlink xmlns:r="http://schemas.openxmlformats.org/officeDocument/2006/relationships" ref="B7" r:id="rId11"/>
    <hyperlink xmlns:r="http://schemas.openxmlformats.org/officeDocument/2006/relationships" ref="V7" r:id="rId12"/>
    <hyperlink xmlns:r="http://schemas.openxmlformats.org/officeDocument/2006/relationships" ref="B8" r:id="rId13"/>
    <hyperlink xmlns:r="http://schemas.openxmlformats.org/officeDocument/2006/relationships" ref="V8" r:id="rId14"/>
    <hyperlink xmlns:r="http://schemas.openxmlformats.org/officeDocument/2006/relationships" ref="B9" r:id="rId15"/>
    <hyperlink xmlns:r="http://schemas.openxmlformats.org/officeDocument/2006/relationships" ref="V9" r:id="rId16"/>
    <hyperlink xmlns:r="http://schemas.openxmlformats.org/officeDocument/2006/relationships" ref="B10" r:id="rId17"/>
    <hyperlink xmlns:r="http://schemas.openxmlformats.org/officeDocument/2006/relationships" ref="V10" r:id="rId18"/>
    <hyperlink xmlns:r="http://schemas.openxmlformats.org/officeDocument/2006/relationships" ref="B11" r:id="rId19"/>
    <hyperlink xmlns:r="http://schemas.openxmlformats.org/officeDocument/2006/relationships" ref="V11" r:id="rId20"/>
    <hyperlink xmlns:r="http://schemas.openxmlformats.org/officeDocument/2006/relationships" ref="B12" r:id="rId21"/>
    <hyperlink xmlns:r="http://schemas.openxmlformats.org/officeDocument/2006/relationships" ref="V12" r:id="rId22"/>
    <hyperlink xmlns:r="http://schemas.openxmlformats.org/officeDocument/2006/relationships" ref="B13" r:id="rId23"/>
    <hyperlink xmlns:r="http://schemas.openxmlformats.org/officeDocument/2006/relationships" ref="V13" r:id="rId24"/>
    <hyperlink xmlns:r="http://schemas.openxmlformats.org/officeDocument/2006/relationships" ref="B14" r:id="rId25"/>
    <hyperlink xmlns:r="http://schemas.openxmlformats.org/officeDocument/2006/relationships" ref="V14" r:id="rId26"/>
    <hyperlink xmlns:r="http://schemas.openxmlformats.org/officeDocument/2006/relationships" ref="B15" r:id="rId27"/>
    <hyperlink xmlns:r="http://schemas.openxmlformats.org/officeDocument/2006/relationships" ref="V15" r:id="rId28"/>
    <hyperlink xmlns:r="http://schemas.openxmlformats.org/officeDocument/2006/relationships" ref="B16" r:id="rId29"/>
    <hyperlink xmlns:r="http://schemas.openxmlformats.org/officeDocument/2006/relationships" ref="V16" r:id="rId30"/>
    <hyperlink xmlns:r="http://schemas.openxmlformats.org/officeDocument/2006/relationships" ref="B17" r:id="rId31"/>
    <hyperlink xmlns:r="http://schemas.openxmlformats.org/officeDocument/2006/relationships" ref="V17" r:id="rId32"/>
    <hyperlink xmlns:r="http://schemas.openxmlformats.org/officeDocument/2006/relationships" ref="B18" r:id="rId33"/>
    <hyperlink xmlns:r="http://schemas.openxmlformats.org/officeDocument/2006/relationships" ref="V18" r:id="rId34"/>
    <hyperlink xmlns:r="http://schemas.openxmlformats.org/officeDocument/2006/relationships" ref="B19" r:id="rId35"/>
    <hyperlink xmlns:r="http://schemas.openxmlformats.org/officeDocument/2006/relationships" ref="V19" r:id="rId36"/>
    <hyperlink xmlns:r="http://schemas.openxmlformats.org/officeDocument/2006/relationships" ref="B20" r:id="rId37"/>
    <hyperlink xmlns:r="http://schemas.openxmlformats.org/officeDocument/2006/relationships" ref="V20" r:id="rId38"/>
    <hyperlink xmlns:r="http://schemas.openxmlformats.org/officeDocument/2006/relationships" ref="B21" r:id="rId39"/>
    <hyperlink xmlns:r="http://schemas.openxmlformats.org/officeDocument/2006/relationships" ref="V21" r:id="rId40"/>
    <hyperlink xmlns:r="http://schemas.openxmlformats.org/officeDocument/2006/relationships" ref="B22" r:id="rId41"/>
    <hyperlink xmlns:r="http://schemas.openxmlformats.org/officeDocument/2006/relationships" ref="V22" r:id="rId42"/>
    <hyperlink xmlns:r="http://schemas.openxmlformats.org/officeDocument/2006/relationships" ref="B23" r:id="rId43"/>
    <hyperlink xmlns:r="http://schemas.openxmlformats.org/officeDocument/2006/relationships" ref="V23" r:id="rId44"/>
    <hyperlink xmlns:r="http://schemas.openxmlformats.org/officeDocument/2006/relationships" ref="B24" r:id="rId45"/>
    <hyperlink xmlns:r="http://schemas.openxmlformats.org/officeDocument/2006/relationships" ref="V24" r:id="rId46"/>
    <hyperlink xmlns:r="http://schemas.openxmlformats.org/officeDocument/2006/relationships" ref="B25" r:id="rId47"/>
    <hyperlink xmlns:r="http://schemas.openxmlformats.org/officeDocument/2006/relationships" ref="V25" r:id="rId48"/>
    <hyperlink xmlns:r="http://schemas.openxmlformats.org/officeDocument/2006/relationships" ref="B26" r:id="rId49"/>
    <hyperlink xmlns:r="http://schemas.openxmlformats.org/officeDocument/2006/relationships" ref="V26" r:id="rId50"/>
    <hyperlink xmlns:r="http://schemas.openxmlformats.org/officeDocument/2006/relationships" ref="B27" r:id="rId51"/>
    <hyperlink xmlns:r="http://schemas.openxmlformats.org/officeDocument/2006/relationships" ref="V27" r:id="rId52"/>
    <hyperlink xmlns:r="http://schemas.openxmlformats.org/officeDocument/2006/relationships" ref="B28" r:id="rId53"/>
    <hyperlink xmlns:r="http://schemas.openxmlformats.org/officeDocument/2006/relationships" ref="V28" r:id="rId54"/>
    <hyperlink xmlns:r="http://schemas.openxmlformats.org/officeDocument/2006/relationships" ref="B29" r:id="rId55"/>
    <hyperlink xmlns:r="http://schemas.openxmlformats.org/officeDocument/2006/relationships" ref="V29" r:id="rId56"/>
    <hyperlink xmlns:r="http://schemas.openxmlformats.org/officeDocument/2006/relationships" ref="B30" r:id="rId57"/>
    <hyperlink xmlns:r="http://schemas.openxmlformats.org/officeDocument/2006/relationships" ref="V30" r:id="rId58"/>
    <hyperlink xmlns:r="http://schemas.openxmlformats.org/officeDocument/2006/relationships" ref="B31" r:id="rId59"/>
    <hyperlink xmlns:r="http://schemas.openxmlformats.org/officeDocument/2006/relationships" ref="V31" r:id="rId60"/>
    <hyperlink xmlns:r="http://schemas.openxmlformats.org/officeDocument/2006/relationships" ref="B32" r:id="rId61"/>
    <hyperlink xmlns:r="http://schemas.openxmlformats.org/officeDocument/2006/relationships" ref="V32" r:id="rId62"/>
    <hyperlink xmlns:r="http://schemas.openxmlformats.org/officeDocument/2006/relationships" ref="B33" r:id="rId63"/>
    <hyperlink xmlns:r="http://schemas.openxmlformats.org/officeDocument/2006/relationships" ref="V33" r:id="rId6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F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6328125" defaultRowHeight="15.75" zeroHeight="0" outlineLevelRow="0"/>
  <sheetData>
    <row r="1" ht="15.75" customHeight="1" s="15">
      <c r="A1" s="16" t="inlineStr">
        <is>
          <t>Executive Dashboard</t>
        </is>
      </c>
    </row>
    <row r="3" ht="15.75" customHeight="1" s="15">
      <c r="A3" s="16" t="inlineStr">
        <is>
          <t>Respondent Status</t>
        </is>
      </c>
      <c r="D3" s="16" t="inlineStr">
        <is>
          <t>Priority Weights (Before vs After)</t>
        </is>
      </c>
    </row>
    <row r="4" ht="15.75" customHeight="1" s="15">
      <c r="A4" s="16" t="inlineStr">
        <is>
          <t>Mum</t>
        </is>
      </c>
      <c r="B4" s="16">
        <f>CleanedAnswers!B2</f>
        <v/>
      </c>
      <c r="D4" s="16" t="inlineStr">
        <is>
          <t>Priority</t>
        </is>
      </c>
      <c r="E4" s="16" t="inlineStr">
        <is>
          <t>Draft Baseline</t>
        </is>
      </c>
      <c r="F4" s="16" t="inlineStr">
        <is>
          <t>Final Weight</t>
        </is>
      </c>
    </row>
    <row r="5" ht="15.75" customHeight="1" s="15">
      <c r="A5" s="16" t="inlineStr">
        <is>
          <t>Dad</t>
        </is>
      </c>
      <c r="B5" s="16">
        <f>CleanedAnswers!B3</f>
        <v/>
      </c>
      <c r="D5" s="16" t="inlineStr">
        <is>
          <t>Near family in GW</t>
        </is>
      </c>
      <c r="E5" s="27" t="n">
        <v>0</v>
      </c>
      <c r="F5" s="28">
        <f>ForcedChoiceCorrections!B6</f>
        <v/>
      </c>
    </row>
    <row r="6" ht="15.75" customHeight="1" s="15">
      <c r="A6" s="16" t="inlineStr">
        <is>
          <t>Me</t>
        </is>
      </c>
      <c r="B6" s="16">
        <f>CleanedAnswers!B4</f>
        <v/>
      </c>
      <c r="D6" s="16" t="inlineStr">
        <is>
          <t>Nature</t>
        </is>
      </c>
      <c r="E6" s="27" t="n">
        <v>0.18</v>
      </c>
      <c r="F6" s="28">
        <f>ForcedChoiceCorrections!B7</f>
        <v/>
      </c>
    </row>
    <row r="7" ht="15.75" customHeight="1" s="15">
      <c r="D7" s="16" t="inlineStr">
        <is>
          <t>Hospital</t>
        </is>
      </c>
      <c r="E7" s="27" t="n">
        <v>0.15</v>
      </c>
      <c r="F7" s="28">
        <f>ForcedChoiceCorrections!B8</f>
        <v/>
      </c>
    </row>
    <row r="8" ht="15.75" customHeight="1" s="15">
      <c r="A8" s="16" t="inlineStr">
        <is>
          <t>Active Hard Filters</t>
        </is>
      </c>
      <c r="D8" s="16" t="inlineStr">
        <is>
          <t>Indian community</t>
        </is>
      </c>
      <c r="E8" s="27" t="n">
        <v>0.18</v>
      </c>
      <c r="F8" s="28">
        <f>ForcedChoiceCorrections!B9</f>
        <v/>
      </c>
    </row>
    <row r="9" ht="15.75" customHeight="1" s="15">
      <c r="A9" s="16" t="inlineStr">
        <is>
          <t>Budget Cap</t>
        </is>
      </c>
      <c r="B9" s="21" t="n">
        <v>1500000</v>
      </c>
      <c r="D9" s="16" t="inlineStr">
        <is>
          <t>Shops &amp; doctor</t>
        </is>
      </c>
      <c r="E9" s="27" t="n">
        <v>0.09</v>
      </c>
      <c r="F9" s="28">
        <f>ForcedChoiceCorrections!B10</f>
        <v/>
      </c>
    </row>
    <row r="10" ht="15.75" customHeight="1" s="15">
      <c r="A10" s="16" t="inlineStr">
        <is>
          <t>Max GW Drive</t>
        </is>
      </c>
      <c r="B10" s="16">
        <f>Filters!B4</f>
        <v/>
      </c>
      <c r="D10" s="16" t="inlineStr">
        <is>
          <t>Village character</t>
        </is>
      </c>
      <c r="E10" s="27" t="n">
        <v>0.07000000000000001</v>
      </c>
      <c r="F10" s="28">
        <f>ForcedChoiceCorrections!B11</f>
        <v/>
      </c>
    </row>
    <row r="11" ht="15.75" customHeight="1" s="15">
      <c r="A11" s="16" t="inlineStr">
        <is>
          <t>Max ED Drive</t>
        </is>
      </c>
      <c r="B11" s="16">
        <f>Filters!B5</f>
        <v/>
      </c>
      <c r="D11" s="16" t="inlineStr">
        <is>
          <t>Train/bus</t>
        </is>
      </c>
      <c r="E11" s="27" t="n">
        <v>0.15</v>
      </c>
      <c r="F11" s="28">
        <f>ForcedChoiceCorrections!B12</f>
        <v/>
      </c>
    </row>
    <row r="12" ht="15.75" customHeight="1" s="15">
      <c r="A12" s="16" t="inlineStr">
        <is>
          <t>Stairs</t>
        </is>
      </c>
      <c r="B12" s="16">
        <f>Filters!B6</f>
        <v/>
      </c>
      <c r="D12" s="16" t="inlineStr">
        <is>
          <t>Price</t>
        </is>
      </c>
      <c r="E12" s="27" t="n">
        <v>0.08</v>
      </c>
      <c r="F12" s="28">
        <f>ForcedChoiceCorrections!B13</f>
        <v/>
      </c>
    </row>
    <row r="13" ht="15.75" customHeight="1" s="15">
      <c r="D13" s="16" t="inlineStr">
        <is>
          <t>Beach</t>
        </is>
      </c>
      <c r="E13" s="27" t="n">
        <v>0.1</v>
      </c>
      <c r="F13" s="28">
        <f>ForcedChoiceCorrections!B14</f>
        <v/>
      </c>
    </row>
    <row r="14" ht="15.75" customHeight="1" s="15">
      <c r="A14" s="16" t="inlineStr">
        <is>
          <t>Suburb Counts</t>
        </is>
      </c>
      <c r="D14" s="16" t="inlineStr">
        <is>
          <t>City trip</t>
        </is>
      </c>
      <c r="E14" s="27" t="n">
        <v>0</v>
      </c>
      <c r="F14" s="28">
        <f>ForcedChoiceCorrections!B15</f>
        <v/>
      </c>
    </row>
    <row r="15" ht="15.75" customHeight="1" s="15">
      <c r="A15" s="16" t="inlineStr">
        <is>
          <t>Passing / Provisional Pass</t>
        </is>
      </c>
      <c r="B15" s="16">
        <f>COUNTIF(SuburbScorecard!L:L, "*Pass*")</f>
        <v/>
      </c>
    </row>
    <row r="16" ht="15.75" customHeight="1" s="15">
      <c r="A16" s="16" t="inlineStr">
        <is>
          <t>Needs Data</t>
        </is>
      </c>
      <c r="B16" s="16">
        <f>COUNTIF(SuburbScorecard!L:L, "*Needs data*")</f>
        <v/>
      </c>
      <c r="D16" s="16" t="inlineStr">
        <is>
          <t>Trade-off Disagreements</t>
        </is>
      </c>
    </row>
    <row r="17" ht="15.75" customHeight="1" s="15">
      <c r="A17" s="16" t="inlineStr">
        <is>
          <t>Fails: budget</t>
        </is>
      </c>
      <c r="B17" s="16">
        <f>COUNTIF(SuburbScorecard!L:L, "Fails: budget")</f>
        <v/>
      </c>
      <c r="D17" s="16" t="inlineStr">
        <is>
          <t>Q7a/Q7b Living arrangement</t>
        </is>
      </c>
      <c r="E17" s="16" t="inlineStr">
        <is>
          <t>All three: living together. Home size: Mum and Dad undecided (notes: 3+ bedrooms, ideally self-contained); Me self-contained space.</t>
        </is>
      </c>
    </row>
    <row r="18" ht="15.75" customHeight="1" s="15">
      <c r="A18" s="16" t="inlineStr">
        <is>
          <t>Fails: GW drive</t>
        </is>
      </c>
      <c r="B18" s="16">
        <f>COUNTIF(SuburbScorecard!L:L, "Fails: GW drive")</f>
        <v/>
      </c>
      <c r="D18" s="16" t="inlineStr">
        <is>
          <t>Q7 Garden</t>
        </is>
      </c>
      <c r="E18" s="16" t="inlineStr">
        <is>
          <t>Needs discussion (Depends — see notes)</t>
        </is>
      </c>
    </row>
    <row r="19" ht="15.75" customHeight="1" s="15">
      <c r="A19" s="16" t="inlineStr">
        <is>
          <t>Fails: ED drive</t>
        </is>
      </c>
      <c r="B19" s="16">
        <f>COUNTIF(SuburbScorecard!L:L, "Fails: ED drive")</f>
        <v/>
      </c>
    </row>
    <row r="21">
      <c r="D21" s="16" t="inlineStr">
        <is>
          <t>Location type split (Q13b / Q13c)</t>
        </is>
      </c>
    </row>
    <row r="22">
      <c r="D22" s="16" t="inlineStr">
        <is>
          <t>Person</t>
        </is>
      </c>
      <c r="E22" s="16" t="inlineStr">
        <is>
          <t>Q13b Distance</t>
        </is>
      </c>
      <c r="F22" s="16" t="inlineStr">
        <is>
          <t>Q13c Setting</t>
        </is>
      </c>
    </row>
    <row r="23">
      <c r="D23" s="22" t="inlineStr">
        <is>
          <t>Mum</t>
        </is>
      </c>
      <c r="E23" s="22">
        <f>CleanedAnswers!B36</f>
        <v/>
      </c>
      <c r="F23" s="22">
        <f>CleanedAnswers!B37</f>
        <v/>
      </c>
    </row>
    <row r="24">
      <c r="D24" s="22" t="inlineStr">
        <is>
          <t>Dad</t>
        </is>
      </c>
      <c r="E24" s="22">
        <f>CleanedAnswers!C36</f>
        <v/>
      </c>
      <c r="F24" s="22">
        <f>CleanedAnswers!C37</f>
        <v/>
      </c>
    </row>
    <row r="25">
      <c r="D25" s="22" t="inlineStr">
        <is>
          <t>Me</t>
        </is>
      </c>
      <c r="E25" s="22">
        <f>CleanedAnswers!D36</f>
        <v/>
      </c>
      <c r="F25" s="22">
        <f>CleanedAnswers!D37</f>
        <v/>
      </c>
    </row>
    <row r="26">
      <c r="D26" s="16" t="inlineStr">
        <is>
          <t>Q14 if driving gets hard</t>
        </is>
      </c>
    </row>
    <row r="27">
      <c r="D27" s="22" t="inlineStr">
        <is>
          <t>Mum</t>
        </is>
      </c>
      <c r="E27" s="22">
        <f>CleanedAnswers!B38</f>
        <v/>
      </c>
    </row>
    <row r="28">
      <c r="D28" s="22" t="inlineStr">
        <is>
          <t>Dad</t>
        </is>
      </c>
      <c r="E28" s="22">
        <f>CleanedAnswers!C38</f>
        <v/>
      </c>
    </row>
    <row r="29">
      <c r="D29" s="22" t="inlineStr">
        <is>
          <t>Me</t>
        </is>
      </c>
      <c r="E29" s="22">
        <f>CleanedAnswers!D38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2026-10-27T00:51:13Z</dcterms:created>
  <dcterms:modified xmlns:dcterms="http://purl.org/dc/terms/" xmlns:xsi="http://www.w3.org/2001/XMLSchema-instance" xsi:type="dcterms:W3CDTF">2026-10-27T06:12:30Z</dcterms:modified>
  <cp:revision>0</cp:revision>
</cp:coreProperties>
</file>