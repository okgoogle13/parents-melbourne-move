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yyyy-mm-dd h:mm:ss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 t="n"/>
      <c r="N3" s="19" t="n"/>
      <c r="O3" s="19">
        <f>IF(K3="","",ROUND(MAX(0,10*(1-K3/Filters!$B$5)),1))</f>
        <v/>
      </c>
      <c r="P3" s="19" t="n"/>
      <c r="Q3" s="19" t="n"/>
      <c r="R3" s="19" t="n"/>
      <c r="S3" s="19" t="n"/>
      <c r="T3" s="19" t="n"/>
      <c r="U3" s="19" t="n"/>
      <c r="V3" s="19" t="n"/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 t="n"/>
      <c r="N4" s="19" t="n"/>
      <c r="O4" s="19">
        <f>IF(K4="","",ROUND(MAX(0,10*(1-K4/Filters!$B$5)),1))</f>
        <v/>
      </c>
      <c r="P4" s="19" t="n"/>
      <c r="Q4" s="19" t="n"/>
      <c r="R4" s="19" t="n"/>
      <c r="S4" s="19" t="n"/>
      <c r="T4" s="19" t="n"/>
      <c r="U4" s="19" t="n"/>
      <c r="V4" s="19" t="n"/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 t="n"/>
      <c r="N5" s="19" t="n"/>
      <c r="O5" s="19">
        <f>IF(K5="","",ROUND(MAX(0,10*(1-K5/Filters!$B$5)),1))</f>
        <v/>
      </c>
      <c r="P5" s="19" t="n"/>
      <c r="Q5" s="19" t="n"/>
      <c r="R5" s="19" t="n"/>
      <c r="S5" s="19" t="n"/>
      <c r="T5" s="19" t="n"/>
      <c r="U5" s="19" t="n"/>
      <c r="V5" s="19" t="n"/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 t="n"/>
      <c r="N6" s="19" t="n"/>
      <c r="O6" s="19">
        <f>IF(K6="","",ROUND(MAX(0,10*(1-K6/Filters!$B$5)),1))</f>
        <v/>
      </c>
      <c r="P6" s="19" t="n"/>
      <c r="Q6" s="19" t="n"/>
      <c r="R6" s="19" t="n"/>
      <c r="S6" s="19" t="n"/>
      <c r="T6" s="19" t="n"/>
      <c r="U6" s="19" t="n"/>
      <c r="V6" s="19" t="n"/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 t="n"/>
      <c r="N8" s="19" t="n"/>
      <c r="O8" s="19">
        <f>IF(K8="","",ROUND(MAX(0,10*(1-K8/Filters!$B$5)),1))</f>
        <v/>
      </c>
      <c r="P8" s="19" t="n"/>
      <c r="Q8" s="19" t="n"/>
      <c r="R8" s="19" t="n"/>
      <c r="S8" s="19" t="n"/>
      <c r="T8" s="19" t="n"/>
      <c r="U8" s="19" t="n"/>
      <c r="V8" s="19" t="n"/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 t="n"/>
      <c r="N9" s="19" t="n"/>
      <c r="O9" s="19">
        <f>IF(K9="","",ROUND(MAX(0,10*(1-K9/Filters!$B$5)),1))</f>
        <v/>
      </c>
      <c r="P9" s="19" t="n"/>
      <c r="Q9" s="19" t="n"/>
      <c r="R9" s="19" t="n"/>
      <c r="S9" s="19" t="n"/>
      <c r="T9" s="19" t="n"/>
      <c r="U9" s="19" t="n"/>
      <c r="V9" s="19" t="n"/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 t="n"/>
      <c r="N10" s="19" t="n"/>
      <c r="O10" s="19">
        <f>IF(K10="","",ROUND(MAX(0,10*(1-K10/Filters!$B$5)),1))</f>
        <v/>
      </c>
      <c r="P10" s="19" t="n"/>
      <c r="Q10" s="19" t="n"/>
      <c r="R10" s="19" t="n"/>
      <c r="S10" s="19" t="n"/>
      <c r="T10" s="19" t="n"/>
      <c r="U10" s="19" t="n"/>
      <c r="V10" s="19" t="n"/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 t="n"/>
      <c r="N11" s="19" t="n"/>
      <c r="O11" s="19">
        <f>IF(K11="","",ROUND(MAX(0,10*(1-K11/Filters!$B$5)),1))</f>
        <v/>
      </c>
      <c r="P11" s="19" t="n"/>
      <c r="Q11" s="19" t="n"/>
      <c r="R11" s="19" t="n"/>
      <c r="S11" s="19" t="n"/>
      <c r="T11" s="19" t="n"/>
      <c r="U11" s="19" t="n"/>
      <c r="V11" s="19" t="n"/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 t="n"/>
      <c r="N12" s="19" t="n"/>
      <c r="O12" s="19">
        <f>IF(K12="","",ROUND(MAX(0,10*(1-K12/Filters!$B$5)),1))</f>
        <v/>
      </c>
      <c r="P12" s="19" t="n"/>
      <c r="Q12" s="19" t="n"/>
      <c r="R12" s="19" t="n"/>
      <c r="S12" s="19" t="n"/>
      <c r="T12" s="19" t="n"/>
      <c r="U12" s="19" t="n"/>
      <c r="V12" s="19" t="n"/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 t="n"/>
      <c r="N14" s="19" t="n"/>
      <c r="O14" s="19">
        <f>IF(K14="","",ROUND(MAX(0,10*(1-K14/Filters!$B$5)),1))</f>
        <v/>
      </c>
      <c r="P14" s="19" t="n"/>
      <c r="Q14" s="19" t="n"/>
      <c r="R14" s="19" t="n"/>
      <c r="S14" s="19" t="n"/>
      <c r="T14" s="19" t="n"/>
      <c r="U14" s="19" t="n"/>
      <c r="V14" s="19" t="n"/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 t="n"/>
      <c r="N15" s="19" t="n"/>
      <c r="O15" s="19">
        <f>IF(K15="","",ROUND(MAX(0,10*(1-K15/Filters!$B$5)),1))</f>
        <v/>
      </c>
      <c r="P15" s="19" t="n"/>
      <c r="Q15" s="19" t="n"/>
      <c r="R15" s="19" t="n"/>
      <c r="S15" s="19" t="n"/>
      <c r="T15" s="19" t="n"/>
      <c r="U15" s="19" t="n"/>
      <c r="V15" s="19" t="n"/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 t="n"/>
      <c r="N16" s="19" t="n"/>
      <c r="O16" s="19">
        <f>IF(K16="","",ROUND(MAX(0,10*(1-K16/Filters!$B$5)),1))</f>
        <v/>
      </c>
      <c r="P16" s="19" t="n"/>
      <c r="Q16" s="19" t="n"/>
      <c r="R16" s="19" t="n"/>
      <c r="S16" s="19" t="n"/>
      <c r="T16" s="19" t="n"/>
      <c r="U16" s="19" t="n"/>
      <c r="V16" s="19" t="n"/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 t="n"/>
      <c r="N17" s="19" t="n"/>
      <c r="O17" s="19">
        <f>IF(K17="","",ROUND(MAX(0,10*(1-K17/Filters!$B$5)),1))</f>
        <v/>
      </c>
      <c r="P17" s="19" t="n"/>
      <c r="Q17" s="19" t="n"/>
      <c r="R17" s="19" t="n"/>
      <c r="S17" s="19" t="n"/>
      <c r="T17" s="19" t="n"/>
      <c r="U17" s="19" t="n"/>
      <c r="V17" s="19" t="n"/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 t="n"/>
      <c r="N18" s="19" t="n"/>
      <c r="O18" s="19">
        <f>IF(K18="","",ROUND(MAX(0,10*(1-K18/Filters!$B$5)),1))</f>
        <v/>
      </c>
      <c r="P18" s="19" t="n"/>
      <c r="Q18" s="19" t="n"/>
      <c r="R18" s="19" t="n"/>
      <c r="S18" s="19" t="n"/>
      <c r="T18" s="19" t="n"/>
      <c r="U18" s="19" t="n"/>
      <c r="V18" s="19" t="n"/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 t="n"/>
      <c r="N20" s="19" t="n"/>
      <c r="O20" s="19">
        <f>IF(K20="","",ROUND(MAX(0,10*(1-K20/Filters!$B$5)),1))</f>
        <v/>
      </c>
      <c r="P20" s="19" t="n"/>
      <c r="Q20" s="19" t="n"/>
      <c r="R20" s="19" t="n"/>
      <c r="S20" s="19" t="n"/>
      <c r="T20" s="19" t="n"/>
      <c r="U20" s="19" t="n"/>
      <c r="V20" s="19" t="n"/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 t="n"/>
      <c r="N21" s="19" t="n"/>
      <c r="O21" s="19">
        <f>IF(K21="","",ROUND(MAX(0,10*(1-K21/Filters!$B$5)),1))</f>
        <v/>
      </c>
      <c r="P21" s="19" t="n"/>
      <c r="Q21" s="19" t="n"/>
      <c r="R21" s="19" t="n"/>
      <c r="S21" s="19" t="n"/>
      <c r="T21" s="19" t="n"/>
      <c r="U21" s="19" t="n"/>
      <c r="V21" s="19" t="n"/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 t="n"/>
      <c r="N22" s="19" t="n"/>
      <c r="O22" s="19">
        <f>IF(K22="","",ROUND(MAX(0,10*(1-K22/Filters!$B$5)),1))</f>
        <v/>
      </c>
      <c r="P22" s="19" t="n"/>
      <c r="Q22" s="19" t="n"/>
      <c r="R22" s="19" t="n"/>
      <c r="S22" s="19" t="n"/>
      <c r="T22" s="19" t="n"/>
      <c r="U22" s="19" t="n"/>
      <c r="V22" s="19" t="n"/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 t="n"/>
      <c r="N23" s="19" t="n"/>
      <c r="O23" s="19">
        <f>IF(K23="","",ROUND(MAX(0,10*(1-K23/Filters!$B$5)),1))</f>
        <v/>
      </c>
      <c r="P23" s="19" t="n"/>
      <c r="Q23" s="19" t="n"/>
      <c r="R23" s="19" t="n"/>
      <c r="S23" s="19" t="n"/>
      <c r="T23" s="19" t="n"/>
      <c r="U23" s="19" t="n"/>
      <c r="V23" s="19" t="n"/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 t="n"/>
      <c r="N24" s="19" t="n"/>
      <c r="O24" s="19">
        <f>IF(K24="","",ROUND(MAX(0,10*(1-K24/Filters!$B$5)),1))</f>
        <v/>
      </c>
      <c r="P24" s="19" t="n"/>
      <c r="Q24" s="19" t="n"/>
      <c r="R24" s="19" t="n"/>
      <c r="S24" s="19" t="n"/>
      <c r="T24" s="19" t="n"/>
      <c r="U24" s="19" t="n"/>
      <c r="V24" s="19" t="n"/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 t="n"/>
      <c r="N25" s="19" t="n"/>
      <c r="O25" s="19">
        <f>IF(K25="","",ROUND(MAX(0,10*(1-K25/Filters!$B$5)),1))</f>
        <v/>
      </c>
      <c r="P25" s="19" t="n"/>
      <c r="Q25" s="19" t="n"/>
      <c r="R25" s="19" t="n"/>
      <c r="S25" s="19" t="n"/>
      <c r="T25" s="19" t="n"/>
      <c r="U25" s="19" t="n"/>
      <c r="V25" s="19" t="n"/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 t="n"/>
      <c r="N26" s="19" t="n"/>
      <c r="O26" s="19">
        <f>IF(K26="","",ROUND(MAX(0,10*(1-K26/Filters!$B$5)),1))</f>
        <v/>
      </c>
      <c r="P26" s="19" t="n"/>
      <c r="Q26" s="19" t="n"/>
      <c r="R26" s="19" t="n"/>
      <c r="S26" s="19" t="n"/>
      <c r="T26" s="19" t="n"/>
      <c r="U26" s="19" t="n"/>
      <c r="V26" s="19" t="n"/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 t="n"/>
      <c r="N27" s="19" t="n"/>
      <c r="O27" s="19">
        <f>IF(K27="","",ROUND(MAX(0,10*(1-K27/Filters!$B$5)),1))</f>
        <v/>
      </c>
      <c r="P27" s="19" t="n"/>
      <c r="Q27" s="19" t="n"/>
      <c r="R27" s="19" t="n"/>
      <c r="S27" s="19" t="n"/>
      <c r="T27" s="19" t="n"/>
      <c r="U27" s="19" t="n"/>
      <c r="V27" s="19" t="n"/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 t="n"/>
      <c r="N28" s="19" t="n"/>
      <c r="O28" s="19">
        <f>IF(K28="","",ROUND(MAX(0,10*(1-K28/Filters!$B$5)),1))</f>
        <v/>
      </c>
      <c r="P28" s="19" t="n"/>
      <c r="Q28" s="19" t="n"/>
      <c r="R28" s="19" t="n"/>
      <c r="S28" s="19" t="n"/>
      <c r="T28" s="19" t="n"/>
      <c r="U28" s="19" t="n"/>
      <c r="V28" s="19" t="n"/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 t="n"/>
      <c r="N29" s="19" t="n"/>
      <c r="O29" s="19">
        <f>IF(K29="","",ROUND(MAX(0,10*(1-K29/Filters!$B$5)),1))</f>
        <v/>
      </c>
      <c r="P29" s="19" t="n"/>
      <c r="Q29" s="19" t="n"/>
      <c r="R29" s="19" t="n"/>
      <c r="S29" s="19" t="n"/>
      <c r="T29" s="19" t="n"/>
      <c r="U29" s="19" t="n"/>
      <c r="V29" s="19" t="n"/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 t="n"/>
      <c r="N31" s="19" t="n"/>
      <c r="O31" s="19">
        <f>IF(K31="","",ROUND(MAX(0,10*(1-K31/Filters!$B$5)),1))</f>
        <v/>
      </c>
      <c r="P31" s="19" t="n"/>
      <c r="Q31" s="19" t="n"/>
      <c r="R31" s="19" t="n"/>
      <c r="S31" s="19" t="n"/>
      <c r="T31" s="19" t="n"/>
      <c r="U31" s="19" t="n"/>
      <c r="V31" s="19" t="n"/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 t="n"/>
      <c r="N35" s="19" t="n"/>
      <c r="O35" s="19">
        <f>IF(K35="","",ROUND(MAX(0,10*(1-K35/Filters!$B$5)),1))</f>
        <v/>
      </c>
      <c r="P35" s="19" t="n"/>
      <c r="Q35" s="19" t="n"/>
      <c r="R35" s="19" t="n"/>
      <c r="S35" s="19" t="n"/>
      <c r="T35" s="19" t="n"/>
      <c r="U35" s="19" t="n"/>
      <c r="V35" s="19" t="n"/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 t="n"/>
      <c r="N36" s="19" t="n"/>
      <c r="O36" s="19">
        <f>IF(K36="","",ROUND(MAX(0,10*(1-K36/Filters!$B$5)),1))</f>
        <v/>
      </c>
      <c r="P36" s="19" t="n"/>
      <c r="Q36" s="19" t="n"/>
      <c r="R36" s="19" t="n"/>
      <c r="S36" s="19" t="n"/>
      <c r="T36" s="19" t="n"/>
      <c r="U36" s="19" t="n"/>
      <c r="V36" s="19" t="n"/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 t="n"/>
      <c r="N37" s="19" t="n"/>
      <c r="O37" s="19">
        <f>IF(K37="","",ROUND(MAX(0,10*(1-K37/Filters!$B$5)),1))</f>
        <v/>
      </c>
      <c r="P37" s="19" t="n"/>
      <c r="Q37" s="19" t="n"/>
      <c r="R37" s="19" t="n"/>
      <c r="S37" s="19" t="n"/>
      <c r="T37" s="19" t="n"/>
      <c r="U37" s="19" t="n"/>
      <c r="V37" s="19" t="n"/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 t="n"/>
      <c r="N38" s="19" t="n"/>
      <c r="O38" s="19">
        <f>IF(K38="","",ROUND(MAX(0,10*(1-K38/Filters!$B$5)),1))</f>
        <v/>
      </c>
      <c r="P38" s="19" t="n"/>
      <c r="Q38" s="19" t="n"/>
      <c r="R38" s="19" t="n"/>
      <c r="S38" s="19" t="n"/>
      <c r="T38" s="19" t="n"/>
      <c r="U38" s="19" t="n"/>
      <c r="V38" s="19" t="n"/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 t="n"/>
      <c r="N39" s="19" t="n"/>
      <c r="O39" s="19">
        <f>IF(K39="","",ROUND(MAX(0,10*(1-K39/Filters!$B$5)),1))</f>
        <v/>
      </c>
      <c r="P39" s="19" t="n"/>
      <c r="Q39" s="19" t="n"/>
      <c r="R39" s="19" t="n"/>
      <c r="S39" s="19" t="n"/>
      <c r="T39" s="19" t="n"/>
      <c r="U39" s="19" t="n"/>
      <c r="V39" s="19" t="n"/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 t="n"/>
      <c r="N40" s="19" t="n"/>
      <c r="O40" s="19">
        <f>IF(K40="","",ROUND(MAX(0,10*(1-K40/Filters!$B$5)),1))</f>
        <v/>
      </c>
      <c r="P40" s="19" t="n"/>
      <c r="Q40" s="19" t="n"/>
      <c r="R40" s="19" t="n"/>
      <c r="S40" s="19" t="n"/>
      <c r="T40" s="19" t="n"/>
      <c r="U40" s="19" t="n"/>
      <c r="V40" s="19" t="n"/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(recall; verify)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 t="n"/>
      <c r="N42" s="19" t="n"/>
      <c r="O42" s="19">
        <f>IF(K42="","",ROUND(MAX(0,10*(1-K42/Filters!$B$5)),1))</f>
        <v/>
      </c>
      <c r="P42" s="19" t="n"/>
      <c r="Q42" s="19" t="n"/>
      <c r="R42" s="19" t="n"/>
      <c r="S42" s="19" t="n"/>
      <c r="T42" s="19" t="n"/>
      <c r="U42" s="19" t="n"/>
      <c r="V42" s="19" t="n"/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 t="n"/>
      <c r="N45" s="19" t="n"/>
      <c r="O45" s="19">
        <f>IF(K45="","",ROUND(MAX(0,10*(1-K45/Filters!$B$5)),1))</f>
        <v/>
      </c>
      <c r="P45" s="19" t="n"/>
      <c r="Q45" s="19" t="n"/>
      <c r="R45" s="19" t="n"/>
      <c r="S45" s="19" t="n"/>
      <c r="T45" s="19" t="n"/>
      <c r="U45" s="19" t="n"/>
      <c r="V45" s="19" t="n"/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 t="n"/>
      <c r="N47" s="19" t="n"/>
      <c r="O47" s="19">
        <f>IF(K47="","",ROUND(MAX(0,10*(1-K47/Filters!$B$5)),1))</f>
        <v/>
      </c>
      <c r="P47" s="19" t="n"/>
      <c r="Q47" s="19" t="n"/>
      <c r="R47" s="19" t="n"/>
      <c r="S47" s="19" t="n"/>
      <c r="T47" s="19" t="n"/>
      <c r="U47" s="19" t="n"/>
      <c r="V47" s="19" t="n"/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O51" s="16">
        <f>IF(K51="","",ROUND(MAX(0,10*(1-K51/Filters!$B$5)),1))</f>
        <v/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O52" s="16">
        <f>IF(K52="","",ROUND(MAX(0,10*(1-K52/Filters!$B$5)),1))</f>
        <v/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O53" s="16">
        <f>IF(K53="","",ROUND(MAX(0,10*(1-K53/Filters!$B$5)),1))</f>
        <v/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O54" s="16">
        <f>IF(K54="","",ROUND(MAX(0,10*(1-K54/Filters!$B$5)),1))</f>
        <v/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O55" s="16">
        <f>IF(K55="","",ROUND(MAX(0,10*(1-K55/Filters!$B$5)),1))</f>
        <v/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O56" s="16">
        <f>IF(K56="","",ROUND(MAX(0,10*(1-K56/Filters!$B$5)),1))</f>
        <v/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O57" s="22">
        <f>IF(K57="","",ROUND(MAX(0,10*(1-K57/Filters!$B$5)),1))</f>
        <v/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O58" s="22">
        <f>IF(K58="","",ROUND(MAX(0,10*(1-K58/Filters!$B$5)),1))</f>
        <v/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O59" s="22">
        <f>IF(K59="","",ROUND(MAX(0,10*(1-K59/Filters!$B$5)),1))</f>
        <v/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</t>
        </is>
      </c>
      <c r="AB59" s="22" t="inlineStr">
        <is>
          <t>Yes</t>
        </is>
      </c>
      <c r="AC59" s="22" t="inlineStr">
        <is>
          <t>Seaford station, Frankston line (recall; verify)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O60" s="22">
        <f>IF(K60="","",ROUND(MAX(0,10*(1-K60/Filters!$B$5)),1))</f>
        <v/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</t>
        </is>
      </c>
      <c r="AB60" s="22" t="inlineStr">
        <is>
          <t>Yes</t>
        </is>
      </c>
      <c r="AC60" s="22" t="inlineStr">
        <is>
          <t>Chelsea station, Frankston line (recall; verify)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O62" s="22">
        <f>IF(K62="","",ROUND(MAX(0,10*(1-K62/Filters!$B$5)),1))</f>
        <v/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O63" s="22">
        <f>IF(K63="","",ROUND(MAX(0,10*(1-K63/Filters!$B$5)),1))</f>
        <v/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O64" s="22">
        <f>IF(K64="","",ROUND(MAX(0,10*(1-K64/Filters!$B$5)),1))</f>
        <v/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</t>
        </is>
      </c>
      <c r="AB64" s="22" t="inlineStr">
        <is>
          <t>Yes</t>
        </is>
      </c>
      <c r="AC64" s="22" t="inlineStr">
        <is>
          <t>Mordialloc station, Frankston line (recall; verify)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O65" s="22">
        <f>IF(K65="","",ROUND(MAX(0,10*(1-K65/Filters!$B$5)),1))</f>
        <v/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</t>
        </is>
      </c>
      <c r="AB65" s="22" t="inlineStr">
        <is>
          <t>Yes</t>
        </is>
      </c>
      <c r="AC65" s="22" t="inlineStr">
        <is>
          <t>Newport station, Werribee/Williamstown lines (recall; verify)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O66" s="22">
        <f>IF(K66="","",ROUND(MAX(0,10*(1-K66/Filters!$B$5)),1))</f>
        <v/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2026-10-27T06:34:48Z</dcterms:modified>
  <cp:revision>0</cp:revision>
</cp:coreProperties>
</file>