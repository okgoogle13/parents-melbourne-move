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hh:mm"/>
    <numFmt numFmtId="165" formatCode="&quot;$&quot;#,##0"/>
    <numFmt numFmtId="166" formatCode="$#,##0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rgb="FFFFFFFF"/>
      <sz val="11"/>
    </font>
    <font>
      <name val="Roboto"/>
      <color rgb="FF1A1B1F"/>
      <sz val="10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FFF00"/>
        <bgColor rgb="FFFFFF00"/>
      </patternFill>
    </fill>
    <fill>
      <patternFill patternType="solid">
        <fgColor rgb="001F4E79"/>
        <bgColor rgb="001F4E79"/>
      </patternFill>
    </fill>
    <fill>
      <patternFill patternType="solid">
        <fgColor rgb="00E6EDF7"/>
      </patternFill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1" fillId="0" borderId="0" pivotButton="0" quotePrefix="1" xfId="0"/>
    <xf numFmtId="0" fontId="3" fillId="3" borderId="0" pivotButton="0" quotePrefix="0" xfId="0"/>
    <xf numFmtId="9" fontId="1" fillId="0" borderId="0" pivotButton="0" quotePrefix="0" xfId="0"/>
    <xf numFmtId="10" fontId="1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166" fontId="0" fillId="0" borderId="0" pivotButton="0" quotePrefix="0" xfId="0"/>
    <xf numFmtId="166" fontId="1" fillId="0" borderId="0" pivotButton="0" quotePrefix="0" xfId="0"/>
    <xf numFmtId="0" fontId="0" fillId="0" borderId="0" pivotButton="0" quotePrefix="0" xfId="0"/>
    <xf numFmtId="0" fontId="5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ill>
        <patternFill patternType="solid">
          <fgColor rgb="00D9F0D3"/>
        </patternFill>
      </fill>
    </dxf>
    <dxf>
      <fill>
        <patternFill patternType="solid">
          <fgColor rgb="00F5D6D6"/>
        </patternFill>
      </fill>
    </dxf>
    <dxf>
      <fill>
        <patternFill patternType="solid">
          <fgColor rgb="00FFF2CC"/>
        </patternFill>
      </fill>
    </dxf>
  </dxfs>
  <tableStyles count="2" defaultTableStyle="TableStyleMedium9" defaultPivotStyle="PivotStyleLight16">
    <tableStyle name="Settings-style" pivot="0" count="3">
      <tableStyleElement type="headerRow" dxfId="1"/>
      <tableStyleElement type="firstRowStripe" dxfId="2"/>
      <tableStyleElement type="secondRowStripe" dxfId="3"/>
    </tableStyle>
    <tableStyle name="SuburbScorecard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le_1" displayName="Table_1" ref="A1:C25" headerRowCount="1">
  <tableColumns count="3">
    <tableColumn id="1" name="Parameter"/>
    <tableColumn id="2" name="Value"/>
    <tableColumn id="3" name="Notes"/>
  </tableColumns>
  <tableStyleInfo name="Setting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Z50" headerRowCount="1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  <tableStyleInfo name="SuburbScorecard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Workflow Steps</t>
        </is>
      </c>
    </row>
    <row r="2">
      <c r="A2" s="10" t="inlineStr">
        <is>
          <t>1. Complete 'Me' first</t>
        </is>
      </c>
    </row>
    <row r="3">
      <c r="A3" s="10" t="inlineStr">
        <is>
          <t>2. Interview Mum &amp; Dad separately</t>
        </is>
      </c>
    </row>
    <row r="4">
      <c r="A4" s="10" t="inlineStr">
        <is>
          <t>3. Enforce Max-2-Essential rule</t>
        </is>
      </c>
    </row>
    <row r="5">
      <c r="A5" s="10" t="inlineStr">
        <is>
          <t>4. Review DiscussionSummary</t>
        </is>
      </c>
    </row>
    <row r="6">
      <c r="A6" s="10" t="inlineStr">
        <is>
          <t>5. Verify suburb data</t>
        </is>
      </c>
    </row>
    <row r="8">
      <c r="A8" s="10" t="inlineStr">
        <is>
          <t>Boundaries Table</t>
        </is>
      </c>
    </row>
    <row r="9">
      <c r="A9" s="10" t="inlineStr">
        <is>
          <t>Type</t>
        </is>
      </c>
      <c r="B9" s="10" t="inlineStr">
        <is>
          <t>Description</t>
        </is>
      </c>
    </row>
    <row r="10">
      <c r="A10" s="10" t="inlineStr">
        <is>
          <t>Manual</t>
        </is>
      </c>
      <c r="B10" s="10" t="inlineStr">
        <is>
          <t>Editable input cells in yellow</t>
        </is>
      </c>
    </row>
    <row r="11">
      <c r="A11" s="10" t="inlineStr">
        <is>
          <t>Automatic</t>
        </is>
      </c>
      <c r="B11" s="10" t="inlineStr">
        <is>
          <t>Calculated outputs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Notes</t>
        </is>
      </c>
    </row>
    <row r="2">
      <c r="A2" s="9" t="inlineStr">
        <is>
          <t>Say in the decision: Mum</t>
        </is>
      </c>
      <c r="B2" s="13" t="n">
        <v>1</v>
      </c>
      <c r="C2" s="9" t="n"/>
    </row>
    <row r="3">
      <c r="A3" s="9" t="inlineStr">
        <is>
          <t>Say in the decision: Dad</t>
        </is>
      </c>
      <c r="B3" s="13" t="n">
        <v>1</v>
      </c>
      <c r="C3" s="9" t="n"/>
    </row>
    <row r="4">
      <c r="A4" s="9" t="inlineStr">
        <is>
          <t>Say in the decision: Me</t>
        </is>
      </c>
      <c r="B4" s="13" t="n">
        <v>1</v>
      </c>
      <c r="C4" s="9" t="n"/>
    </row>
    <row r="5">
      <c r="A5" s="9" t="inlineStr">
        <is>
          <t>Max D (Essential) answers per person</t>
        </is>
      </c>
      <c r="B5" s="13" t="n">
        <v>2</v>
      </c>
      <c r="C5" s="9" t="n"/>
    </row>
    <row r="6">
      <c r="A6" s="9" t="inlineStr">
        <is>
          <t>Purchase costs allowance (% of price)</t>
        </is>
      </c>
      <c r="B6" s="13" t="n">
        <v>0.06</v>
      </c>
      <c r="C6" s="9" t="inlineStr">
        <is>
          <t>(provisional estimate, not SRO calculation)</t>
        </is>
      </c>
    </row>
    <row r="7">
      <c r="A7" s="9" t="inlineStr">
        <is>
          <t>Forced-choice override margin</t>
        </is>
      </c>
      <c r="B7" s="13" t="n">
        <v>0.02</v>
      </c>
      <c r="C7" s="9" t="n"/>
    </row>
    <row r="8">
      <c r="A8" s="9" t="n"/>
      <c r="B8" s="9" t="n"/>
      <c r="C8" s="9" t="n"/>
    </row>
    <row r="9">
      <c r="A9" s="9" t="inlineStr">
        <is>
          <t>Priority Rating Scale</t>
        </is>
      </c>
      <c r="B9" s="9" t="inlineStr">
        <is>
          <t>Level</t>
        </is>
      </c>
      <c r="C9" s="9" t="inlineStr">
        <is>
          <t>Score</t>
        </is>
      </c>
    </row>
    <row r="10">
      <c r="A10" s="9" t="inlineStr">
        <is>
          <t>A</t>
        </is>
      </c>
      <c r="B10" s="9" t="inlineStr">
        <is>
          <t>Level 1, Not needed</t>
        </is>
      </c>
      <c r="C10" s="9" t="n">
        <v>0</v>
      </c>
    </row>
    <row r="11">
      <c r="A11" s="9" t="inlineStr">
        <is>
          <t>B</t>
        </is>
      </c>
      <c r="B11" s="9" t="inlineStr">
        <is>
          <t>Level 2, Nice to have</t>
        </is>
      </c>
      <c r="C11" s="9" t="n">
        <v>1</v>
      </c>
    </row>
    <row r="12">
      <c r="A12" s="9" t="inlineStr">
        <is>
          <t>C</t>
        </is>
      </c>
      <c r="B12" s="9" t="inlineStr">
        <is>
          <t>Level 3, Important</t>
        </is>
      </c>
      <c r="C12" s="9" t="n">
        <v>2</v>
      </c>
    </row>
    <row r="13">
      <c r="A13" s="9" t="inlineStr">
        <is>
          <t>D</t>
        </is>
      </c>
      <c r="B13" s="9" t="inlineStr">
        <is>
          <t>Level 4, Essential</t>
        </is>
      </c>
      <c r="C13" s="9" t="n">
        <v>4</v>
      </c>
    </row>
    <row r="14">
      <c r="A14" s="9" t="n"/>
      <c r="B14" s="9" t="n"/>
      <c r="C14" s="9" t="n"/>
    </row>
    <row r="15">
      <c r="A15" s="9" t="inlineStr">
        <is>
          <t>Draft Baseline Weights</t>
        </is>
      </c>
      <c r="B15" s="9" t="inlineStr">
        <is>
          <t>Weight</t>
        </is>
      </c>
      <c r="C15" s="9" t="n"/>
    </row>
    <row r="16">
      <c r="A16" s="9" t="inlineStr">
        <is>
          <t>Q15.1 Nature</t>
        </is>
      </c>
      <c r="B16" s="13" t="n">
        <v>0.18</v>
      </c>
      <c r="C16" s="9" t="n"/>
    </row>
    <row r="17">
      <c r="A17" s="9" t="inlineStr">
        <is>
          <t>Q15.2 Near family in GW</t>
        </is>
      </c>
      <c r="B17" s="13" t="n">
        <v>0</v>
      </c>
      <c r="C17" s="9" t="n"/>
    </row>
    <row r="18">
      <c r="A18" s="9" t="inlineStr">
        <is>
          <t>Q15.3 Indian community</t>
        </is>
      </c>
      <c r="B18" s="13" t="n">
        <v>0.18</v>
      </c>
      <c r="C18" s="9" t="n"/>
    </row>
    <row r="19">
      <c r="A19" s="9" t="inlineStr">
        <is>
          <t>Q15.4 Beach</t>
        </is>
      </c>
      <c r="B19" s="13" t="n">
        <v>0.1</v>
      </c>
      <c r="C19" s="9" t="n"/>
    </row>
    <row r="20">
      <c r="A20" s="9" t="inlineStr">
        <is>
          <t>Q15.5 Hospital</t>
        </is>
      </c>
      <c r="B20" s="13" t="n">
        <v>0.15</v>
      </c>
      <c r="C20" s="9" t="n"/>
    </row>
    <row r="21">
      <c r="A21" s="9" t="inlineStr">
        <is>
          <t>Q15.6 Train/bus</t>
        </is>
      </c>
      <c r="B21" s="13" t="n">
        <v>0.15</v>
      </c>
      <c r="C21" s="9" t="n"/>
    </row>
    <row r="22">
      <c r="A22" s="9" t="inlineStr">
        <is>
          <t>Q15.7 Shops/doctor</t>
        </is>
      </c>
      <c r="B22" s="13" t="n">
        <v>0.09</v>
      </c>
      <c r="C22" s="9" t="n"/>
    </row>
    <row r="23">
      <c r="A23" s="9" t="inlineStr">
        <is>
          <t>Q15.8 Village character</t>
        </is>
      </c>
      <c r="B23" s="13" t="n">
        <v>0.07000000000000001</v>
      </c>
      <c r="C23" s="9" t="n"/>
    </row>
    <row r="24">
      <c r="A24" s="9" t="inlineStr">
        <is>
          <t>Q15.9 Price</t>
        </is>
      </c>
      <c r="B24" s="13" t="n">
        <v>0.08</v>
      </c>
      <c r="C24" s="9" t="n"/>
    </row>
    <row r="25">
      <c r="A25" s="9" t="inlineStr">
        <is>
          <t>Q15.10 Easy city trip</t>
        </is>
      </c>
      <c r="B25" s="13" t="n">
        <v>0</v>
      </c>
      <c r="C25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L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Timestamp</t>
        </is>
      </c>
      <c r="B1" s="10" t="inlineStr">
        <is>
          <t>[Q0] Whose answers are these?</t>
        </is>
      </c>
      <c r="C1" s="10" t="inlineStr">
        <is>
          <t>[Q1]</t>
        </is>
      </c>
      <c r="D1" s="10" t="inlineStr">
        <is>
          <t>[Q2]</t>
        </is>
      </c>
      <c r="E1" s="10" t="inlineStr">
        <is>
          <t>[Q3] Total budget</t>
        </is>
      </c>
      <c r="F1" s="10" t="inlineStr">
        <is>
          <t>[Q4] Max drive to GW</t>
        </is>
      </c>
      <c r="G1" s="10" t="inlineStr">
        <is>
          <t>[Q4b] Max drive to GW (if D)</t>
        </is>
      </c>
      <c r="H1" s="10" t="inlineStr">
        <is>
          <t>[Q5] Max drive to ED</t>
        </is>
      </c>
      <c r="I1" s="10" t="inlineStr">
        <is>
          <t>[Q6] Stairs</t>
        </is>
      </c>
      <c r="J1" s="10" t="inlineStr">
        <is>
          <t>[Q7] Garden</t>
        </is>
      </c>
      <c r="K1" s="10" t="inlineStr">
        <is>
          <t>[Q7a] Living arrangement</t>
        </is>
      </c>
      <c r="L1" s="10" t="inlineStr">
        <is>
          <t>[Q7b] Home size</t>
        </is>
      </c>
      <c r="M1" s="10" t="inlineStr">
        <is>
          <t>[Q8]</t>
        </is>
      </c>
      <c r="N1" s="10" t="inlineStr">
        <is>
          <t>[Q9]</t>
        </is>
      </c>
      <c r="O1" s="10" t="inlineStr">
        <is>
          <t>[Q10]</t>
        </is>
      </c>
      <c r="P1" s="10" t="inlineStr">
        <is>
          <t>[Q11]</t>
        </is>
      </c>
      <c r="Q1" s="10" t="inlineStr">
        <is>
          <t>[Q12]</t>
        </is>
      </c>
      <c r="R1" s="10" t="inlineStr">
        <is>
          <t>[Q13]</t>
        </is>
      </c>
      <c r="S1" s="10" t="inlineStr">
        <is>
          <t>[Q13b]</t>
        </is>
      </c>
      <c r="T1" s="10" t="inlineStr">
        <is>
          <t>[Q13c]</t>
        </is>
      </c>
      <c r="U1" s="10" t="inlineStr">
        <is>
          <t>[Q14]</t>
        </is>
      </c>
      <c r="V1" s="10" t="inlineStr">
        <is>
          <t>[Q15.1] Nature</t>
        </is>
      </c>
      <c r="W1" s="10" t="inlineStr">
        <is>
          <t>[Q15.2] Near family in GW</t>
        </is>
      </c>
      <c r="X1" s="10" t="inlineStr">
        <is>
          <t>[Q15.3] Indian community</t>
        </is>
      </c>
      <c r="Y1" s="10" t="inlineStr">
        <is>
          <t>[Q15.4] Beach</t>
        </is>
      </c>
      <c r="Z1" s="10" t="inlineStr">
        <is>
          <t>[Q15.5] Hospital</t>
        </is>
      </c>
      <c r="AA1" s="10" t="inlineStr">
        <is>
          <t>[Q15.6] Train/bus</t>
        </is>
      </c>
      <c r="AB1" s="10" t="inlineStr">
        <is>
          <t>[Q15.7] Shops/doctor</t>
        </is>
      </c>
      <c r="AC1" s="10" t="inlineStr">
        <is>
          <t>[Q15.8] Village character</t>
        </is>
      </c>
      <c r="AD1" s="10" t="inlineStr">
        <is>
          <t>[Q15.9] Price</t>
        </is>
      </c>
      <c r="AE1" s="10" t="inlineStr">
        <is>
          <t>[Q15.10] Easy city trip</t>
        </is>
      </c>
      <c r="AF1" s="10" t="inlineStr">
        <is>
          <t>[Q15 Notes]</t>
        </is>
      </c>
      <c r="AG1" s="10" t="inlineStr">
        <is>
          <t>[Q16]</t>
        </is>
      </c>
      <c r="AH1" s="10" t="inlineStr">
        <is>
          <t>[Q17]</t>
        </is>
      </c>
      <c r="AI1" s="10" t="inlineStr">
        <is>
          <t>[Q18]</t>
        </is>
      </c>
      <c r="AJ1" s="10" t="inlineStr">
        <is>
          <t>[Q19]</t>
        </is>
      </c>
      <c r="AK1" s="10" t="inlineStr">
        <is>
          <t>[Q20]</t>
        </is>
      </c>
      <c r="AL1" s="10" t="inlineStr">
        <is>
          <t>[Q21]</t>
        </is>
      </c>
    </row>
    <row r="2">
      <c r="A2" s="6" t="n">
        <v>0.375</v>
      </c>
      <c r="B2" s="10" t="inlineStr">
        <is>
          <t>Dad</t>
        </is>
      </c>
      <c r="E2" s="11" t="n">
        <v>1000000</v>
      </c>
      <c r="F2" s="10" t="inlineStr">
        <is>
          <t>C - 35m</t>
        </is>
      </c>
      <c r="H2" s="10" t="inlineStr">
        <is>
          <t>C - 30m</t>
        </is>
      </c>
      <c r="I2" s="10" t="inlineStr">
        <is>
          <t>B - Some stairs</t>
        </is>
      </c>
      <c r="J2" s="10" t="inlineStr">
        <is>
          <t>B - Small garden</t>
        </is>
      </c>
      <c r="O2" s="10" t="inlineStr">
        <is>
          <t>Nature</t>
        </is>
      </c>
      <c r="P2" s="10" t="inlineStr">
        <is>
          <t>Village character</t>
        </is>
      </c>
      <c r="Q2" s="10" t="inlineStr">
        <is>
          <t>Shops &amp; doctor</t>
        </is>
      </c>
      <c r="V2" s="10" t="inlineStr">
        <is>
          <t>C</t>
        </is>
      </c>
      <c r="W2" s="10" t="inlineStr">
        <is>
          <t>C</t>
        </is>
      </c>
      <c r="X2" s="10" t="inlineStr">
        <is>
          <t>C</t>
        </is>
      </c>
      <c r="Y2" s="10" t="inlineStr">
        <is>
          <t>C</t>
        </is>
      </c>
      <c r="Z2" s="10" t="inlineStr">
        <is>
          <t>C</t>
        </is>
      </c>
      <c r="AA2" s="10" t="inlineStr">
        <is>
          <t>C</t>
        </is>
      </c>
      <c r="AB2" s="10" t="inlineStr">
        <is>
          <t>C</t>
        </is>
      </c>
      <c r="AC2" s="10" t="inlineStr">
        <is>
          <t>C</t>
        </is>
      </c>
      <c r="AD2" s="10" t="inlineStr">
        <is>
          <t>D</t>
        </is>
      </c>
      <c r="AE2" s="10" t="inlineStr">
        <is>
          <t>D</t>
        </is>
      </c>
    </row>
    <row r="3">
      <c r="A3" s="6" t="n">
        <v>0.3854166666666667</v>
      </c>
      <c r="B3" s="10" t="inlineStr">
        <is>
          <t>Me</t>
        </is>
      </c>
      <c r="F3" s="10" t="inlineStr">
        <is>
          <t>B - 25m</t>
        </is>
      </c>
      <c r="H3" s="10" t="inlineStr">
        <is>
          <t>B - 20m</t>
        </is>
      </c>
      <c r="I3" s="10" t="inlineStr">
        <is>
          <t>A - None</t>
        </is>
      </c>
      <c r="J3" s="10" t="inlineStr">
        <is>
          <t>C - Courtyard</t>
        </is>
      </c>
      <c r="O3" s="10" t="inlineStr">
        <is>
          <t>Nature</t>
        </is>
      </c>
      <c r="P3" s="10" t="inlineStr">
        <is>
          <t>Village character</t>
        </is>
      </c>
      <c r="Q3" s="10" t="inlineStr">
        <is>
          <t>Shops &amp; doctor</t>
        </is>
      </c>
      <c r="V3" s="10" t="inlineStr">
        <is>
          <t>D</t>
        </is>
      </c>
      <c r="W3" s="10" t="inlineStr">
        <is>
          <t>D</t>
        </is>
      </c>
      <c r="X3" s="10" t="inlineStr">
        <is>
          <t>C</t>
        </is>
      </c>
      <c r="Y3" s="10" t="inlineStr">
        <is>
          <t>C</t>
        </is>
      </c>
      <c r="Z3" s="10" t="inlineStr">
        <is>
          <t>C</t>
        </is>
      </c>
      <c r="AA3" s="10" t="inlineStr">
        <is>
          <t>C</t>
        </is>
      </c>
      <c r="AB3" s="10" t="inlineStr">
        <is>
          <t>C</t>
        </is>
      </c>
      <c r="AC3" s="10" t="inlineStr">
        <is>
          <t>C</t>
        </is>
      </c>
      <c r="AD3" s="10" t="inlineStr">
        <is>
          <t>C</t>
        </is>
      </c>
      <c r="AE3" s="10" t="inlineStr">
        <is>
          <t>C</t>
        </is>
      </c>
    </row>
    <row r="4">
      <c r="A4" s="6" t="n">
        <v>0.3958333333333333</v>
      </c>
      <c r="B4" s="10" t="inlineStr">
        <is>
          <t>Mum</t>
        </is>
      </c>
      <c r="E4" s="11" t="n">
        <v>1250000</v>
      </c>
      <c r="F4" s="10" t="inlineStr">
        <is>
          <t>B - 25m</t>
        </is>
      </c>
      <c r="H4" s="10" t="inlineStr">
        <is>
          <t>B - 20m</t>
        </is>
      </c>
      <c r="I4" s="10" t="inlineStr">
        <is>
          <t>A - None at all (Single-level only)</t>
        </is>
      </c>
      <c r="J4" s="10" t="inlineStr">
        <is>
          <t>C - Courtyard</t>
        </is>
      </c>
      <c r="K4" s="10" t="inlineStr">
        <is>
          <t>D - Self-contained space</t>
        </is>
      </c>
      <c r="O4" s="10" t="inlineStr">
        <is>
          <t>Near family in GW</t>
        </is>
      </c>
      <c r="P4" s="10" t="inlineStr">
        <is>
          <t>Village character</t>
        </is>
      </c>
      <c r="Q4" s="10" t="inlineStr">
        <is>
          <t>Shops &amp; doctor</t>
        </is>
      </c>
      <c r="V4" s="10" t="inlineStr">
        <is>
          <t>D</t>
        </is>
      </c>
      <c r="W4" s="10" t="inlineStr">
        <is>
          <t>D</t>
        </is>
      </c>
      <c r="X4" s="10" t="inlineStr">
        <is>
          <t>D</t>
        </is>
      </c>
      <c r="Y4" s="10" t="inlineStr">
        <is>
          <t>C</t>
        </is>
      </c>
      <c r="Z4" s="10" t="inlineStr">
        <is>
          <t>C</t>
        </is>
      </c>
      <c r="AA4" s="10" t="inlineStr">
        <is>
          <t>C</t>
        </is>
      </c>
      <c r="AB4" s="10" t="inlineStr">
        <is>
          <t>C</t>
        </is>
      </c>
      <c r="AC4" s="10" t="inlineStr">
        <is>
          <t>C</t>
        </is>
      </c>
      <c r="AD4" s="10" t="inlineStr">
        <is>
          <t>C</t>
        </is>
      </c>
      <c r="AE4" s="10" t="inlineStr">
        <is>
          <t>C</t>
        </is>
      </c>
    </row>
    <row r="5">
      <c r="A5" s="6" t="n">
        <v>0.40625</v>
      </c>
      <c r="B5" s="10" t="inlineStr">
        <is>
          <t>Dad</t>
        </is>
      </c>
      <c r="E5" s="11" t="n">
        <v>1500000</v>
      </c>
      <c r="F5" s="10" t="inlineStr">
        <is>
          <t>D - 45 min or more</t>
        </is>
      </c>
      <c r="G5" s="10" t="n">
        <v>75</v>
      </c>
      <c r="H5" s="10" t="inlineStr">
        <is>
          <t>D - no limit</t>
        </is>
      </c>
      <c r="I5" s="10" t="inlineStr">
        <is>
          <t>C - Doesn't matter</t>
        </is>
      </c>
      <c r="J5" s="10" t="inlineStr">
        <is>
          <t>E - Depends on Garden</t>
        </is>
      </c>
      <c r="O5" s="10" t="inlineStr">
        <is>
          <t>Near family in GW</t>
        </is>
      </c>
      <c r="P5" s="10" t="inlineStr">
        <is>
          <t>Village character</t>
        </is>
      </c>
      <c r="Q5" s="10" t="inlineStr">
        <is>
          <t>Shops &amp; doctor</t>
        </is>
      </c>
      <c r="V5" s="10" t="inlineStr">
        <is>
          <t>D</t>
        </is>
      </c>
      <c r="W5" s="10" t="inlineStr">
        <is>
          <t>D</t>
        </is>
      </c>
      <c r="X5" s="10" t="inlineStr">
        <is>
          <t>C</t>
        </is>
      </c>
      <c r="Y5" s="10" t="inlineStr">
        <is>
          <t>C</t>
        </is>
      </c>
      <c r="Z5" s="10" t="inlineStr">
        <is>
          <t>C</t>
        </is>
      </c>
      <c r="AA5" s="10" t="inlineStr">
        <is>
          <t>C</t>
        </is>
      </c>
      <c r="AB5" s="10" t="inlineStr">
        <is>
          <t>C</t>
        </is>
      </c>
      <c r="AC5" s="10" t="inlineStr">
        <is>
          <t>C</t>
        </is>
      </c>
      <c r="AD5" s="10" t="inlineStr">
        <is>
          <t>C</t>
        </is>
      </c>
      <c r="AE5" s="10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2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Person</t>
        </is>
      </c>
      <c r="B1" s="10" t="inlineStr">
        <is>
          <t>Latest Row</t>
        </is>
      </c>
      <c r="C1" s="10" t="inlineStr">
        <is>
          <t>Q15 Essential Count</t>
        </is>
      </c>
    </row>
    <row r="2">
      <c r="A2" s="10" t="inlineStr">
        <is>
          <t>Mum</t>
        </is>
      </c>
      <c r="B2" s="10">
        <f>_xlfn.XMATCH("Mum", RawResponses!$B:$B, 0, -1)</f>
        <v/>
      </c>
      <c r="C2" s="10">
        <f t="array" ref="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>
      <c r="A3" s="10" t="inlineStr">
        <is>
          <t>Dad</t>
        </is>
      </c>
      <c r="B3" s="10">
        <f>_xlfn.XMATCH("Dad", RawResponses!$B:$B, 0, -1)</f>
        <v/>
      </c>
      <c r="C3" s="10">
        <f t="array" ref="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>
      <c r="A4" s="10" t="inlineStr">
        <is>
          <t>Me</t>
        </is>
      </c>
      <c r="B4" s="10">
        <f>_xlfn.XMATCH("Me", RawResponses!$B:$B, 0, -1)</f>
        <v/>
      </c>
      <c r="C4" s="10">
        <f t="array" ref="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>
      <c r="A6" s="10" t="inlineStr">
        <is>
          <t>Question ID</t>
        </is>
      </c>
      <c r="B6" s="10" t="inlineStr">
        <is>
          <t>Mum Answer</t>
        </is>
      </c>
      <c r="C6" s="10" t="inlineStr">
        <is>
          <t>Dad Answer</t>
        </is>
      </c>
      <c r="D6" s="10" t="inlineStr">
        <is>
          <t>Me Answer</t>
        </is>
      </c>
      <c r="E6" s="10" t="inlineStr">
        <is>
          <t>Mum Code</t>
        </is>
      </c>
      <c r="F6" s="10" t="inlineStr">
        <is>
          <t>Dad Code</t>
        </is>
      </c>
      <c r="G6" s="10" t="inlineStr">
        <is>
          <t>Me Code</t>
        </is>
      </c>
    </row>
    <row r="7">
      <c r="A7" s="10" t="inlineStr">
        <is>
          <t>[Q3] Total budget</t>
        </is>
      </c>
      <c r="B7" s="11">
        <f t="array" ref="B7">INDEX(RawResponses!$A:$AL, $B$2, MATCH($A7&amp;"*", RawResponses!$A$1:$AL$1, 0))</f>
        <v/>
      </c>
      <c r="C7" s="11">
        <f t="array" ref="C7">INDEX(RawResponses!$A:$AL, $B$3, MATCH($A7&amp;"*", RawResponses!$A$1:$AL$1, 0))</f>
        <v/>
      </c>
      <c r="D7" s="10">
        <f t="array" ref="D7">INDEX(RawResponses!$A:$AL, $B$4, MATCH($A7&amp;"*", RawResponses!$A$1:$AL$1, 0))</f>
        <v/>
      </c>
      <c r="E7" s="10">
        <f>LEFT(B7, 1)</f>
        <v/>
      </c>
      <c r="F7" s="10">
        <f>LEFT(C7, 1)</f>
        <v/>
      </c>
      <c r="G7" s="10">
        <f>LEFT(D7, 1)</f>
        <v/>
      </c>
    </row>
    <row r="8">
      <c r="A8" s="10" t="inlineStr">
        <is>
          <t>[Q4] Max drive to GW</t>
        </is>
      </c>
      <c r="B8" s="10">
        <f t="array" ref="B8">INDEX(RawResponses!$A:$AL, $B$2, MATCH($A8&amp;"*", RawResponses!$A$1:$AL$1, 0))</f>
        <v/>
      </c>
      <c r="C8" s="10">
        <f t="array" ref="C8">INDEX(RawResponses!$A:$AL, $B$3, MATCH($A8&amp;"*", RawResponses!$A$1:$AL$1, 0))</f>
        <v/>
      </c>
      <c r="D8" s="10">
        <f t="array" ref="D8">INDEX(RawResponses!$A:$AL, $B$4, MATCH($A8&amp;"*", RawResponses!$A$1:$AL$1, 0))</f>
        <v/>
      </c>
      <c r="E8" s="10">
        <f>LEFT(B8, 1)</f>
        <v/>
      </c>
      <c r="F8" s="10">
        <f>LEFT(C8, 1)</f>
        <v/>
      </c>
      <c r="G8" s="10">
        <f>LEFT(D8, 1)</f>
        <v/>
      </c>
    </row>
    <row r="9">
      <c r="A9" s="10" t="inlineStr">
        <is>
          <t>[Q4b] Max drive to GW (if D)</t>
        </is>
      </c>
      <c r="B9" s="10">
        <f t="array" ref="B9">INDEX(RawResponses!$A:$AL, $B$2, MATCH($A9&amp;"*", RawResponses!$A$1:$AL$1, 0))</f>
        <v/>
      </c>
      <c r="C9" s="10">
        <f t="array" ref="C9">INDEX(RawResponses!$A:$AL, $B$3, MATCH($A9&amp;"*", RawResponses!$A$1:$AL$1, 0))</f>
        <v/>
      </c>
      <c r="D9" s="10">
        <f t="array" ref="D9">INDEX(RawResponses!$A:$AL, $B$4, MATCH($A9&amp;"*", RawResponses!$A$1:$AL$1, 0))</f>
        <v/>
      </c>
      <c r="E9" s="10">
        <f>IF(B9="","",B9)</f>
        <v/>
      </c>
      <c r="F9" s="10">
        <f>IF(C9="","",C9)</f>
        <v/>
      </c>
      <c r="G9" s="10">
        <f>IF(D9="","",D9)</f>
        <v/>
      </c>
    </row>
    <row r="10">
      <c r="A10" s="10" t="inlineStr">
        <is>
          <t>[Q5] Max drive to ED</t>
        </is>
      </c>
      <c r="B10" s="10">
        <f t="array" ref="B10">INDEX(RawResponses!$A:$AL, $B$2, MATCH($A10&amp;"*", RawResponses!$A$1:$AL$1, 0))</f>
        <v/>
      </c>
      <c r="C10" s="10">
        <f t="array" ref="C10">INDEX(RawResponses!$A:$AL, $B$3, MATCH($A10&amp;"*", RawResponses!$A$1:$AL$1, 0))</f>
        <v/>
      </c>
      <c r="D10" s="10">
        <f t="array" ref="D10">INDEX(RawResponses!$A:$AL, $B$4, MATCH($A10&amp;"*", RawResponses!$A$1:$AL$1, 0))</f>
        <v/>
      </c>
      <c r="E10" s="10">
        <f>LEFT(B10, 1)</f>
        <v/>
      </c>
      <c r="F10" s="10">
        <f>LEFT(C10, 1)</f>
        <v/>
      </c>
      <c r="G10" s="10">
        <f>LEFT(D10, 1)</f>
        <v/>
      </c>
    </row>
    <row r="11">
      <c r="A11" s="10" t="inlineStr">
        <is>
          <t>[Q6] Stairs</t>
        </is>
      </c>
      <c r="B11" s="10">
        <f t="array" ref="B11">INDEX(RawResponses!$A:$AL, $B$2, MATCH($A11&amp;"*", RawResponses!$A$1:$AL$1, 0))</f>
        <v/>
      </c>
      <c r="C11" s="10">
        <f t="array" ref="C11">INDEX(RawResponses!$A:$AL, $B$3, MATCH($A11&amp;"*", RawResponses!$A$1:$AL$1, 0))</f>
        <v/>
      </c>
      <c r="D11" s="10">
        <f t="array" ref="D11">INDEX(RawResponses!$A:$AL, $B$4, MATCH($A11&amp;"*", RawResponses!$A$1:$AL$1, 0))</f>
        <v/>
      </c>
      <c r="E11" s="10">
        <f>LEFT(B11, 1)</f>
        <v/>
      </c>
      <c r="F11" s="10">
        <f>LEFT(C11, 1)</f>
        <v/>
      </c>
      <c r="G11" s="10">
        <f>LEFT(D11, 1)</f>
        <v/>
      </c>
    </row>
    <row r="12">
      <c r="A12" s="10" t="inlineStr">
        <is>
          <t>[Q7] Garden</t>
        </is>
      </c>
      <c r="B12" s="10">
        <f t="array" ref="B12">INDEX(RawResponses!$A:$AL, $B$2, MATCH($A12&amp;"*", RawResponses!$A$1:$AL$1, 0))</f>
        <v/>
      </c>
      <c r="C12" s="10">
        <f t="array" ref="C12">INDEX(RawResponses!$A:$AL, $B$3, MATCH($A12&amp;"*", RawResponses!$A$1:$AL$1, 0))</f>
        <v/>
      </c>
      <c r="D12" s="10">
        <f t="array" ref="D12">INDEX(RawResponses!$A:$AL, $B$4, MATCH($A12&amp;"*", RawResponses!$A$1:$AL$1, 0))</f>
        <v/>
      </c>
      <c r="E12" s="10">
        <f>LEFT(B12, 1)</f>
        <v/>
      </c>
      <c r="F12" s="10">
        <f>LEFT(C12, 1)</f>
        <v/>
      </c>
      <c r="G12" s="10">
        <f>LEFT(D12, 1)</f>
        <v/>
      </c>
    </row>
    <row r="13">
      <c r="A13" s="10" t="inlineStr">
        <is>
          <t>[Q7a] Living arrangement</t>
        </is>
      </c>
      <c r="B13" s="10">
        <f t="array" ref="B13">INDEX(RawResponses!$A:$AL, $B$2, MATCH($A13&amp;"*", RawResponses!$A$1:$AL$1, 0))</f>
        <v/>
      </c>
      <c r="C13" s="10">
        <f t="array" ref="C13">INDEX(RawResponses!$A:$AL, $B$3, MATCH($A13&amp;"*", RawResponses!$A$1:$AL$1, 0))</f>
        <v/>
      </c>
      <c r="D13" s="10">
        <f t="array" ref="D13">INDEX(RawResponses!$A:$AL, $B$4, MATCH($A13&amp;"*", RawResponses!$A$1:$AL$1, 0))</f>
        <v/>
      </c>
      <c r="E13" s="10">
        <f>LEFT(B13, 1)</f>
        <v/>
      </c>
      <c r="F13" s="10">
        <f>LEFT(C13, 1)</f>
        <v/>
      </c>
      <c r="G13" s="10">
        <f>LEFT(D13, 1)</f>
        <v/>
      </c>
    </row>
    <row r="14">
      <c r="A14" s="10" t="inlineStr">
        <is>
          <t>[Q7b] Home size</t>
        </is>
      </c>
      <c r="B14" s="10">
        <f t="array" ref="B14">INDEX(RawResponses!$A:$AL, $B$2, MATCH($A14&amp;"*", RawResponses!$A$1:$AL$1, 0))</f>
        <v/>
      </c>
      <c r="C14" s="10">
        <f t="array" ref="C14">INDEX(RawResponses!$A:$AL, $B$3, MATCH($A14&amp;"*", RawResponses!$A$1:$AL$1, 0))</f>
        <v/>
      </c>
      <c r="D14" s="10">
        <f t="array" ref="D14">INDEX(RawResponses!$A:$AL, $B$4, MATCH($A14&amp;"*", RawResponses!$A$1:$AL$1, 0))</f>
        <v/>
      </c>
      <c r="E14" s="10">
        <f>LEFT(B14, 1)</f>
        <v/>
      </c>
      <c r="F14" s="10">
        <f>LEFT(C14, 1)</f>
        <v/>
      </c>
      <c r="G14" s="10">
        <f>LEFT(D14, 1)</f>
        <v/>
      </c>
    </row>
    <row r="15">
      <c r="A15" s="10" t="inlineStr">
        <is>
          <t>[Q10]</t>
        </is>
      </c>
      <c r="B15" s="10">
        <f t="array" ref="B15">INDEX(RawResponses!$A:$AL, $B$2, MATCH($A15&amp;"*", RawResponses!$A$1:$AL$1, 0))</f>
        <v/>
      </c>
      <c r="C15" s="10">
        <f t="array" ref="C15">INDEX(RawResponses!$A:$AL, $B$3, MATCH($A15&amp;"*", RawResponses!$A$1:$AL$1, 0))</f>
        <v/>
      </c>
      <c r="D15" s="10">
        <f t="array" ref="D15">INDEX(RawResponses!$A:$AL, $B$4, MATCH($A15&amp;"*", RawResponses!$A$1:$AL$1, 0))</f>
        <v/>
      </c>
      <c r="E15" s="10">
        <f>LEFT(B15, 1)</f>
        <v/>
      </c>
      <c r="F15" s="10">
        <f>LEFT(C15, 1)</f>
        <v/>
      </c>
      <c r="G15" s="10">
        <f>LEFT(D15, 1)</f>
        <v/>
      </c>
    </row>
    <row r="16">
      <c r="A16" s="10" t="inlineStr">
        <is>
          <t>[Q11]</t>
        </is>
      </c>
      <c r="B16" s="10">
        <f t="array" ref="B16">INDEX(RawResponses!$A:$AL, $B$2, MATCH($A16&amp;"*", RawResponses!$A$1:$AL$1, 0))</f>
        <v/>
      </c>
      <c r="C16" s="10">
        <f t="array" ref="C16">INDEX(RawResponses!$A:$AL, $B$3, MATCH($A16&amp;"*", RawResponses!$A$1:$AL$1, 0))</f>
        <v/>
      </c>
      <c r="D16" s="10">
        <f t="array" ref="D16">INDEX(RawResponses!$A:$AL, $B$4, MATCH($A16&amp;"*", RawResponses!$A$1:$AL$1, 0))</f>
        <v/>
      </c>
      <c r="E16" s="10">
        <f>LEFT(B16, 1)</f>
        <v/>
      </c>
      <c r="F16" s="10">
        <f>LEFT(C16, 1)</f>
        <v/>
      </c>
      <c r="G16" s="10">
        <f>LEFT(D16, 1)</f>
        <v/>
      </c>
    </row>
    <row r="17">
      <c r="A17" s="10" t="inlineStr">
        <is>
          <t>[Q12]</t>
        </is>
      </c>
      <c r="B17" s="10">
        <f t="array" ref="B17">INDEX(RawResponses!$A:$AL, $B$2, MATCH($A17&amp;"*", RawResponses!$A$1:$AL$1, 0))</f>
        <v/>
      </c>
      <c r="C17" s="10">
        <f t="array" ref="C17">INDEX(RawResponses!$A:$AL, $B$3, MATCH($A17&amp;"*", RawResponses!$A$1:$AL$1, 0))</f>
        <v/>
      </c>
      <c r="D17" s="10">
        <f t="array" ref="D17">INDEX(RawResponses!$A:$AL, $B$4, MATCH($A17&amp;"*", RawResponses!$A$1:$AL$1, 0))</f>
        <v/>
      </c>
      <c r="E17" s="10">
        <f>LEFT(B17, 1)</f>
        <v/>
      </c>
      <c r="F17" s="10">
        <f>LEFT(C17, 1)</f>
        <v/>
      </c>
      <c r="G17" s="10">
        <f>LEFT(D17, 1)</f>
        <v/>
      </c>
    </row>
    <row r="18">
      <c r="A18" s="10" t="inlineStr">
        <is>
          <t>[Q13]</t>
        </is>
      </c>
      <c r="B18" s="10">
        <f t="array" ref="B18">INDEX(RawResponses!$A:$AL, $B$2, MATCH($A18&amp;"*", RawResponses!$A$1:$AL$1, 0))</f>
        <v/>
      </c>
      <c r="C18" s="10">
        <f t="array" ref="C18">INDEX(RawResponses!$A:$AL, $B$3, MATCH($A18&amp;"*", RawResponses!$A$1:$AL$1, 0))</f>
        <v/>
      </c>
      <c r="D18" s="10">
        <f t="array" ref="D18">INDEX(RawResponses!$A:$AL, $B$4, MATCH($A18&amp;"*", RawResponses!$A$1:$AL$1, 0))</f>
        <v/>
      </c>
      <c r="E18" s="10">
        <f>LEFT(B18, 1)</f>
        <v/>
      </c>
      <c r="F18" s="10">
        <f>LEFT(C18, 1)</f>
        <v/>
      </c>
      <c r="G18" s="10">
        <f>LEFT(D18, 1)</f>
        <v/>
      </c>
    </row>
    <row r="19">
      <c r="A19" s="10" t="inlineStr">
        <is>
          <t>[Q15.1] Nature</t>
        </is>
      </c>
      <c r="B19" s="10">
        <f t="array" ref="B19">INDEX(RawResponses!$A:$AL, $B$2, MATCH($A19&amp;"*", RawResponses!$A$1:$AL$1, 0))</f>
        <v/>
      </c>
      <c r="C19" s="10">
        <f t="array" ref="C19">INDEX(RawResponses!$A:$AL, $B$3, MATCH($A19&amp;"*", RawResponses!$A$1:$AL$1, 0))</f>
        <v/>
      </c>
      <c r="D19" s="10">
        <f t="array" ref="D19">INDEX(RawResponses!$A:$AL, $B$4, MATCH($A19&amp;"*", RawResponses!$A$1:$AL$1, 0))</f>
        <v/>
      </c>
      <c r="E19" s="10">
        <f>LEFT(B19, 1)</f>
        <v/>
      </c>
      <c r="F19" s="10">
        <f>LEFT(C19, 1)</f>
        <v/>
      </c>
      <c r="G19" s="10">
        <f>LEFT(D19, 1)</f>
        <v/>
      </c>
    </row>
    <row r="20">
      <c r="A20" s="10" t="inlineStr">
        <is>
          <t>[Q15.2] Near family in GW</t>
        </is>
      </c>
      <c r="B20" s="10">
        <f t="array" ref="B20">INDEX(RawResponses!$A:$AL, $B$2, MATCH($A20&amp;"*", RawResponses!$A$1:$AL$1, 0))</f>
        <v/>
      </c>
      <c r="C20" s="10">
        <f t="array" ref="C20">INDEX(RawResponses!$A:$AL, $B$3, MATCH($A20&amp;"*", RawResponses!$A$1:$AL$1, 0))</f>
        <v/>
      </c>
      <c r="D20" s="10">
        <f t="array" ref="D20">INDEX(RawResponses!$A:$AL, $B$4, MATCH($A20&amp;"*", RawResponses!$A$1:$AL$1, 0))</f>
        <v/>
      </c>
      <c r="E20" s="10">
        <f>LEFT(B20, 1)</f>
        <v/>
      </c>
      <c r="F20" s="10">
        <f>LEFT(C20, 1)</f>
        <v/>
      </c>
      <c r="G20" s="10">
        <f>LEFT(D20, 1)</f>
        <v/>
      </c>
    </row>
    <row r="21">
      <c r="A21" s="10" t="inlineStr">
        <is>
          <t>[Q15.3] Indian community</t>
        </is>
      </c>
      <c r="B21" s="10">
        <f t="array" ref="B21">INDEX(RawResponses!$A:$AL, $B$2, MATCH($A21&amp;"*", RawResponses!$A$1:$AL$1, 0))</f>
        <v/>
      </c>
      <c r="C21" s="10">
        <f t="array" ref="C21">INDEX(RawResponses!$A:$AL, $B$3, MATCH($A21&amp;"*", RawResponses!$A$1:$AL$1, 0))</f>
        <v/>
      </c>
      <c r="D21" s="10">
        <f t="array" ref="D21">INDEX(RawResponses!$A:$AL, $B$4, MATCH($A21&amp;"*", RawResponses!$A$1:$AL$1, 0))</f>
        <v/>
      </c>
      <c r="E21" s="10">
        <f>LEFT(B21, 1)</f>
        <v/>
      </c>
      <c r="F21" s="10">
        <f>LEFT(C21, 1)</f>
        <v/>
      </c>
      <c r="G21" s="10">
        <f>LEFT(D21, 1)</f>
        <v/>
      </c>
    </row>
    <row r="22">
      <c r="A22" s="10" t="inlineStr">
        <is>
          <t>[Q15.4] Beach</t>
        </is>
      </c>
      <c r="B22" s="10">
        <f t="array" ref="B22">INDEX(RawResponses!$A:$AL, $B$2, MATCH($A22&amp;"*", RawResponses!$A$1:$AL$1, 0))</f>
        <v/>
      </c>
      <c r="C22" s="10">
        <f t="array" ref="C22">INDEX(RawResponses!$A:$AL, $B$3, MATCH($A22&amp;"*", RawResponses!$A$1:$AL$1, 0))</f>
        <v/>
      </c>
      <c r="D22" s="10">
        <f t="array" ref="D22">INDEX(RawResponses!$A:$AL, $B$4, MATCH($A22&amp;"*", RawResponses!$A$1:$AL$1, 0))</f>
        <v/>
      </c>
      <c r="E22" s="10">
        <f>LEFT(B22, 1)</f>
        <v/>
      </c>
      <c r="F22" s="10">
        <f>LEFT(C22, 1)</f>
        <v/>
      </c>
      <c r="G22" s="10">
        <f>LEFT(D22, 1)</f>
        <v/>
      </c>
    </row>
    <row r="23">
      <c r="A23" s="10" t="inlineStr">
        <is>
          <t>[Q15.5] Hospital</t>
        </is>
      </c>
      <c r="B23" s="10">
        <f t="array" ref="B23">INDEX(RawResponses!$A:$AL, $B$2, MATCH($A23&amp;"*", RawResponses!$A$1:$AL$1, 0))</f>
        <v/>
      </c>
      <c r="C23" s="10">
        <f t="array" ref="C23">INDEX(RawResponses!$A:$AL, $B$3, MATCH($A23&amp;"*", RawResponses!$A$1:$AL$1, 0))</f>
        <v/>
      </c>
      <c r="D23" s="10">
        <f t="array" ref="D23">INDEX(RawResponses!$A:$AL, $B$4, MATCH($A23&amp;"*", RawResponses!$A$1:$AL$1, 0))</f>
        <v/>
      </c>
      <c r="E23" s="10">
        <f>LEFT(B23, 1)</f>
        <v/>
      </c>
      <c r="F23" s="10">
        <f>LEFT(C23, 1)</f>
        <v/>
      </c>
      <c r="G23" s="10">
        <f>LEFT(D23, 1)</f>
        <v/>
      </c>
    </row>
    <row r="24">
      <c r="A24" s="10" t="inlineStr">
        <is>
          <t>[Q15.6] Train/bus</t>
        </is>
      </c>
      <c r="B24" s="10">
        <f t="array" ref="B24">INDEX(RawResponses!$A:$AL, $B$2, MATCH($A24&amp;"*", RawResponses!$A$1:$AL$1, 0))</f>
        <v/>
      </c>
      <c r="C24" s="10">
        <f t="array" ref="C24">INDEX(RawResponses!$A:$AL, $B$3, MATCH($A24&amp;"*", RawResponses!$A$1:$AL$1, 0))</f>
        <v/>
      </c>
      <c r="D24" s="10">
        <f t="array" ref="D24">INDEX(RawResponses!$A:$AL, $B$4, MATCH($A24&amp;"*", RawResponses!$A$1:$AL$1, 0))</f>
        <v/>
      </c>
      <c r="E24" s="10">
        <f>LEFT(B24, 1)</f>
        <v/>
      </c>
      <c r="F24" s="10">
        <f>LEFT(C24, 1)</f>
        <v/>
      </c>
      <c r="G24" s="10">
        <f>LEFT(D24, 1)</f>
        <v/>
      </c>
    </row>
    <row r="25">
      <c r="A25" s="10" t="inlineStr">
        <is>
          <t>[Q15.7] Shops/doctor</t>
        </is>
      </c>
      <c r="B25" s="10">
        <f t="array" ref="B25">INDEX(RawResponses!$A:$AL, $B$2, MATCH($A25&amp;"*", RawResponses!$A$1:$AL$1, 0))</f>
        <v/>
      </c>
      <c r="C25" s="10">
        <f t="array" ref="C25">INDEX(RawResponses!$A:$AL, $B$3, MATCH($A25&amp;"*", RawResponses!$A$1:$AL$1, 0))</f>
        <v/>
      </c>
      <c r="D25" s="10">
        <f t="array" ref="D25">INDEX(RawResponses!$A:$AL, $B$4, MATCH($A25&amp;"*", RawResponses!$A$1:$AL$1, 0))</f>
        <v/>
      </c>
      <c r="E25" s="10">
        <f>LEFT(B25, 1)</f>
        <v/>
      </c>
      <c r="F25" s="10">
        <f>LEFT(C25, 1)</f>
        <v/>
      </c>
      <c r="G25" s="10">
        <f>LEFT(D25, 1)</f>
        <v/>
      </c>
    </row>
    <row r="26">
      <c r="A26" s="10" t="inlineStr">
        <is>
          <t>[Q15.8] Village character</t>
        </is>
      </c>
      <c r="B26" s="10">
        <f t="array" ref="B26">INDEX(RawResponses!$A:$AL, $B$2, MATCH($A26&amp;"*", RawResponses!$A$1:$AL$1, 0))</f>
        <v/>
      </c>
      <c r="C26" s="10">
        <f t="array" ref="C26">INDEX(RawResponses!$A:$AL, $B$3, MATCH($A26&amp;"*", RawResponses!$A$1:$AL$1, 0))</f>
        <v/>
      </c>
      <c r="D26" s="10">
        <f t="array" ref="D26">INDEX(RawResponses!$A:$AL, $B$4, MATCH($A26&amp;"*", RawResponses!$A$1:$AL$1, 0))</f>
        <v/>
      </c>
      <c r="E26" s="10">
        <f>LEFT(B26, 1)</f>
        <v/>
      </c>
      <c r="F26" s="10">
        <f>LEFT(C26, 1)</f>
        <v/>
      </c>
      <c r="G26" s="10">
        <f>LEFT(D26, 1)</f>
        <v/>
      </c>
    </row>
    <row r="27">
      <c r="A27" s="10" t="inlineStr">
        <is>
          <t>[Q15.9] Price</t>
        </is>
      </c>
      <c r="B27" s="10">
        <f t="array" ref="B27">INDEX(RawResponses!$A:$AL, $B$2, MATCH($A27&amp;"*", RawResponses!$A$1:$AL$1, 0))</f>
        <v/>
      </c>
      <c r="C27" s="10">
        <f t="array" ref="C27">INDEX(RawResponses!$A:$AL, $B$3, MATCH($A27&amp;"*", RawResponses!$A$1:$AL$1, 0))</f>
        <v/>
      </c>
      <c r="D27" s="10">
        <f t="array" ref="D27">INDEX(RawResponses!$A:$AL, $B$4, MATCH($A27&amp;"*", RawResponses!$A$1:$AL$1, 0))</f>
        <v/>
      </c>
      <c r="E27" s="10">
        <f>LEFT(B27, 1)</f>
        <v/>
      </c>
      <c r="F27" s="10">
        <f>LEFT(C27, 1)</f>
        <v/>
      </c>
      <c r="G27" s="10">
        <f>LEFT(D27, 1)</f>
        <v/>
      </c>
    </row>
    <row r="28">
      <c r="A28" s="10" t="inlineStr">
        <is>
          <t>[Q15.10] Easy city trip</t>
        </is>
      </c>
      <c r="B28" s="10">
        <f t="array" ref="B28">INDEX(RawResponses!$A:$AL, $B$2, MATCH($A28&amp;"*", RawResponses!$A$1:$AL$1, 0))</f>
        <v/>
      </c>
      <c r="C28" s="10">
        <f t="array" ref="C28">INDEX(RawResponses!$A:$AL, $B$3, MATCH($A28&amp;"*", RawResponses!$A$1:$AL$1, 0))</f>
        <v/>
      </c>
      <c r="D28" s="10">
        <f t="array" ref="D28">INDEX(RawResponses!$A:$AL, $B$4, MATCH($A28&amp;"*", RawResponses!$A$1:$AL$1, 0))</f>
        <v/>
      </c>
      <c r="E28" s="10">
        <f>LEFT(B28, 1)</f>
        <v/>
      </c>
      <c r="F28" s="10">
        <f>LEFT(C28, 1)</f>
        <v/>
      </c>
      <c r="G28" s="10">
        <f>LEFT(D28, 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Filter</t>
        </is>
      </c>
      <c r="B1" s="10" t="inlineStr">
        <is>
          <t>Strictest Constraint</t>
        </is>
      </c>
      <c r="C1" s="10" t="inlineStr">
        <is>
          <t>Notes</t>
        </is>
      </c>
      <c r="D1" s="10" t="inlineStr">
        <is>
          <t>Survey-derived value (reference only)</t>
        </is>
      </c>
    </row>
    <row r="2">
      <c r="A2" s="10" t="inlineStr">
        <is>
          <t>Q3 Total budget</t>
        </is>
      </c>
      <c r="B2" s="10" t="n">
        <v>1500000</v>
      </c>
      <c r="C2" s="10" t="inlineStr">
        <is>
          <t>Confirmed family decision 27 Oct 2026: budget cap set to $1,500,000 maximum purchase price (excluding transaction &amp; moving costs). Replaces survey strictest of $1,250,000.</t>
        </is>
      </c>
      <c r="D2" s="0" t="n">
        <v>1250000</v>
      </c>
    </row>
    <row r="3">
      <c r="A3" s="10" t="inlineStr">
        <is>
          <t>Total acquisition ceiling (Price + 6% costs)</t>
        </is>
      </c>
      <c r="B3" s="10">
        <f>B2 * (1 + Settings!B6)</f>
        <v/>
      </c>
      <c r="C3" s="10" t="inlineStr">
        <is>
          <t>Total outlay cap ($1,590,000) including 6% stamp duty/conveyancing/moving allowance on $1,500,000 purchase price.</t>
        </is>
      </c>
    </row>
    <row r="4">
      <c r="A4" s="10" t="inlineStr">
        <is>
          <t>Q4/Q4b Max drive to GW</t>
        </is>
      </c>
      <c r="B4" s="10" t="n">
        <v>90</v>
      </c>
      <c r="C4" s="10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0">
        <f>IFERROR(__xludf.DUMMYFUNCTION("MIN(IF(CleanedAnswers!E8=""D"", CleanedAnswers!B9, IFERROR(VALUE(REGEXEXTRACT(CleanedAnswers!B8, ""\d+"")), 999)), IF(CleanedAnswers!F8=""D"", CleanedAnswers!C9, IFERROR(VALUE(REGEXEXTRACT(CleanedAnswers!C8, ""\d+"")), 999)), IF(CleanedAnswers!G8=""D"", C"&amp;"leanedAnswers!D9, IFERROR(VALUE(REGEXEXTRACT(CleanedAnswers!D8, ""\d+"")), 999)))"),25.0)</f>
        <v/>
      </c>
    </row>
    <row r="5">
      <c r="A5" s="10" t="inlineStr">
        <is>
          <t>Q5 Max drive to ED</t>
        </is>
      </c>
      <c r="B5" s="10" t="n">
        <v>90</v>
      </c>
      <c r="C5" s="10" t="inlineStr">
        <is>
          <t>Family decision 26 Oct 2026: hard cap 90 min, and ED time is also scored (SuburbScorecard column O). Replaces survey strictest of 20 min (Mum/Me); Dad said no limit.</t>
        </is>
      </c>
    </row>
    <row r="6">
      <c r="A6" s="10" t="inlineStr">
        <is>
          <t>Q6 Stairs</t>
        </is>
      </c>
      <c r="B6" s="10" t="inlineStr">
        <is>
          <t>Stairs allowed (single-level not required)</t>
        </is>
      </c>
      <c r="C6" t="inlineStr">
        <is>
          <t>CORRECTED 27 Oct 2026 by NJD: stairs are allowed, so this is no longer a hard filter. Previous value was the survey strictest answer (formula kept in D6).</t>
        </is>
      </c>
      <c r="D6">
        <f>IF(COUNTIF(CleanedAnswers!E11:G11, "A")&gt;0, "A — None at all (Single-level only)", "Check")</f>
        <v/>
      </c>
    </row>
    <row r="7">
      <c r="A7" s="10" t="inlineStr">
        <is>
          <t>Q7a/Q7b Living arrangement</t>
        </is>
      </c>
      <c r="B7" s="10" t="inlineStr">
        <is>
          <t>Needs discussion (Living arrangement undecided): D — Self-contained space</t>
        </is>
      </c>
    </row>
    <row r="8">
      <c r="A8" s="10" t="inlineStr">
        <is>
          <t>Q7 Garden</t>
        </is>
      </c>
      <c r="B8" s="10" t="inlineStr">
        <is>
          <t>Needs discussion (Depends — see notes)</t>
        </is>
      </c>
    </row>
    <row r="9">
      <c r="A9" s="10" t="inlineStr">
        <is>
          <t>Train option</t>
        </is>
      </c>
      <c r="B9" s="10" t="inlineStr">
        <is>
          <t>Preferred, not required (scored via SuburbScorecard column S)</t>
        </is>
      </c>
      <c r="C9" s="10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>
      <c r="A10" s="10" t="inlineStr">
        <is>
          <t>Drive-time basis</t>
        </is>
      </c>
      <c r="B10" s="10" t="inlineStr">
        <is>
          <t>Google Maps drive time, 'leave now' typical traffic, looked up 26 Oct 2026</t>
        </is>
      </c>
      <c r="C10" s="10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Question</t>
        </is>
      </c>
      <c r="B1" s="10" t="inlineStr">
        <is>
          <t>Mum Code</t>
        </is>
      </c>
      <c r="C1" s="10" t="inlineStr">
        <is>
          <t>Dad Code</t>
        </is>
      </c>
      <c r="D1" s="10" t="inlineStr">
        <is>
          <t>Me Code</t>
        </is>
      </c>
      <c r="E1" s="10" t="inlineStr">
        <is>
          <t>Mum Score</t>
        </is>
      </c>
      <c r="F1" s="10" t="inlineStr">
        <is>
          <t>Dad Score</t>
        </is>
      </c>
      <c r="G1" s="10" t="inlineStr">
        <is>
          <t>Me Score</t>
        </is>
      </c>
      <c r="H1" s="10" t="inlineStr">
        <is>
          <t>Mum Norm</t>
        </is>
      </c>
      <c r="I1" s="10" t="inlineStr">
        <is>
          <t>Dad Norm</t>
        </is>
      </c>
      <c r="J1" s="10" t="inlineStr">
        <is>
          <t>Me Norm</t>
        </is>
      </c>
      <c r="K1" s="10" t="inlineStr">
        <is>
          <t>Combined Weight</t>
        </is>
      </c>
    </row>
    <row r="2">
      <c r="A2" s="10" t="inlineStr">
        <is>
          <t>Nature</t>
        </is>
      </c>
      <c r="B2" s="10">
        <f>CleanedAnswers!E19</f>
        <v/>
      </c>
      <c r="C2" s="10">
        <f>CleanedAnswers!F19</f>
        <v/>
      </c>
      <c r="D2" s="10">
        <f>CleanedAnswers!G19</f>
        <v/>
      </c>
      <c r="E2" s="10">
        <f>VLOOKUP(B2, Settings!$A$10:$C$13, 3, FALSE)</f>
        <v/>
      </c>
      <c r="F2" s="10">
        <f>VLOOKUP(C2, Settings!$A$10:$C$13, 3, FALSE)</f>
        <v/>
      </c>
      <c r="G2" s="10">
        <f>VLOOKUP(D2, Settings!$A$10:$C$13, 3, FALSE)</f>
        <v/>
      </c>
      <c r="H2" s="10">
        <f>E2/SUM(E$2:E$11)</f>
        <v/>
      </c>
      <c r="I2" s="10">
        <f>F2/SUM(F$2:F$11)</f>
        <v/>
      </c>
      <c r="J2" s="10">
        <f>G2/SUM(G$2:G$11)</f>
        <v/>
      </c>
      <c r="K2" s="10">
        <f>(H2*Settings!$B$2 + I2*Settings!$B$3 + J2*Settings!$B$4)/(Settings!$B$2+Settings!$B$3+Settings!$B$4)</f>
        <v/>
      </c>
    </row>
    <row r="3">
      <c r="A3" s="10" t="inlineStr">
        <is>
          <t>Near family in GW</t>
        </is>
      </c>
      <c r="B3" s="10">
        <f>CleanedAnswers!E20</f>
        <v/>
      </c>
      <c r="C3" s="10">
        <f>CleanedAnswers!F20</f>
        <v/>
      </c>
      <c r="D3" s="10">
        <f>CleanedAnswers!G20</f>
        <v/>
      </c>
      <c r="E3" s="10">
        <f>VLOOKUP(B3, Settings!$A$10:$C$13, 3, FALSE)</f>
        <v/>
      </c>
      <c r="F3" s="10">
        <f>VLOOKUP(C3, Settings!$A$10:$C$13, 3, FALSE)</f>
        <v/>
      </c>
      <c r="G3" s="10">
        <f>VLOOKUP(D3, Settings!$A$10:$C$13, 3, FALSE)</f>
        <v/>
      </c>
      <c r="H3" s="10">
        <f>E3/SUM(E$2:E$11)</f>
        <v/>
      </c>
      <c r="I3" s="10">
        <f>F3/SUM(F$2:F$11)</f>
        <v/>
      </c>
      <c r="J3" s="10">
        <f>G3/SUM(G$2:G$11)</f>
        <v/>
      </c>
      <c r="K3" s="10">
        <f>(H3*Settings!$B$2 + I3*Settings!$B$3 + J3*Settings!$B$4)/(Settings!$B$2+Settings!$B$3+Settings!$B$4)</f>
        <v/>
      </c>
    </row>
    <row r="4">
      <c r="A4" s="10" t="inlineStr">
        <is>
          <t>Indian community</t>
        </is>
      </c>
      <c r="B4" s="10">
        <f>CleanedAnswers!E21</f>
        <v/>
      </c>
      <c r="C4" s="10">
        <f>CleanedAnswers!F21</f>
        <v/>
      </c>
      <c r="D4" s="10">
        <f>CleanedAnswers!G21</f>
        <v/>
      </c>
      <c r="E4" s="10">
        <f>VLOOKUP(B4, Settings!$A$10:$C$13, 3, FALSE)</f>
        <v/>
      </c>
      <c r="F4" s="10">
        <f>VLOOKUP(C4, Settings!$A$10:$C$13, 3, FALSE)</f>
        <v/>
      </c>
      <c r="G4" s="10">
        <f>VLOOKUP(D4, Settings!$A$10:$C$13, 3, FALSE)</f>
        <v/>
      </c>
      <c r="H4" s="10">
        <f>E4/SUM(E$2:E$11)</f>
        <v/>
      </c>
      <c r="I4" s="10">
        <f>F4/SUM(F$2:F$11)</f>
        <v/>
      </c>
      <c r="J4" s="10">
        <f>G4/SUM(G$2:G$11)</f>
        <v/>
      </c>
      <c r="K4" s="10">
        <f>(H4*Settings!$B$2 + I4*Settings!$B$3 + J4*Settings!$B$4)/(Settings!$B$2+Settings!$B$3+Settings!$B$4)</f>
        <v/>
      </c>
    </row>
    <row r="5">
      <c r="A5" s="10" t="inlineStr">
        <is>
          <t>Beach</t>
        </is>
      </c>
      <c r="B5" s="10">
        <f>CleanedAnswers!E22</f>
        <v/>
      </c>
      <c r="C5" s="10">
        <f>CleanedAnswers!F22</f>
        <v/>
      </c>
      <c r="D5" s="10">
        <f>CleanedAnswers!G22</f>
        <v/>
      </c>
      <c r="E5" s="10">
        <f>VLOOKUP(B5, Settings!$A$10:$C$13, 3, FALSE)</f>
        <v/>
      </c>
      <c r="F5" s="10">
        <f>VLOOKUP(C5, Settings!$A$10:$C$13, 3, FALSE)</f>
        <v/>
      </c>
      <c r="G5" s="10">
        <f>VLOOKUP(D5, Settings!$A$10:$C$13, 3, FALSE)</f>
        <v/>
      </c>
      <c r="H5" s="10">
        <f>E5/SUM(E$2:E$11)</f>
        <v/>
      </c>
      <c r="I5" s="10">
        <f>F5/SUM(F$2:F$11)</f>
        <v/>
      </c>
      <c r="J5" s="10">
        <f>G5/SUM(G$2:G$11)</f>
        <v/>
      </c>
      <c r="K5" s="10">
        <f>(H5*Settings!$B$2 + I5*Settings!$B$3 + J5*Settings!$B$4)/(Settings!$B$2+Settings!$B$3+Settings!$B$4)</f>
        <v/>
      </c>
    </row>
    <row r="6">
      <c r="A6" s="10" t="inlineStr">
        <is>
          <t>Hospital</t>
        </is>
      </c>
      <c r="B6" s="10">
        <f>CleanedAnswers!E23</f>
        <v/>
      </c>
      <c r="C6" s="10">
        <f>CleanedAnswers!F23</f>
        <v/>
      </c>
      <c r="D6" s="10">
        <f>CleanedAnswers!G23</f>
        <v/>
      </c>
      <c r="E6" s="10">
        <f>VLOOKUP(B6, Settings!$A$10:$C$13, 3, FALSE)</f>
        <v/>
      </c>
      <c r="F6" s="10">
        <f>VLOOKUP(C6, Settings!$A$10:$C$13, 3, FALSE)</f>
        <v/>
      </c>
      <c r="G6" s="10">
        <f>VLOOKUP(D6, Settings!$A$10:$C$13, 3, FALSE)</f>
        <v/>
      </c>
      <c r="H6" s="10">
        <f>E6/SUM(E$2:E$11)</f>
        <v/>
      </c>
      <c r="I6" s="10">
        <f>F6/SUM(F$2:F$11)</f>
        <v/>
      </c>
      <c r="J6" s="10">
        <f>G6/SUM(G$2:G$11)</f>
        <v/>
      </c>
      <c r="K6" s="10">
        <f>(H6*Settings!$B$2 + I6*Settings!$B$3 + J6*Settings!$B$4)/(Settings!$B$2+Settings!$B$3+Settings!$B$4)</f>
        <v/>
      </c>
    </row>
    <row r="7">
      <c r="A7" s="10" t="inlineStr">
        <is>
          <t>Train/bus</t>
        </is>
      </c>
      <c r="B7" s="10">
        <f>CleanedAnswers!E24</f>
        <v/>
      </c>
      <c r="C7" s="10">
        <f>CleanedAnswers!F24</f>
        <v/>
      </c>
      <c r="D7" s="10">
        <f>CleanedAnswers!G24</f>
        <v/>
      </c>
      <c r="E7" s="10">
        <f>VLOOKUP(B7, Settings!$A$10:$C$13, 3, FALSE)</f>
        <v/>
      </c>
      <c r="F7" s="10">
        <f>VLOOKUP(C7, Settings!$A$10:$C$13, 3, FALSE)</f>
        <v/>
      </c>
      <c r="G7" s="10">
        <f>VLOOKUP(D7, Settings!$A$10:$C$13, 3, FALSE)</f>
        <v/>
      </c>
      <c r="H7" s="10">
        <f>E7/SUM(E$2:E$11)</f>
        <v/>
      </c>
      <c r="I7" s="10">
        <f>F7/SUM(F$2:F$11)</f>
        <v/>
      </c>
      <c r="J7" s="10">
        <f>G7/SUM(G$2:G$11)</f>
        <v/>
      </c>
      <c r="K7" s="10">
        <f>(H7*Settings!$B$2 + I7*Settings!$B$3 + J7*Settings!$B$4)/(Settings!$B$2+Settings!$B$3+Settings!$B$4)</f>
        <v/>
      </c>
    </row>
    <row r="8">
      <c r="A8" s="10" t="inlineStr">
        <is>
          <t>Shops/doctor</t>
        </is>
      </c>
      <c r="B8" s="10">
        <f>CleanedAnswers!E25</f>
        <v/>
      </c>
      <c r="C8" s="10">
        <f>CleanedAnswers!F25</f>
        <v/>
      </c>
      <c r="D8" s="10">
        <f>CleanedAnswers!G25</f>
        <v/>
      </c>
      <c r="E8" s="10">
        <f>VLOOKUP(B8, Settings!$A$10:$C$13, 3, FALSE)</f>
        <v/>
      </c>
      <c r="F8" s="10">
        <f>VLOOKUP(C8, Settings!$A$10:$C$13, 3, FALSE)</f>
        <v/>
      </c>
      <c r="G8" s="10">
        <f>VLOOKUP(D8, Settings!$A$10:$C$13, 3, FALSE)</f>
        <v/>
      </c>
      <c r="H8" s="10">
        <f>E8/SUM(E$2:E$11)</f>
        <v/>
      </c>
      <c r="I8" s="10">
        <f>F8/SUM(F$2:F$11)</f>
        <v/>
      </c>
      <c r="J8" s="10">
        <f>G8/SUM(G$2:G$11)</f>
        <v/>
      </c>
      <c r="K8" s="10">
        <f>(H8*Settings!$B$2 + I8*Settings!$B$3 + J8*Settings!$B$4)/(Settings!$B$2+Settings!$B$3+Settings!$B$4)</f>
        <v/>
      </c>
    </row>
    <row r="9">
      <c r="A9" s="10" t="inlineStr">
        <is>
          <t>Village character</t>
        </is>
      </c>
      <c r="B9" s="10">
        <f>CleanedAnswers!E26</f>
        <v/>
      </c>
      <c r="C9" s="10">
        <f>CleanedAnswers!F26</f>
        <v/>
      </c>
      <c r="D9" s="10">
        <f>CleanedAnswers!G26</f>
        <v/>
      </c>
      <c r="E9" s="10">
        <f>VLOOKUP(B9, Settings!$A$10:$C$13, 3, FALSE)</f>
        <v/>
      </c>
      <c r="F9" s="10">
        <f>VLOOKUP(C9, Settings!$A$10:$C$13, 3, FALSE)</f>
        <v/>
      </c>
      <c r="G9" s="10">
        <f>VLOOKUP(D9, Settings!$A$10:$C$13, 3, FALSE)</f>
        <v/>
      </c>
      <c r="H9" s="10">
        <f>E9/SUM(E$2:E$11)</f>
        <v/>
      </c>
      <c r="I9" s="10">
        <f>F9/SUM(F$2:F$11)</f>
        <v/>
      </c>
      <c r="J9" s="10">
        <f>G9/SUM(G$2:G$11)</f>
        <v/>
      </c>
      <c r="K9" s="10">
        <f>(H9*Settings!$B$2 + I9*Settings!$B$3 + J9*Settings!$B$4)/(Settings!$B$2+Settings!$B$3+Settings!$B$4)</f>
        <v/>
      </c>
    </row>
    <row r="10">
      <c r="A10" s="10" t="inlineStr">
        <is>
          <t>Price</t>
        </is>
      </c>
      <c r="B10" s="10">
        <f>CleanedAnswers!E27</f>
        <v/>
      </c>
      <c r="C10" s="10">
        <f>CleanedAnswers!F27</f>
        <v/>
      </c>
      <c r="D10" s="10">
        <f>CleanedAnswers!G27</f>
        <v/>
      </c>
      <c r="E10" s="10">
        <f>VLOOKUP(B10, Settings!$A$10:$C$13, 3, FALSE)</f>
        <v/>
      </c>
      <c r="F10" s="10">
        <f>VLOOKUP(C10, Settings!$A$10:$C$13, 3, FALSE)</f>
        <v/>
      </c>
      <c r="G10" s="10">
        <f>VLOOKUP(D10, Settings!$A$10:$C$13, 3, FALSE)</f>
        <v/>
      </c>
      <c r="H10" s="10">
        <f>E10/SUM(E$2:E$11)</f>
        <v/>
      </c>
      <c r="I10" s="10">
        <f>F10/SUM(F$2:F$11)</f>
        <v/>
      </c>
      <c r="J10" s="10">
        <f>G10/SUM(G$2:G$11)</f>
        <v/>
      </c>
      <c r="K10" s="10">
        <f>(H10*Settings!$B$2 + I10*Settings!$B$3 + J10*Settings!$B$4)/(Settings!$B$2+Settings!$B$3+Settings!$B$4)</f>
        <v/>
      </c>
    </row>
    <row r="11">
      <c r="A11" s="10" t="inlineStr">
        <is>
          <t>Easy city trip</t>
        </is>
      </c>
      <c r="B11" s="10">
        <f>CleanedAnswers!E28</f>
        <v/>
      </c>
      <c r="C11" s="10">
        <f>CleanedAnswers!F28</f>
        <v/>
      </c>
      <c r="D11" s="10">
        <f>CleanedAnswers!G28</f>
        <v/>
      </c>
      <c r="E11" s="10">
        <f>VLOOKUP(B11, Settings!$A$10:$C$13, 3, FALSE)</f>
        <v/>
      </c>
      <c r="F11" s="10">
        <f>VLOOKUP(C11, Settings!$A$10:$C$13, 3, FALSE)</f>
        <v/>
      </c>
      <c r="G11" s="10">
        <f>VLOOKUP(D11, Settings!$A$10:$C$13, 3, FALSE)</f>
        <v/>
      </c>
      <c r="H11" s="10">
        <f>E11/SUM(E$2:E$11)</f>
        <v/>
      </c>
      <c r="I11" s="10">
        <f>F11/SUM(F$2:F$11)</f>
        <v/>
      </c>
      <c r="J11" s="10">
        <f>G11/SUM(G$2:G$11)</f>
        <v/>
      </c>
      <c r="K11" s="10">
        <f>(H11*Settings!$B$2 + I11*Settings!$B$3 + J11*Settings!$B$4)/(Settings!$B$2+Settings!$B$3+Settings!$B$4)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1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Matchup</t>
        </is>
      </c>
      <c r="B1" s="10" t="inlineStr">
        <is>
          <t>Result</t>
        </is>
      </c>
    </row>
    <row r="2">
      <c r="A2" s="10" t="inlineStr">
        <is>
          <t>Q10</t>
        </is>
      </c>
      <c r="B2" s="12" t="inlineStr">
        <is>
          <t>+7.2% from Nature to Near family in GW</t>
        </is>
      </c>
    </row>
    <row r="3">
      <c r="A3" s="10" t="inlineStr">
        <is>
          <t>Q12</t>
        </is>
      </c>
      <c r="B3" s="12" t="inlineStr">
        <is>
          <t>+2.6% from Village character to Shops &amp; doctor</t>
        </is>
      </c>
    </row>
    <row r="5">
      <c r="A5" s="10" t="inlineStr">
        <is>
          <t>Final Normalized Weights</t>
        </is>
      </c>
      <c r="B5" s="10" t="inlineStr">
        <is>
          <t>Weight</t>
        </is>
      </c>
    </row>
    <row r="6">
      <c r="A6" s="10" t="inlineStr">
        <is>
          <t>Near family in GW</t>
        </is>
      </c>
      <c r="B6" s="10" t="n">
        <v>0.153</v>
      </c>
    </row>
    <row r="7">
      <c r="A7" s="10" t="inlineStr">
        <is>
          <t>Nature</t>
        </is>
      </c>
      <c r="B7" s="10" t="n">
        <v>0.133</v>
      </c>
    </row>
    <row r="8">
      <c r="A8" s="10" t="inlineStr">
        <is>
          <t>Hospital</t>
        </is>
      </c>
      <c r="B8" s="10" t="n">
        <v>0.133</v>
      </c>
    </row>
    <row r="9">
      <c r="A9" s="10" t="inlineStr">
        <is>
          <t>Indian community</t>
        </is>
      </c>
      <c r="B9" s="10" t="n">
        <v>0.117</v>
      </c>
    </row>
    <row r="10">
      <c r="A10" s="10" t="inlineStr">
        <is>
          <t>Shops &amp; doctor</t>
        </is>
      </c>
      <c r="B10" s="10" t="n">
        <v>0.108</v>
      </c>
    </row>
    <row r="11">
      <c r="A11" s="10" t="inlineStr">
        <is>
          <t>Village character</t>
        </is>
      </c>
      <c r="B11" s="10" t="n">
        <v>0.08799999999999999</v>
      </c>
    </row>
    <row r="12">
      <c r="A12" s="10" t="inlineStr">
        <is>
          <t>Train/bus</t>
        </is>
      </c>
      <c r="B12" s="10" t="n">
        <v>0.081</v>
      </c>
    </row>
    <row r="13">
      <c r="A13" s="10" t="inlineStr">
        <is>
          <t>Price</t>
        </is>
      </c>
      <c r="B13" s="10" t="n">
        <v>0.081</v>
      </c>
    </row>
    <row r="14">
      <c r="A14" s="10" t="inlineStr">
        <is>
          <t>Beach</t>
        </is>
      </c>
      <c r="B14" s="10" t="n">
        <v>0.061</v>
      </c>
    </row>
    <row r="15">
      <c r="A15" s="10" t="inlineStr">
        <is>
          <t>City trip</t>
        </is>
      </c>
      <c r="B15" s="10" t="n">
        <v>0.045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9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Location</t>
        </is>
      </c>
      <c r="B1" s="2" t="inlineStr">
        <is>
          <t>Region</t>
        </is>
      </c>
      <c r="C1" s="2" t="inlineStr">
        <is>
          <t>Shortlist Status</t>
        </is>
      </c>
      <c r="D1" s="2" t="inlineStr">
        <is>
          <t>Parents Inland/Bush Fit (P)</t>
        </is>
      </c>
      <c r="E1" s="2" t="inlineStr">
        <is>
          <t>My Coastal-Nature Fit (Y)</t>
        </is>
      </c>
      <c r="F1" s="2" t="inlineStr">
        <is>
          <t>Primary Investigation Lens</t>
        </is>
      </c>
      <c r="G1" s="2" t="inlineStr">
        <is>
          <t>Published House Price</t>
        </is>
      </c>
      <c r="H1" s="2" t="inlineStr">
        <is>
          <t>Price Basis</t>
        </is>
      </c>
      <c r="I1" s="2" t="inlineStr">
        <is>
          <t>Price + Est. 6% Costs</t>
        </is>
      </c>
      <c r="J1" s="2" t="inlineStr">
        <is>
          <t>Drive to GW (min)</t>
        </is>
      </c>
      <c r="K1" s="2" t="inlineStr">
        <is>
          <t>Drive to 24-Hr Public ED (min)</t>
        </is>
      </c>
      <c r="L1" s="2" t="inlineStr">
        <is>
          <t>Hard Filter Status</t>
        </is>
      </c>
      <c r="M1" s="2" t="inlineStr">
        <is>
          <t>Score: Near family in GW</t>
        </is>
      </c>
      <c r="N1" s="2" t="inlineStr">
        <is>
          <t>Score: Nature</t>
        </is>
      </c>
      <c r="O1" s="2" t="inlineStr">
        <is>
          <t>Score: Hospital</t>
        </is>
      </c>
      <c r="P1" s="2" t="inlineStr">
        <is>
          <t>Score: Indian community</t>
        </is>
      </c>
      <c r="Q1" s="2" t="inlineStr">
        <is>
          <t>Score: Shops &amp; doctor</t>
        </is>
      </c>
      <c r="R1" s="2" t="inlineStr">
        <is>
          <t>Score: Village character</t>
        </is>
      </c>
      <c r="S1" s="2" t="inlineStr">
        <is>
          <t>Score: Train/bus</t>
        </is>
      </c>
      <c r="T1" s="2" t="inlineStr">
        <is>
          <t>Score: Price</t>
        </is>
      </c>
      <c r="U1" s="2" t="inlineStr">
        <is>
          <t>Score: Beach</t>
        </is>
      </c>
      <c r="V1" s="2" t="inlineStr">
        <is>
          <t>Score: City trip</t>
        </is>
      </c>
      <c r="W1" s="2" t="inlineStr">
        <is>
          <t>Scores Entered</t>
        </is>
      </c>
      <c r="X1" s="2" t="inlineStr">
        <is>
          <t>Weighted Score (0-10)</t>
        </is>
      </c>
      <c r="Y1" s="2" t="inlineStr">
        <is>
          <t>Rank (Passing Only)</t>
        </is>
      </c>
      <c r="Z1" s="2" t="inlineStr">
        <is>
          <t>Healthcare &amp; ABS Verification Notes</t>
        </is>
      </c>
      <c r="AB1" s="10" t="inlineStr">
        <is>
          <t>Train Option (Yes/No)</t>
        </is>
      </c>
      <c r="AC1" s="10" t="inlineStr">
        <is>
          <t>Train Station / Basis</t>
        </is>
      </c>
      <c r="AD1" s="10" t="inlineStr">
        <is>
          <t>ED Used for Drive Time (K)</t>
        </is>
      </c>
      <c r="AE1" s="16" t="inlineStr">
        <is>
          <t>Budget cap — purchase price</t>
        </is>
      </c>
      <c r="AF1" s="16" t="inlineStr">
        <is>
          <t>Budget basis</t>
        </is>
      </c>
      <c r="AG1" s="16" t="inlineStr">
        <is>
          <t>Price evidence type</t>
        </is>
      </c>
      <c r="AH1" s="16" t="inlineStr">
        <is>
          <t>Price evidence date</t>
        </is>
      </c>
      <c r="AI1" s="16" t="inlineStr">
        <is>
          <t>Budget result</t>
        </is>
      </c>
      <c r="AJ1" s="16" t="inlineStr">
        <is>
          <t>Budget note</t>
        </is>
      </c>
    </row>
    <row r="2">
      <c r="A2" s="9">
        <f>IFERROR(__xludf.DUMMYFUNCTION("ARRAYFORMULA(IF(AA2:AA90="""", """", REGEXREPLACE(TRIM(INDEX(SPLIT(AA2:AA90, ""|""), 0, 1)), ""^\d+\.\s*"", """")))"),"Blackburn")</f>
        <v/>
      </c>
      <c r="B2" s="9">
        <f>IFERROR(__xludf.DUMMYFUNCTION("ARRAYFORMULA(IF(AA2:AA90="""", """", TRIM(INDEX(SPLIT(AA2:AA90, ""|""), 0, 2))))"),"East Melbourne")</f>
        <v/>
      </c>
      <c r="C2" s="9">
        <f>IFERROR(__xludf.DUMMYFUNCTION("ARRAYFORMULA(IF(AA2:AA90="""", """", TRIM(INDEX(SPLIT(AA2:AA90, ""|""), 0, 3))))"),"Active Shortlist")</f>
        <v/>
      </c>
      <c r="D2" s="9">
        <f>IFERROR(__xludf.DUMMYFUNCTION("ARRAYFORMULA(IF(AA2:AA90="""", """", REGEXREPLACE(TRIM(INDEX(SPLIT(AA2:AA90, ""|""), 0, 4)), ""^P:\s*"", """")))"),"Medium (Leafy streets)")</f>
        <v/>
      </c>
      <c r="E2" s="9">
        <f>IFERROR(__xludf.DUMMYFUNCTION("ARRAYFORMULA(IF(AA2:AA90="""", """", REGEXREPLACE(TRIM(INDEX(SPLIT(AA2:AA90, ""|""), 0, 5)), ""^Y:\s*"", """")))"),"Low (Inland)")</f>
        <v/>
      </c>
      <c r="F2" s="9">
        <f>IFERROR(__xludf.DUMMYFUNCTION("ARRAYFORMULA(IF(AA2:AA90="""", """", REGEXREPLACE(TRIM(INDEX(SPLIT(AA2:AA90, ""|""), 0, 6)), ""^Lens:\s*"", """")))"),"Leafy daily living vs housing cost")</f>
        <v/>
      </c>
      <c r="G2" s="9">
        <f>IFERROR(__xludf.DUMMYFUNCTION("ARRAYFORMULA(IF(AA2:AA90="""", """", IFERROR(VALUE(REGEXREPLACE(TRIM(INDEX(SPLIT(AA2:AA90, ""|""), 0, 7)), ""^Price:\s*|\[Blank\]"", """")), """")))"),1600000.0)</f>
        <v/>
      </c>
      <c r="H2" s="9">
        <f>IFERROR(__xludf.DUMMYFUNCTION("ARRAYFORMULA(IF(AA2:AA90="""", """", REGEXREPLACE(TRIM(INDEX(SPLIT(AA2:AA90, ""|""), 0, 8)), ""^Basis:\s*"", """")))"),"Sale median, rolling 12m (OnTheHouse); unit $820k")</f>
        <v/>
      </c>
      <c r="I2" s="9">
        <f t="array" ref="I2:I90">IF(ISNUMBER(G2:G90), IF(G2:G90&gt;0, G2:G90 * (1 + Settings!$B$6), ""), "")</f>
        <v/>
      </c>
      <c r="J2" s="13" t="n">
        <v>11</v>
      </c>
      <c r="K2" s="13" t="n">
        <v>7</v>
      </c>
      <c r="L2" s="9" t="inlineStr">
        <is>
          <t>Active — needs data</t>
        </is>
      </c>
      <c r="M2" s="13" t="n"/>
      <c r="N2" s="13" t="n"/>
      <c r="O2" s="13">
        <f>IF(K2="","",ROUND(MAX(0,10*(1-K2/Filters!$B$5)),1))</f>
        <v/>
      </c>
      <c r="P2" s="13" t="n"/>
      <c r="Q2" s="13" t="n"/>
      <c r="R2" s="13" t="n"/>
      <c r="S2" s="13" t="n"/>
      <c r="T2" s="13" t="n"/>
      <c r="U2" s="13" t="n"/>
      <c r="V2" s="13" t="n"/>
      <c r="W2" s="9">
        <f t="array" ref="W2:W90">BYROW(M2:V90, LAMBDA(r, IF(INDEX(r, 1, 1)="", 0, COUNT(r))))</f>
        <v/>
      </c>
      <c r="X2" s="9">
        <f t="array" ref="X2:X90">IF(W2:W90&lt;10, "", M2:M90*ForcedChoiceCorrections!$B$6 + N2:N90*ForcedChoiceCorrections!$B$7 + O2:O90*ForcedChoiceCorrections!$B$8 + P2:P90*ForcedChoiceCorrections!$B$9 + Q2:Q90*ForcedChoiceCorrections!$B$10 + R2:R90*ForcedChoiceCorrections!$B$11 + S2:S90*ForcedChoiceCorrections!$B$12 + T2:T90*ForcedChoiceCorrections!$B$13 + U2:U90*ForcedChoiceCorrections!$B$14 + V2:V90*ForcedChoiceCorrections!$B$15)</f>
        <v/>
      </c>
      <c r="Y2" s="9">
        <f>IFERROR(__xludf.DUMMYFUNCTION("MAP(X2:X90, L2:L90, LAMBDA(x, l, IF(l=""Pass"", RANK(x, FILTER(X$2:X$90, L$2:L$90=""Pass"")), """")))"),"")</f>
        <v/>
      </c>
      <c r="Z2" s="9">
        <f>IFERROR(__xludf.DUMMYFUNCTION("ARRAYFORMULA(IF(AA2:AA90="""", """", REGEXREPLACE(TRIM(INDEX(SPLIT(AA2:AA90, ""|""), 0, 9)), ""^Note:\s*"", """")))"),"ABS 2021: 32.4% overseas-born, 31.6% non-Eng HH. Station/ED journeys unverified.")</f>
        <v/>
      </c>
      <c r="AA2" s="10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0" t="inlineStr">
        <is>
          <t>Yes</t>
        </is>
      </c>
      <c r="AC2" s="10" t="inlineStr">
        <is>
          <t>Blackburn station, Lilydale line (recall; verify)</t>
        </is>
      </c>
      <c r="AD2" s="10" t="inlineStr">
        <is>
          <t>Box Hill Hospital ED</t>
        </is>
      </c>
      <c r="AE2" s="17" t="n">
        <v>1500000</v>
      </c>
      <c r="AF2" s="0" t="inlineStr">
        <is>
          <t>Maximum purchase price, excluding transaction and moving costs</t>
        </is>
      </c>
      <c r="AG2" s="0" t="inlineStr">
        <is>
          <t>Suburb median</t>
        </is>
      </c>
      <c r="AH2" s="0" t="inlineStr">
        <is>
          <t>26 Oct 2026</t>
        </is>
      </c>
      <c r="AI2" s="0" t="inlineStr">
        <is>
          <t>Needs data</t>
        </is>
      </c>
      <c r="AJ2" s="0" t="inlineStr">
        <is>
          <t>House median $1.60M (OnTheHouse) exceeds $1.5M cap, but unit/villa median is $820k. Awaiting documented search for suitable single-level homes/units under $1.5M.</t>
        </is>
      </c>
    </row>
    <row r="3">
      <c r="A3" s="9">
        <f>IFERROR(__xludf.DUMMYFUNCTION("""COMPUTED_VALUE"""),"Ringwood")</f>
        <v/>
      </c>
      <c r="B3" s="9">
        <f>IFERROR(__xludf.DUMMYFUNCTION("""COMPUTED_VALUE"""),"East Melbourne")</f>
        <v/>
      </c>
      <c r="C3" s="9">
        <f>IFERROR(__xludf.DUMMYFUNCTION("""COMPUTED_VALUE"""),"Active Shortlist")</f>
        <v/>
      </c>
      <c r="D3" s="9">
        <f>IFERROR(__xludf.DUMMYFUNCTION("""COMPUTED_VALUE"""),"Medium-High (Foothills gateway)")</f>
        <v/>
      </c>
      <c r="E3" s="9">
        <f>IFERROR(__xludf.DUMMYFUNCTION("""COMPUTED_VALUE"""),"Low (Inland)")</f>
        <v/>
      </c>
      <c r="F3" s="9">
        <f>IFERROR(__xludf.DUMMYFUNCTION("""COMPUTED_VALUE"""),"Rail, services &amp; access to greener surroundings")</f>
        <v/>
      </c>
      <c r="G3" s="9">
        <f>IFERROR(__xludf.DUMMYFUNCTION("""COMPUTED_VALUE"""),1045000.0)</f>
        <v/>
      </c>
      <c r="H3" s="9">
        <f>IFERROR(__xludf.DUMMYFUNCTION("""COMPUTED_VALUE"""),"Sale median, rolling 12m (OnTheHouse); unit $650k")</f>
        <v/>
      </c>
      <c r="I3" s="9" t="n">
        <v>1107700</v>
      </c>
      <c r="J3" s="13" t="n">
        <v>12</v>
      </c>
      <c r="K3" s="13" t="n">
        <v>5</v>
      </c>
      <c r="L3" s="9" t="inlineStr">
        <is>
          <t>Active — provisional pass</t>
        </is>
      </c>
      <c r="M3" s="13" t="n"/>
      <c r="N3" s="13" t="n"/>
      <c r="O3" s="13">
        <f>IF(K3="","",ROUND(MAX(0,10*(1-K3/Filters!$B$5)),1))</f>
        <v/>
      </c>
      <c r="P3" s="13" t="n"/>
      <c r="Q3" s="13" t="n"/>
      <c r="R3" s="13" t="n"/>
      <c r="S3" s="13" t="n"/>
      <c r="T3" s="13" t="n"/>
      <c r="U3" s="13" t="n"/>
      <c r="V3" s="13" t="n"/>
      <c r="W3" s="9" t="n">
        <v>0</v>
      </c>
      <c r="X3" s="9" t="inlineStr"/>
      <c r="Y3" s="9">
        <f>IFERROR(__xludf.DUMMYFUNCTION("""COMPUTED_VALUE"""),"#N/A")</f>
        <v/>
      </c>
      <c r="Z3" s="9">
        <f>IFERROR(__xludf.DUMMYFUNCTION("""COMPUTED_VALUE"""),"ABS 2021: 35.7% overseas-born, 33.3% non-Eng HH. Belgrave/Lilydale rail; Maroondah Hospital ED nearby (verify drive).")</f>
        <v/>
      </c>
      <c r="AA3" s="10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0" t="inlineStr">
        <is>
          <t>Yes</t>
        </is>
      </c>
      <c r="AC3" s="10" t="inlineStr">
        <is>
          <t>Ringwood station, Lilydale/Belgrave lines (recall; verify)</t>
        </is>
      </c>
      <c r="AD3" s="10" t="inlineStr">
        <is>
          <t>Maroondah Hospital ED</t>
        </is>
      </c>
      <c r="AE3" s="17" t="n">
        <v>1500000</v>
      </c>
      <c r="AF3" s="0" t="inlineStr">
        <is>
          <t>Maximum purchase price, excluding transaction and moving costs</t>
        </is>
      </c>
      <c r="AG3" s="0" t="inlineStr">
        <is>
          <t>Suburb median</t>
        </is>
      </c>
      <c r="AH3" s="0" t="inlineStr">
        <is>
          <t>26 Oct 2026</t>
        </is>
      </c>
      <c r="AI3" s="0" t="inlineStr">
        <is>
          <t>Pass</t>
        </is>
      </c>
      <c r="AJ3" s="0" t="inlineStr">
        <is>
          <t>Published house price ($1,045,000) is under $1.5M cap.</t>
        </is>
      </c>
    </row>
    <row r="4">
      <c r="A4" s="9">
        <f>IFERROR(__xludf.DUMMYFUNCTION("""COMPUTED_VALUE"""),"Heidelberg")</f>
        <v/>
      </c>
      <c r="B4" s="9">
        <f>IFERROR(__xludf.DUMMYFUNCTION("""COMPUTED_VALUE"""),"North-East Melbourne")</f>
        <v/>
      </c>
      <c r="C4" s="9">
        <f>IFERROR(__xludf.DUMMYFUNCTION("""COMPUTED_VALUE"""),"Active Shortlist")</f>
        <v/>
      </c>
      <c r="D4" s="9">
        <f>IFERROR(__xludf.DUMMYFUNCTION("""COMPUTED_VALUE"""),"Medium (Yarra parkland)")</f>
        <v/>
      </c>
      <c r="E4" s="9">
        <f>IFERROR(__xludf.DUMMYFUNCTION("""COMPUTED_VALUE"""),"Low (Inland)")</f>
        <v/>
      </c>
      <c r="F4" s="9">
        <f>IFERROR(__xludf.DUMMYFUNCTION("""COMPUTED_VALUE"""),"Healthcare-led established suburb option")</f>
        <v/>
      </c>
      <c r="G4" s="9">
        <f>IFERROR(__xludf.DUMMYFUNCTION("""COMPUTED_VALUE"""),1452000.0)</f>
        <v/>
      </c>
      <c r="H4" s="9">
        <f>IFERROR(__xludf.DUMMYFUNCTION("""COMPUTED_VALUE"""),"Sale median, rolling 12m (35 sales); unit $700k")</f>
        <v/>
      </c>
      <c r="I4" s="9" t="n">
        <v>1539120</v>
      </c>
      <c r="J4" s="13" t="n">
        <v>25</v>
      </c>
      <c r="K4" s="13" t="n">
        <v>4</v>
      </c>
      <c r="L4" s="9" t="inlineStr">
        <is>
          <t>Active — provisional pass</t>
        </is>
      </c>
      <c r="M4" s="13" t="n"/>
      <c r="N4" s="13" t="n"/>
      <c r="O4" s="13">
        <f>IF(K4="","",ROUND(MAX(0,10*(1-K4/Filters!$B$5)),1))</f>
        <v/>
      </c>
      <c r="P4" s="13" t="n"/>
      <c r="Q4" s="13" t="n"/>
      <c r="R4" s="13" t="n"/>
      <c r="S4" s="13" t="n"/>
      <c r="T4" s="13" t="n"/>
      <c r="U4" s="13" t="n"/>
      <c r="V4" s="13" t="n"/>
      <c r="W4" s="9" t="n">
        <v>0</v>
      </c>
      <c r="X4" s="9" t="inlineStr"/>
      <c r="Y4" s="9">
        <f>IFERROR(__xludf.DUMMYFUNCTION("""COMPUTED_VALUE"""),"")</f>
        <v/>
      </c>
      <c r="Z4" s="9">
        <f>IFERROR(__xludf.DUMMYFUNCTION("""COMPUTED_VALUE"""),"ABS 2021: 28.1% overseas-born, 28.4% non-Eng HH. Austin Hospital precinct; verify residential pocket &amp; gradients.")</f>
        <v/>
      </c>
      <c r="AA4" s="10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0" t="inlineStr">
        <is>
          <t>Yes</t>
        </is>
      </c>
      <c r="AC4" s="10" t="inlineStr">
        <is>
          <t>Heidelberg station, Hurstbridge line (recall; verify)</t>
        </is>
      </c>
      <c r="AD4" s="10" t="inlineStr">
        <is>
          <t>Austin Hospital ED</t>
        </is>
      </c>
      <c r="AE4" s="17" t="n">
        <v>1500000</v>
      </c>
      <c r="AF4" s="0" t="inlineStr">
        <is>
          <t>Maximum purchase price, excluding transaction and moving costs</t>
        </is>
      </c>
      <c r="AG4" s="0" t="inlineStr">
        <is>
          <t>Suburb median</t>
        </is>
      </c>
      <c r="AH4" s="0" t="inlineStr">
        <is>
          <t>26 Oct 2026</t>
        </is>
      </c>
      <c r="AI4" s="0" t="inlineStr">
        <is>
          <t>Pass</t>
        </is>
      </c>
      <c r="AJ4" s="0" t="inlineStr">
        <is>
          <t>House median $1.452M (35 sales) is under $1.5M cap. Passes GW drive (25m) and ED drive (4m).</t>
        </is>
      </c>
    </row>
    <row r="5">
      <c r="A5" s="9">
        <f>IFERROR(__xludf.DUMMYFUNCTION("""COMPUTED_VALUE"""),"Eltham")</f>
        <v/>
      </c>
      <c r="B5" s="9">
        <f>IFERROR(__xludf.DUMMYFUNCTION("""COMPUTED_VALUE"""),"North-East Melbourne")</f>
        <v/>
      </c>
      <c r="C5" s="9">
        <f>IFERROR(__xludf.DUMMYFUNCTION("""COMPUTED_VALUE"""),"Active Shortlist")</f>
        <v/>
      </c>
      <c r="D5" s="9">
        <f>IFERROR(__xludf.DUMMYFUNCTION("""COMPUTED_VALUE"""),"High (Bushland/trees)")</f>
        <v/>
      </c>
      <c r="E5" s="9">
        <f>IFERROR(__xludf.DUMMYFUNCTION("""COMPUTED_VALUE"""),"Low (Inland)")</f>
        <v/>
      </c>
      <c r="F5" s="9">
        <f>IFERROR(__xludf.DUMMYFUNCTION("""COMPUTED_VALUE"""),"Green/scenic lifestyle hypothesis")</f>
        <v/>
      </c>
      <c r="G5" s="9">
        <f>IFERROR(__xludf.DUMMYFUNCTION("""COMPUTED_VALUE"""),1273000.0)</f>
        <v/>
      </c>
      <c r="H5" s="9">
        <f>IFERROR(__xludf.DUMMYFUNCTION("""COMPUTED_VALUE"""),"Sale median, rolling 12m (195 sales); unit $805k")</f>
        <v/>
      </c>
      <c r="I5" s="9" t="n">
        <v>1349380</v>
      </c>
      <c r="J5" s="13" t="n">
        <v>26</v>
      </c>
      <c r="K5" s="13" t="n">
        <v>16</v>
      </c>
      <c r="L5" s="9" t="inlineStr">
        <is>
          <t>Active — provisional pass</t>
        </is>
      </c>
      <c r="M5" s="13" t="n"/>
      <c r="N5" s="13" t="n"/>
      <c r="O5" s="13">
        <f>IF(K5="","",ROUND(MAX(0,10*(1-K5/Filters!$B$5)),1))</f>
        <v/>
      </c>
      <c r="P5" s="13" t="n"/>
      <c r="Q5" s="13" t="n"/>
      <c r="R5" s="13" t="n"/>
      <c r="S5" s="13" t="n"/>
      <c r="T5" s="13" t="n"/>
      <c r="U5" s="13" t="n"/>
      <c r="V5" s="13" t="n"/>
      <c r="W5" s="9" t="n">
        <v>0</v>
      </c>
      <c r="X5" s="9" t="inlineStr"/>
      <c r="Y5" s="9">
        <f>IFERROR(__xludf.DUMMYFUNCTION("""COMPUTED_VALUE"""),"")</f>
        <v/>
      </c>
      <c r="Z5" s="9">
        <f>IFERROR(__xludf.DUMMYFUNCTION("""COMPUTED_VALUE"""),"ABS 2021: 18.5% overseas-born, 14.0% non-Eng HH. Hurstbridge line; verify ED &amp; GW drive times.")</f>
        <v/>
      </c>
      <c r="AA5" s="10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0" t="inlineStr">
        <is>
          <t>Yes</t>
        </is>
      </c>
      <c r="AC5" s="10" t="inlineStr">
        <is>
          <t>Eltham station, Hurstbridge line (recall; verify)</t>
        </is>
      </c>
      <c r="AD5" s="10" t="inlineStr">
        <is>
          <t>Austin Hospital ED</t>
        </is>
      </c>
      <c r="AE5" s="17" t="n">
        <v>1500000</v>
      </c>
      <c r="AF5" s="0" t="inlineStr">
        <is>
          <t>Maximum purchase price, excluding transaction and moving costs</t>
        </is>
      </c>
      <c r="AG5" s="0" t="inlineStr">
        <is>
          <t>Suburb median</t>
        </is>
      </c>
      <c r="AH5" s="0" t="inlineStr">
        <is>
          <t>26 Oct 2026</t>
        </is>
      </c>
      <c r="AI5" s="0" t="inlineStr">
        <is>
          <t>Pass</t>
        </is>
      </c>
      <c r="AJ5" s="0" t="inlineStr">
        <is>
          <t>House median $1.273M (195 sales) is under $1.5M cap. Passes GW drive (26m) and ED drive (16m).</t>
        </is>
      </c>
    </row>
    <row r="6">
      <c r="A6" s="9">
        <f>IFERROR(__xludf.DUMMYFUNCTION("""COMPUTED_VALUE"""),"Upper Ferntree Gully")</f>
        <v/>
      </c>
      <c r="B6" s="9">
        <f>IFERROR(__xludf.DUMMYFUNCTION("""COMPUTED_VALUE"""),"East / Foothills")</f>
        <v/>
      </c>
      <c r="C6" s="9">
        <f>IFERROR(__xludf.DUMMYFUNCTION("""COMPUTED_VALUE"""),"Active Shortlist")</f>
        <v/>
      </c>
      <c r="D6" s="9">
        <f>IFERROR(__xludf.DUMMYFUNCTION("""COMPUTED_VALUE"""),"High (Foothills/forest)")</f>
        <v/>
      </c>
      <c r="E6" s="9">
        <f>IFERROR(__xludf.DUMMYFUNCTION("""COMPUTED_VALUE"""),"Low (Inland)")</f>
        <v/>
      </c>
      <c r="F6" s="9">
        <f>IFERROR(__xludf.DUMMYFUNCTION("""COMPUTED_VALUE"""),"Forest/foothills lifestyle with hospital &amp; rail access")</f>
        <v/>
      </c>
      <c r="G6" s="9">
        <f>IFERROR(__xludf.DUMMYFUNCTION("""COMPUTED_VALUE"""),872133.0)</f>
        <v/>
      </c>
      <c r="H6" s="9">
        <f>IFERROR(__xludf.DUMMYFUNCTION("""COMPUTED_VALUE"""),"AVM estimate (30 Sep 2026), NOT a verified sale median")</f>
        <v/>
      </c>
      <c r="I6" s="9" t="n">
        <v>924460.9800000001</v>
      </c>
      <c r="J6" s="13" t="n">
        <v>16</v>
      </c>
      <c r="K6" s="13" t="n">
        <v>2</v>
      </c>
      <c r="L6" s="9" t="inlineStr">
        <is>
          <t>Active — provisional pass</t>
        </is>
      </c>
      <c r="M6" s="13" t="n"/>
      <c r="N6" s="13" t="n"/>
      <c r="O6" s="13">
        <f>IF(K6="","",ROUND(MAX(0,10*(1-K6/Filters!$B$5)),1))</f>
        <v/>
      </c>
      <c r="P6" s="13" t="n"/>
      <c r="Q6" s="13" t="n"/>
      <c r="R6" s="13" t="n"/>
      <c r="S6" s="13" t="n"/>
      <c r="T6" s="13" t="n"/>
      <c r="U6" s="13" t="n"/>
      <c r="V6" s="13" t="n"/>
      <c r="W6" s="9" t="n">
        <v>0</v>
      </c>
      <c r="X6" s="9" t="inlineStr"/>
      <c r="Y6" s="9">
        <f>IFERROR(__xludf.DUMMYFUNCTION("""COMPUTED_VALUE"""),"#N/A")</f>
        <v/>
      </c>
      <c r="Z6" s="9">
        <f>IFERROR(__xludf.DUMMYFUNCTION("""COMPUTED_VALUE"""),"ABS 2021: 19.2% overseas-born, 12.2% non-Eng HH. Belgrave line; 10-min walk/bus 732 to Angliss Hospital (verify 24-hr ED status &amp; drive).")</f>
        <v/>
      </c>
      <c r="AA6" s="10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0" t="inlineStr">
        <is>
          <t>Yes</t>
        </is>
      </c>
      <c r="AC6" s="10" t="inlineStr">
        <is>
          <t>Upper Ferntree Gully station, Belgrave line (per sheet note)</t>
        </is>
      </c>
      <c r="AD6" s="10" t="inlineStr">
        <is>
          <t>Angliss Hospital ED (24-hr status still to verify)</t>
        </is>
      </c>
      <c r="AE6" s="17" t="n">
        <v>1500000</v>
      </c>
      <c r="AF6" s="0" t="inlineStr">
        <is>
          <t>Maximum purchase price, excluding transaction and moving costs</t>
        </is>
      </c>
      <c r="AG6" s="0" t="inlineStr">
        <is>
          <t>Suburb median</t>
        </is>
      </c>
      <c r="AH6" s="0" t="inlineStr">
        <is>
          <t>26 Oct 2026</t>
        </is>
      </c>
      <c r="AI6" s="0" t="inlineStr">
        <is>
          <t>Pass</t>
        </is>
      </c>
      <c r="AJ6" s="0" t="inlineStr">
        <is>
          <t>Published house price ($872,133) is under $1.5M cap.</t>
        </is>
      </c>
    </row>
    <row r="7">
      <c r="A7" s="9">
        <f>IFERROR(__xludf.DUMMYFUNCTION("""COMPUTED_VALUE"""),"Glen Waverley")</f>
        <v/>
      </c>
      <c r="B7" s="9">
        <f>IFERROR(__xludf.DUMMYFUNCTION("""COMPUTED_VALUE"""),"East Melbourne")</f>
        <v/>
      </c>
      <c r="C7" s="9">
        <f>IFERROR(__xludf.DUMMYFUNCTION("""COMPUTED_VALUE"""),"Active Shortlist")</f>
        <v/>
      </c>
      <c r="D7" s="9">
        <f>IFERROR(__xludf.DUMMYFUNCTION("""COMPUTED_VALUE"""),"Low-Medium (Suburban)")</f>
        <v/>
      </c>
      <c r="E7" s="9">
        <f>IFERROR(__xludf.DUMMYFUNCTION("""COMPUTED_VALUE"""),"Low (Inland)")</f>
        <v/>
      </c>
      <c r="F7" s="9">
        <f>IFERROR(__xludf.DUMMYFUNCTION("""COMPUTED_VALUE"""),"Current stay baseline — multicultural convenience")</f>
        <v/>
      </c>
      <c r="G7" s="9">
        <f>IFERROR(__xludf.DUMMYFUNCTION("""COMPUTED_VALUE"""),1763500.0)</f>
        <v/>
      </c>
      <c r="H7" s="9">
        <f>IFERROR(__xludf.DUMMYFUNCTION("""COMPUTED_VALUE"""),"Sale median, rolling 12m (454 sales); unit $930k")</f>
        <v/>
      </c>
      <c r="I7" s="9" t="n">
        <v>1869310</v>
      </c>
      <c r="J7" s="13" t="n">
        <v>0</v>
      </c>
      <c r="K7" s="13" t="n">
        <v>13</v>
      </c>
      <c r="L7" s="9" t="inlineStr">
        <is>
          <t>Active — needs data</t>
        </is>
      </c>
      <c r="M7" s="13" t="n"/>
      <c r="N7" s="13" t="n"/>
      <c r="O7" s="13">
        <f>IF(K7="","",ROUND(MAX(0,10*(1-K7/Filters!$B$5)),1))</f>
        <v/>
      </c>
      <c r="P7" s="13" t="n"/>
      <c r="Q7" s="13" t="n"/>
      <c r="R7" s="13" t="n"/>
      <c r="S7" s="13" t="n"/>
      <c r="T7" s="13" t="n"/>
      <c r="U7" s="13" t="n"/>
      <c r="V7" s="13" t="n"/>
      <c r="W7" s="9" t="n">
        <v>0</v>
      </c>
      <c r="X7" s="9" t="inlineStr"/>
      <c r="Y7" s="9">
        <f>IFERROR(__xludf.DUMMYFUNCTION("""COMPUTED_VALUE"""),"")</f>
        <v/>
      </c>
      <c r="Z7" s="9">
        <f>IFERROR(__xludf.DUMMYFUNCTION("""COMPUTED_VALUE"""),"ABS 2021: 58.7% overseas-born, 63.0% non-Eng HH. Baseline benchmark for family proximity.")</f>
        <v/>
      </c>
      <c r="AA7" s="10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0" t="inlineStr">
        <is>
          <t>Yes</t>
        </is>
      </c>
      <c r="AC7" s="10" t="inlineStr">
        <is>
          <t>Glen Waverley station, Glen Waverley line (recall; verify)</t>
        </is>
      </c>
      <c r="AD7" s="10" t="inlineStr">
        <is>
          <t>Monash Medical Centre Clayton ED</t>
        </is>
      </c>
      <c r="AE7" s="17" t="n">
        <v>1500000</v>
      </c>
      <c r="AF7" s="0" t="inlineStr">
        <is>
          <t>Maximum purchase price, excluding transaction and moving costs</t>
        </is>
      </c>
      <c r="AG7" s="0" t="inlineStr">
        <is>
          <t>Suburb median</t>
        </is>
      </c>
      <c r="AH7" s="0" t="inlineStr">
        <is>
          <t>26 Oct 2026</t>
        </is>
      </c>
      <c r="AI7" s="0" t="inlineStr">
        <is>
          <t>Needs data</t>
        </is>
      </c>
      <c r="AJ7" s="0" t="inlineStr">
        <is>
          <t>House median $1.76M (454 sales) exceeds $1.5M cap; unit median $930k. Awaiting documented search for suitable single-level homes/units under $1.5M.</t>
        </is>
      </c>
    </row>
    <row r="8">
      <c r="A8" s="9">
        <f>IFERROR(__xludf.DUMMYFUNCTION("""COMPUTED_VALUE"""),"Warrandyte")</f>
        <v/>
      </c>
      <c r="B8" s="9">
        <f>IFERROR(__xludf.DUMMYFUNCTION("""COMPUTED_VALUE"""),"North-East / Yarra")</f>
        <v/>
      </c>
      <c r="C8" s="9">
        <f>IFERROR(__xludf.DUMMYFUNCTION("""COMPUTED_VALUE"""),"Active Shortlist")</f>
        <v/>
      </c>
      <c r="D8" s="9">
        <f>IFERROR(__xludf.DUMMYFUNCTION("""COMPUTED_VALUE"""),"High (River &amp; state park)")</f>
        <v/>
      </c>
      <c r="E8" s="9">
        <f>IFERROR(__xludf.DUMMYFUNCTION("""COMPUTED_VALUE"""),"Low (River, non-coastal)")</f>
        <v/>
      </c>
      <c r="F8" s="9">
        <f>IFERROR(__xludf.DUMMYFUNCTION("""COMPUTED_VALUE"""),"River-and-bush living within metro boundary")</f>
        <v/>
      </c>
      <c r="G8" s="9">
        <f>IFERROR(__xludf.DUMMYFUNCTION("""COMPUTED_VALUE"""),0.0)</f>
        <v/>
      </c>
      <c r="H8" s="9">
        <f>IFERROR(__xludf.DUMMYFUNCTION("""COMPUTED_VALUE"""),"Not verified in report")</f>
        <v/>
      </c>
      <c r="I8" s="9" t="inlineStr"/>
      <c r="J8" s="13" t="n">
        <v>20</v>
      </c>
      <c r="K8" s="13" t="n">
        <v>14</v>
      </c>
      <c r="L8" s="9" t="inlineStr">
        <is>
          <t>Needs data</t>
        </is>
      </c>
      <c r="M8" s="13" t="n"/>
      <c r="N8" s="13" t="n"/>
      <c r="O8" s="13">
        <f>IF(K8="","",ROUND(MAX(0,10*(1-K8/Filters!$B$5)),1))</f>
        <v/>
      </c>
      <c r="P8" s="13" t="n"/>
      <c r="Q8" s="13" t="n"/>
      <c r="R8" s="13" t="n"/>
      <c r="S8" s="13" t="n"/>
      <c r="T8" s="13" t="n"/>
      <c r="U8" s="13" t="n"/>
      <c r="V8" s="13" t="n"/>
      <c r="W8" s="9" t="n">
        <v>0</v>
      </c>
      <c r="X8" s="9" t="inlineStr"/>
      <c r="Y8" s="9">
        <f>IFERROR(__xludf.DUMMYFUNCTION("""COMPUTED_VALUE"""),"")</f>
        <v/>
      </c>
      <c r="Z8" s="9">
        <f>IFERROR(__xludf.DUMMYFUNCTION("""COMPUTED_VALUE"""),"ABS 2021: 17.7% aged 65+, 17.0% non-Eng HH. Direct city bus 906; no local rail; check fire overlay &amp; ED drive.")</f>
        <v/>
      </c>
      <c r="AA8" s="10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0" t="inlineStr">
        <is>
          <t>No</t>
        </is>
      </c>
      <c r="AC8" s="10" t="inlineStr">
        <is>
          <t>No rail; bus 906 (per sheet note)</t>
        </is>
      </c>
      <c r="AD8" s="10" t="inlineStr">
        <is>
          <t>Maroondah Hospital ED</t>
        </is>
      </c>
      <c r="AE8" s="17" t="n">
        <v>1500000</v>
      </c>
      <c r="AF8" s="0" t="inlineStr">
        <is>
          <t>Maximum purchase price, excluding transaction and moving costs</t>
        </is>
      </c>
      <c r="AG8" s="0" t="inlineStr">
        <is>
          <t>[Awaiting search]</t>
        </is>
      </c>
      <c r="AH8" s="0" t="inlineStr">
        <is>
          <t>26 Oct 2026</t>
        </is>
      </c>
      <c r="AI8" s="0" t="inlineStr">
        <is>
          <t>Needs data</t>
        </is>
      </c>
      <c r="AJ8" s="0" t="inlineStr">
        <is>
          <t>No verified pricing entered.</t>
        </is>
      </c>
    </row>
    <row r="9">
      <c r="A9" s="9">
        <f>IFERROR(__xludf.DUMMYFUNCTION("""COMPUTED_VALUE"""),"Diamond Creek")</f>
        <v/>
      </c>
      <c r="B9" s="9">
        <f>IFERROR(__xludf.DUMMYFUNCTION("""COMPUTED_VALUE"""),"North-East Fringe")</f>
        <v/>
      </c>
      <c r="C9" s="9">
        <f>IFERROR(__xludf.DUMMYFUNCTION("""COMPUTED_VALUE"""),"Active Shortlist")</f>
        <v/>
      </c>
      <c r="D9" s="9">
        <f>IFERROR(__xludf.DUMMYFUNCTION("""COMPUTED_VALUE"""),"High (Green wedge &amp; trail)")</f>
        <v/>
      </c>
      <c r="E9" s="9">
        <f>IFERROR(__xludf.DUMMYFUNCTION("""COMPUTED_VALUE"""),"Low (Inland)")</f>
        <v/>
      </c>
      <c r="F9" s="9">
        <f>IFERROR(__xludf.DUMMYFUNCTION("""COMPUTED_VALUE"""),"Practical metro nature compromise with rail")</f>
        <v/>
      </c>
      <c r="G9" s="9">
        <f>IFERROR(__xludf.DUMMYFUNCTION("""COMPUTED_VALUE"""),885000.0)</f>
        <v/>
      </c>
      <c r="H9" s="9">
        <f>IFERROR(__xludf.DUMMYFUNCTION("""COMPUTED_VALUE"""),"3-bed house median $885k; 4-bed $1,240k (Domain)")</f>
        <v/>
      </c>
      <c r="I9" s="9" t="n">
        <v>938100</v>
      </c>
      <c r="J9" s="13" t="n">
        <v>33</v>
      </c>
      <c r="K9" s="13" t="n">
        <v>19</v>
      </c>
      <c r="L9" s="9" t="inlineStr">
        <is>
          <t>Active — provisional pass</t>
        </is>
      </c>
      <c r="M9" s="13" t="n"/>
      <c r="N9" s="13" t="n"/>
      <c r="O9" s="13">
        <f>IF(K9="","",ROUND(MAX(0,10*(1-K9/Filters!$B$5)),1))</f>
        <v/>
      </c>
      <c r="P9" s="13" t="n"/>
      <c r="Q9" s="13" t="n"/>
      <c r="R9" s="13" t="n"/>
      <c r="S9" s="13" t="n"/>
      <c r="T9" s="13" t="n"/>
      <c r="U9" s="13" t="n"/>
      <c r="V9" s="13" t="n"/>
      <c r="W9" s="9" t="n">
        <v>0</v>
      </c>
      <c r="X9" s="9" t="inlineStr"/>
      <c r="Y9" s="9">
        <f>IFERROR(__xludf.DUMMYFUNCTION("""COMPUTED_VALUE"""),"#N/A")</f>
        <v/>
      </c>
      <c r="Z9" s="9">
        <f>IFERROR(__xludf.DUMMYFUNCTION("""COMPUTED_VALUE"""),"ABS 2021: 13.1% aged 65+, 12.2% non-Eng HH. Hurstbridge line station &amp; trail; verify ED &amp; GW drive.")</f>
        <v/>
      </c>
      <c r="AA9" s="10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0" t="inlineStr">
        <is>
          <t>Yes</t>
        </is>
      </c>
      <c r="AC9" s="10" t="inlineStr">
        <is>
          <t>Diamond Creek station, Hurstbridge line (per sheet note)</t>
        </is>
      </c>
      <c r="AD9" s="10" t="inlineStr">
        <is>
          <t>Austin Hospital ED</t>
        </is>
      </c>
      <c r="AE9" s="17" t="n">
        <v>1500000</v>
      </c>
      <c r="AF9" s="0" t="inlineStr">
        <is>
          <t>Maximum purchase price, excluding transaction and moving costs</t>
        </is>
      </c>
      <c r="AG9" s="0" t="inlineStr">
        <is>
          <t>Suburb median</t>
        </is>
      </c>
      <c r="AH9" s="0" t="inlineStr">
        <is>
          <t>26 Oct 2026</t>
        </is>
      </c>
      <c r="AI9" s="0" t="inlineStr">
        <is>
          <t>Pass</t>
        </is>
      </c>
      <c r="AJ9" s="0" t="inlineStr">
        <is>
          <t>Published house price ($885,000) is under $1.5M cap.</t>
        </is>
      </c>
    </row>
    <row r="10">
      <c r="A10" s="9">
        <f>IFERROR(__xludf.DUMMYFUNCTION("""COMPUTED_VALUE"""),"Mentone")</f>
        <v/>
      </c>
      <c r="B10" s="9">
        <f>IFERROR(__xludf.DUMMYFUNCTION("""COMPUTED_VALUE"""),"Bayside Melbourne")</f>
        <v/>
      </c>
      <c r="C10" s="9">
        <f>IFERROR(__xludf.DUMMYFUNCTION("""COMPUTED_VALUE"""),"Active Shortlist")</f>
        <v/>
      </c>
      <c r="D10" s="9">
        <f>IFERROR(__xludf.DUMMYFUNCTION("""COMPUTED_VALUE"""),"Low-Medium (Suburban gardens)")</f>
        <v/>
      </c>
      <c r="E10" s="9">
        <f>IFERROR(__xludf.DUMMYFUNCTION("""COMPUTED_VALUE"""),"High (Bay beach)")</f>
        <v/>
      </c>
      <c r="F10" s="9">
        <f>IFERROR(__xludf.DUMMYFUNCTION("""COMPUTED_VALUE"""),"Coastal daily living on metro rail line")</f>
        <v/>
      </c>
      <c r="G10" s="9">
        <f>IFERROR(__xludf.DUMMYFUNCTION("""COMPUTED_VALUE"""),1497099.0)</f>
        <v/>
      </c>
      <c r="H10" s="9">
        <f>IFERROR(__xludf.DUMMYFUNCTION("""COMPUTED_VALUE"""),"Sale median (Aussie/CoreLogic); Woodards shows $1.30m")</f>
        <v/>
      </c>
      <c r="I10" s="9" t="n">
        <v>1586924.94</v>
      </c>
      <c r="J10" s="13" t="n">
        <v>25</v>
      </c>
      <c r="K10" s="13" t="n">
        <v>16</v>
      </c>
      <c r="L10" s="9" t="inlineStr">
        <is>
          <t>Active — provisional pass</t>
        </is>
      </c>
      <c r="M10" s="13" t="n"/>
      <c r="N10" s="13" t="n"/>
      <c r="O10" s="13">
        <f>IF(K10="","",ROUND(MAX(0,10*(1-K10/Filters!$B$5)),1))</f>
        <v/>
      </c>
      <c r="P10" s="13" t="n"/>
      <c r="Q10" s="13" t="n"/>
      <c r="R10" s="13" t="n"/>
      <c r="S10" s="13" t="n"/>
      <c r="T10" s="13" t="n"/>
      <c r="U10" s="13" t="n"/>
      <c r="V10" s="13" t="n"/>
      <c r="W10" s="9" t="n">
        <v>0</v>
      </c>
      <c r="X10" s="9" t="inlineStr"/>
      <c r="Y10" s="9">
        <f>IFERROR(__xludf.DUMMYFUNCTION("""COMPUTED_VALUE"""),"")</f>
        <v/>
      </c>
      <c r="Z10" s="9">
        <f>IFERROR(__xludf.DUMMYFUNCTION("""COMPUTED_VALUE"""),"ABS 2021: 28.8% overseas-born, 22.4% non-Eng HH. Reconcile price sources &amp; verify ED drive.")</f>
        <v/>
      </c>
      <c r="AA10" s="10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0" t="inlineStr">
        <is>
          <t>Yes</t>
        </is>
      </c>
      <c r="AC10" s="10" t="inlineStr">
        <is>
          <t>Mentone station, Frankston line (recall; verify)</t>
        </is>
      </c>
      <c r="AD10" s="10" t="inlineStr">
        <is>
          <t>Monash Medical Centre Clayton ED</t>
        </is>
      </c>
      <c r="AE10" s="17" t="n">
        <v>1500000</v>
      </c>
      <c r="AF10" s="0" t="inlineStr">
        <is>
          <t>Maximum purchase price, excluding transaction and moving costs</t>
        </is>
      </c>
      <c r="AG10" s="0" t="inlineStr">
        <is>
          <t>Suburb median</t>
        </is>
      </c>
      <c r="AH10" s="0" t="inlineStr">
        <is>
          <t>26 Oct 2026</t>
        </is>
      </c>
      <c r="AI10" s="0" t="inlineStr">
        <is>
          <t>Pass</t>
        </is>
      </c>
      <c r="AJ10" s="0" t="inlineStr">
        <is>
          <t>House median $1.497M (CoreLogic) / $1.30M (Woodards) is under $1.5M cap. Passes GW drive (25m) and ED drive (16m).</t>
        </is>
      </c>
    </row>
    <row r="11">
      <c r="A11" s="9">
        <f>IFERROR(__xludf.DUMMYFUNCTION("""COMPUTED_VALUE"""),"Frankston")</f>
        <v/>
      </c>
      <c r="B11" s="9">
        <f>IFERROR(__xludf.DUMMYFUNCTION("""COMPUTED_VALUE"""),"South / Coastal")</f>
        <v/>
      </c>
      <c r="C11" s="9">
        <f>IFERROR(__xludf.DUMMYFUNCTION("""COMPUTED_VALUE"""),"Active Shortlist")</f>
        <v/>
      </c>
      <c r="D11" s="9">
        <f>IFERROR(__xludf.DUMMYFUNCTION("""COMPUTED_VALUE"""),"Medium (Sweetwater/gullies)")</f>
        <v/>
      </c>
      <c r="E11" s="9">
        <f>IFERROR(__xludf.DUMMYFUNCTION("""COMPUTED_VALUE"""),"High (Bay beach)")</f>
        <v/>
      </c>
      <c r="F11" s="9">
        <f>IFERROR(__xludf.DUMMYFUNCTION("""COMPUTED_VALUE"""),"Coastal practicality &amp; accessible property price")</f>
        <v/>
      </c>
      <c r="G11" s="9">
        <f>IFERROR(__xludf.DUMMYFUNCTION("""COMPUTED_VALUE"""),834296.0)</f>
        <v/>
      </c>
      <c r="H11" s="9">
        <f>IFERROR(__xludf.DUMMYFUNCTION("""COMPUTED_VALUE"""),"Sale median, rolling 12m (Aussie/Cotality); unit $573k")</f>
        <v/>
      </c>
      <c r="I11" s="9" t="n">
        <v>884353.76</v>
      </c>
      <c r="J11" s="13" t="n">
        <v>25</v>
      </c>
      <c r="K11" s="13" t="n">
        <v>4</v>
      </c>
      <c r="L11" s="9" t="inlineStr">
        <is>
          <t>Active — provisional pass</t>
        </is>
      </c>
      <c r="M11" s="13" t="n"/>
      <c r="N11" s="13" t="n"/>
      <c r="O11" s="13">
        <f>IF(K11="","",ROUND(MAX(0,10*(1-K11/Filters!$B$5)),1))</f>
        <v/>
      </c>
      <c r="P11" s="13" t="n"/>
      <c r="Q11" s="13" t="n"/>
      <c r="R11" s="13" t="n"/>
      <c r="S11" s="13" t="n"/>
      <c r="T11" s="13" t="n"/>
      <c r="U11" s="13" t="n"/>
      <c r="V11" s="13" t="n"/>
      <c r="W11" s="9" t="n">
        <v>0</v>
      </c>
      <c r="X11" s="9" t="inlineStr"/>
      <c r="Y11" s="9">
        <f>IFERROR(__xludf.DUMMYFUNCTION("""COMPUTED_VALUE"""),"#N/A")</f>
        <v/>
      </c>
      <c r="Z11" s="9">
        <f>IFERROR(__xludf.DUMMYFUNCTION("""COMPUTED_VALUE"""),"ABS 2021: 22.5% overseas-born, 15.2% non-Eng HH. Peninsula Univ Hospital ED; ~66m train to CBD.")</f>
        <v/>
      </c>
      <c r="AA11" s="10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0" t="inlineStr">
        <is>
          <t>Yes</t>
        </is>
      </c>
      <c r="AC11" s="10" t="inlineStr">
        <is>
          <t>Frankston station, Frankston line (recall; verify)</t>
        </is>
      </c>
      <c r="AD11" s="10" t="inlineStr">
        <is>
          <t>Peninsula University Hospital ED</t>
        </is>
      </c>
      <c r="AE11" s="17" t="n">
        <v>1500000</v>
      </c>
      <c r="AF11" s="0" t="inlineStr">
        <is>
          <t>Maximum purchase price, excluding transaction and moving costs</t>
        </is>
      </c>
      <c r="AG11" s="0" t="inlineStr">
        <is>
          <t>Suburb median</t>
        </is>
      </c>
      <c r="AH11" s="0" t="inlineStr">
        <is>
          <t>26 Oct 2026</t>
        </is>
      </c>
      <c r="AI11" s="0" t="inlineStr">
        <is>
          <t>Pass</t>
        </is>
      </c>
      <c r="AJ11" s="0" t="inlineStr">
        <is>
          <t>Published house price ($834,296) is under $1.5M cap.</t>
        </is>
      </c>
    </row>
    <row r="12">
      <c r="A12" s="9">
        <f>IFERROR(__xludf.DUMMYFUNCTION("""COMPUTED_VALUE"""),"Altona")</f>
        <v/>
      </c>
      <c r="B12" s="9">
        <f>IFERROR(__xludf.DUMMYFUNCTION("""COMPUTED_VALUE"""),"West Coastal")</f>
        <v/>
      </c>
      <c r="C12" s="9">
        <f>IFERROR(__xludf.DUMMYFUNCTION("""COMPUTED_VALUE"""),"Active Shortlist")</f>
        <v/>
      </c>
      <c r="D12" s="9">
        <f>IFERROR(__xludf.DUMMYFUNCTION("""COMPUTED_VALUE"""),"Low-Medium (Flat coastal)")</f>
        <v/>
      </c>
      <c r="E12" s="9">
        <f>IFERROR(__xludf.DUMMYFUNCTION("""COMPUTED_VALUE"""),"High (Bay beach/wetlands)")</f>
        <v/>
      </c>
      <c r="F12" s="9">
        <f>IFERROR(__xludf.DUMMYFUNCTION("""COMPUTED_VALUE"""),"Coastal village alternative at lower price point")</f>
        <v/>
      </c>
      <c r="G12" s="9">
        <f>IFERROR(__xludf.DUMMYFUNCTION("""COMPUTED_VALUE"""),1155073.0)</f>
        <v/>
      </c>
      <c r="H12" s="9">
        <f>IFERROR(__xludf.DUMMYFUNCTION("""COMPUTED_VALUE"""),"AVM estimate (31 Aug 2026), NOT a verified sale median")</f>
        <v/>
      </c>
      <c r="I12" s="9" t="n">
        <v>1224377.38</v>
      </c>
      <c r="J12" s="13" t="n">
        <v>35</v>
      </c>
      <c r="K12" s="13" t="n">
        <v>15</v>
      </c>
      <c r="L12" s="9" t="inlineStr">
        <is>
          <t>Active — provisional pass</t>
        </is>
      </c>
      <c r="M12" s="13" t="n"/>
      <c r="N12" s="13" t="n"/>
      <c r="O12" s="13">
        <f>IF(K12="","",ROUND(MAX(0,10*(1-K12/Filters!$B$5)),1))</f>
        <v/>
      </c>
      <c r="P12" s="13" t="n"/>
      <c r="Q12" s="13" t="n"/>
      <c r="R12" s="13" t="n"/>
      <c r="S12" s="13" t="n"/>
      <c r="T12" s="13" t="n"/>
      <c r="U12" s="13" t="n"/>
      <c r="V12" s="13" t="n"/>
      <c r="W12" s="9" t="n">
        <v>0</v>
      </c>
      <c r="X12" s="9" t="inlineStr"/>
      <c r="Y12" s="9">
        <f>IFERROR(__xludf.DUMMYFUNCTION("""COMPUTED_VALUE"""),"#N/A")</f>
        <v/>
      </c>
      <c r="Z12" s="9">
        <f>IFERROR(__xludf.DUMMYFUNCTION("""COMPUTED_VALUE"""),"ABS 2021: 28.3% overseas-born, 23.8% non-Eng HH. Cross-city drive to Glen Waverley needs testing.")</f>
        <v/>
      </c>
      <c r="AA12" s="10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0" t="inlineStr">
        <is>
          <t>Yes</t>
        </is>
      </c>
      <c r="AC12" s="10" t="inlineStr">
        <is>
          <t>Altona station, Werribee line (recall; verify)</t>
        </is>
      </c>
      <c r="AD12" s="10" t="inlineStr">
        <is>
          <t>Footscray Hospital ED</t>
        </is>
      </c>
      <c r="AE12" s="17" t="n">
        <v>1500000</v>
      </c>
      <c r="AF12" s="0" t="inlineStr">
        <is>
          <t>Maximum purchase price, excluding transaction and moving costs</t>
        </is>
      </c>
      <c r="AG12" s="0" t="inlineStr">
        <is>
          <t>Suburb median</t>
        </is>
      </c>
      <c r="AH12" s="0" t="inlineStr">
        <is>
          <t>26 Oct 2026</t>
        </is>
      </c>
      <c r="AI12" s="0" t="inlineStr">
        <is>
          <t>Pass</t>
        </is>
      </c>
      <c r="AJ12" s="0" t="inlineStr">
        <is>
          <t>Published house price ($1,155,073) is under $1.5M cap.</t>
        </is>
      </c>
    </row>
    <row r="13">
      <c r="A13" s="9">
        <f>IFERROR(__xludf.DUMMYFUNCTION("""COMPUTED_VALUE"""),"Williamstown")</f>
        <v/>
      </c>
      <c r="B13" s="9">
        <f>IFERROR(__xludf.DUMMYFUNCTION("""COMPUTED_VALUE"""),"West Coastal")</f>
        <v/>
      </c>
      <c r="C13" s="9">
        <f>IFERROR(__xludf.DUMMYFUNCTION("""COMPUTED_VALUE"""),"Active Shortlist")</f>
        <v/>
      </c>
      <c r="D13" s="9">
        <f>IFERROR(__xludf.DUMMYFUNCTION("""COMPUTED_VALUE"""),"Medium (Botanic gardens)")</f>
        <v/>
      </c>
      <c r="E13" s="9">
        <f>IFERROR(__xludf.DUMMYFUNCTION("""COMPUTED_VALUE"""),"High (Historic harbor/beach)")</f>
        <v/>
      </c>
      <c r="F13" s="9">
        <f>IFERROR(__xludf.DUMMYFUNCTION("""COMPUTED_VALUE"""),"Picturesque coastal character vs cost")</f>
        <v/>
      </c>
      <c r="G13" s="9">
        <f>IFERROR(__xludf.DUMMYFUNCTION("""COMPUTED_VALUE"""),1642163.0)</f>
        <v/>
      </c>
      <c r="H13" s="9">
        <f>IFERROR(__xludf.DUMMYFUNCTION("""COMPUTED_VALUE"""),"AVM estimate (30 Sep 2026), NOT a verified sale median")</f>
        <v/>
      </c>
      <c r="I13" s="9" t="n">
        <v>1740692.78</v>
      </c>
      <c r="J13" s="13" t="n">
        <v>31</v>
      </c>
      <c r="K13" s="13" t="n">
        <v>13</v>
      </c>
      <c r="L13" s="9" t="inlineStr">
        <is>
          <t>Active — needs data</t>
        </is>
      </c>
      <c r="M13" s="13" t="n"/>
      <c r="N13" s="13" t="n"/>
      <c r="O13" s="13">
        <f>IF(K13="","",ROUND(MAX(0,10*(1-K13/Filters!$B$5)),1))</f>
        <v/>
      </c>
      <c r="P13" s="13" t="n"/>
      <c r="Q13" s="13" t="n"/>
      <c r="R13" s="13" t="n"/>
      <c r="S13" s="13" t="n"/>
      <c r="T13" s="13" t="n"/>
      <c r="U13" s="13" t="n"/>
      <c r="V13" s="13" t="n"/>
      <c r="W13" s="9" t="n">
        <v>0</v>
      </c>
      <c r="X13" s="9" t="inlineStr"/>
      <c r="Y13" s="9">
        <f>IFERROR(__xludf.DUMMYFUNCTION("""COMPUTED_VALUE"""),"")</f>
        <v/>
      </c>
      <c r="Z13" s="9">
        <f>IFERROR(__xludf.DUMMYFUNCTION("""COMPUTED_VALUE"""),"ABS 2021: 22.6% overseas-born, 20.0% non-Eng HH. Cross-city travel to Glen Waverley &amp; ED capacity need checking.")</f>
        <v/>
      </c>
      <c r="AA13" s="10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0" t="inlineStr">
        <is>
          <t>Yes</t>
        </is>
      </c>
      <c r="AC13" s="10" t="inlineStr">
        <is>
          <t>Williamstown station, Williamstown line (recall; verify)</t>
        </is>
      </c>
      <c r="AD13" s="10" t="inlineStr">
        <is>
          <t>Footscray Hospital ED</t>
        </is>
      </c>
      <c r="AE13" s="17" t="n">
        <v>1500000</v>
      </c>
      <c r="AF13" s="0" t="inlineStr">
        <is>
          <t>Maximum purchase price, excluding transaction and moving costs</t>
        </is>
      </c>
      <c r="AG13" s="0" t="inlineStr">
        <is>
          <t>AVM estimate</t>
        </is>
      </c>
      <c r="AH13" s="0" t="inlineStr">
        <is>
          <t>26 Oct 2026</t>
        </is>
      </c>
      <c r="AI13" s="0" t="inlineStr">
        <is>
          <t>Needs data</t>
        </is>
      </c>
      <c r="AJ13" s="0" t="inlineStr">
        <is>
          <t>Figure is an automated valuation model ($1.64M), not a verified sale median or specific property. Awaiting documented listing search under $1.5M.</t>
        </is>
      </c>
    </row>
    <row r="14">
      <c r="A14" s="9">
        <f>IFERROR(__xludf.DUMMYFUNCTION("""COMPUTED_VALUE"""),"Healesville")</f>
        <v/>
      </c>
      <c r="B14" s="9">
        <f>IFERROR(__xludf.DUMMYFUNCTION("""COMPUTED_VALUE"""),"Yarra Valley")</f>
        <v/>
      </c>
      <c r="C14" s="9">
        <f>IFERROR(__xludf.DUMMYFUNCTION("""COMPUTED_VALUE"""),"Active Shortlist")</f>
        <v/>
      </c>
      <c r="D14" s="9">
        <f>IFERROR(__xludf.DUMMYFUNCTION("""COMPUTED_VALUE"""),"High (Valley &amp; mountains)")</f>
        <v/>
      </c>
      <c r="E14" s="9">
        <f>IFERROR(__xludf.DUMMYFUNCTION("""COMPUTED_VALUE"""),"Low (Inland)")</f>
        <v/>
      </c>
      <c r="F14" s="9">
        <f>IFERROR(__xludf.DUMMYFUNCTION("""COMPUTED_VALUE"""),"Larger Yarra Valley town comparator")</f>
        <v/>
      </c>
      <c r="G14" s="9">
        <f>IFERROR(__xludf.DUMMYFUNCTION("""COMPUTED_VALUE"""),0.0)</f>
        <v/>
      </c>
      <c r="H14" s="9">
        <f>IFERROR(__xludf.DUMMYFUNCTION("""COMPUTED_VALUE"""),"Not verified in report")</f>
        <v/>
      </c>
      <c r="I14" s="9" t="inlineStr"/>
      <c r="J14" s="13" t="n">
        <v>43</v>
      </c>
      <c r="K14" s="13" t="n">
        <v>33</v>
      </c>
      <c r="L14" s="9" t="inlineStr">
        <is>
          <t>Needs data</t>
        </is>
      </c>
      <c r="M14" s="13" t="n"/>
      <c r="N14" s="13" t="n"/>
      <c r="O14" s="13">
        <f>IF(K14="","",ROUND(MAX(0,10*(1-K14/Filters!$B$5)),1))</f>
        <v/>
      </c>
      <c r="P14" s="13" t="n"/>
      <c r="Q14" s="13" t="n"/>
      <c r="R14" s="13" t="n"/>
      <c r="S14" s="13" t="n"/>
      <c r="T14" s="13" t="n"/>
      <c r="U14" s="13" t="n"/>
      <c r="V14" s="13" t="n"/>
      <c r="W14" s="9" t="n">
        <v>0</v>
      </c>
      <c r="X14" s="9" t="inlineStr"/>
      <c r="Y14" s="9">
        <f>IFERROR(__xludf.DUMMYFUNCTION("""COMPUTED_VALUE"""),"")</f>
        <v/>
      </c>
      <c r="Z14" s="9">
        <f>IFERROR(__xludf.DUMMYFUNCTION("""COMPUTED_VALUE"""),"2021 pop 7,589. CAUTION: Eastern Health directs urgent ED patients to Maroondah Hospital ED (not local).")</f>
        <v/>
      </c>
      <c r="AA14" s="10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0" t="inlineStr">
        <is>
          <t>No</t>
        </is>
      </c>
      <c r="AC14" s="10" t="inlineStr">
        <is>
          <t>No rail (recall; verify)</t>
        </is>
      </c>
      <c r="AD14" s="10" t="inlineStr">
        <is>
          <t>Maroondah Hospital ED (sheet note: urgent ED cases go here)</t>
        </is>
      </c>
      <c r="AE14" s="17" t="n">
        <v>1500000</v>
      </c>
      <c r="AF14" s="0" t="inlineStr">
        <is>
          <t>Maximum purchase price, excluding transaction and moving costs</t>
        </is>
      </c>
      <c r="AG14" s="0" t="inlineStr">
        <is>
          <t>[Awaiting search]</t>
        </is>
      </c>
      <c r="AH14" s="0" t="inlineStr">
        <is>
          <t>26 Oct 2026</t>
        </is>
      </c>
      <c r="AI14" s="0" t="inlineStr">
        <is>
          <t>Needs data</t>
        </is>
      </c>
      <c r="AJ14" s="0" t="inlineStr">
        <is>
          <t>No verified pricing entered.</t>
        </is>
      </c>
    </row>
    <row r="15">
      <c r="A15" s="9">
        <f>IFERROR(__xludf.DUMMYFUNCTION("""COMPUTED_VALUE"""),"Kyneton")</f>
        <v/>
      </c>
      <c r="B15" s="9">
        <f>IFERROR(__xludf.DUMMYFUNCTION("""COMPUTED_VALUE"""),"Macedon Ranges")</f>
        <v/>
      </c>
      <c r="C15" s="9">
        <f>IFERROR(__xludf.DUMMYFUNCTION("""COMPUTED_VALUE"""),"Active Shortlist")</f>
        <v/>
      </c>
      <c r="D15" s="9">
        <f>IFERROR(__xludf.DUMMYFUNCTION("""COMPUTED_VALUE"""),"High (Country town &amp; gardens)")</f>
        <v/>
      </c>
      <c r="E15" s="9">
        <f>IFERROR(__xludf.DUMMYFUNCTION("""COMPUTED_VALUE"""),"Low (Inland river)")</f>
        <v/>
      </c>
      <c r="F15" s="9">
        <f>IFERROR(__xludf.DUMMYFUNCTION("""COMPUTED_VALUE"""),"Country-town practicality with V/Line rail")</f>
        <v/>
      </c>
      <c r="G15" s="9">
        <f>IFERROR(__xludf.DUMMYFUNCTION("""COMPUTED_VALUE"""),810000.0)</f>
        <v/>
      </c>
      <c r="H15" s="9">
        <f>IFERROR(__xludf.DUMMYFUNCTION("""COMPUTED_VALUE"""),"3-bed house median $810k; 4-bed $980k (Domain)")</f>
        <v/>
      </c>
      <c r="I15" s="9" t="n">
        <v>858600</v>
      </c>
      <c r="J15" s="13" t="n">
        <v>77</v>
      </c>
      <c r="K15" s="13" t="n">
        <v>47</v>
      </c>
      <c r="L15" s="9" t="inlineStr">
        <is>
          <t>Active — provisional pass</t>
        </is>
      </c>
      <c r="M15" s="13" t="n"/>
      <c r="N15" s="13" t="n"/>
      <c r="O15" s="13">
        <f>IF(K15="","",ROUND(MAX(0,10*(1-K15/Filters!$B$5)),1))</f>
        <v/>
      </c>
      <c r="P15" s="13" t="n"/>
      <c r="Q15" s="13" t="n"/>
      <c r="R15" s="13" t="n"/>
      <c r="S15" s="13" t="n"/>
      <c r="T15" s="13" t="n"/>
      <c r="U15" s="13" t="n"/>
      <c r="V15" s="13" t="n"/>
      <c r="W15" s="9" t="n">
        <v>0</v>
      </c>
      <c r="X15" s="9" t="inlineStr"/>
      <c r="Y15" s="9">
        <f>IFERROR(__xludf.DUMMYFUNCTION("""COMPUTED_VALUE"""),"#N/A")</f>
        <v/>
      </c>
      <c r="Z15" s="9">
        <f>IFERROR(__xludf.DUMMYFUNCTION("""COMPUTED_VALUE"""),"ABS 2021: 25.0% aged 65+, 6.9% non-Eng HH. CAUTION: Local facility is 24-hr Urgent Care Centre, NOT a major public ED.")</f>
        <v/>
      </c>
      <c r="AA15" s="10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0" t="inlineStr">
        <is>
          <t>Yes</t>
        </is>
      </c>
      <c r="AC15" s="10" t="inlineStr">
        <is>
          <t>Kyneton station, V/Line Bendigo (per sheet note)</t>
        </is>
      </c>
      <c r="AD15" s="10" t="inlineStr">
        <is>
          <t>Bendigo Hospital ED (local 24-hr urgent care is not an ED)</t>
        </is>
      </c>
      <c r="AE15" s="17" t="n">
        <v>1500000</v>
      </c>
      <c r="AF15" s="0" t="inlineStr">
        <is>
          <t>Maximum purchase price, excluding transaction and moving costs</t>
        </is>
      </c>
      <c r="AG15" s="0" t="inlineStr">
        <is>
          <t>Suburb median</t>
        </is>
      </c>
      <c r="AH15" s="0" t="inlineStr">
        <is>
          <t>26 Oct 2026</t>
        </is>
      </c>
      <c r="AI15" s="0" t="inlineStr">
        <is>
          <t>Pass</t>
        </is>
      </c>
      <c r="AJ15" s="0" t="inlineStr">
        <is>
          <t>Published house price ($810,000) is under $1.5M cap.</t>
        </is>
      </c>
    </row>
    <row r="16">
      <c r="A16" s="9">
        <f>IFERROR(__xludf.DUMMYFUNCTION("""COMPUTED_VALUE"""),"Woodend")</f>
        <v/>
      </c>
      <c r="B16" s="9">
        <f>IFERROR(__xludf.DUMMYFUNCTION("""COMPUTED_VALUE"""),"Macedon Ranges")</f>
        <v/>
      </c>
      <c r="C16" s="9">
        <f>IFERROR(__xludf.DUMMYFUNCTION("""COMPUTED_VALUE"""),"Active Shortlist")</f>
        <v/>
      </c>
      <c r="D16" s="9">
        <f>IFERROR(__xludf.DUMMYFUNCTION("""COMPUTED_VALUE"""),"High (Macedon Ranges forest)")</f>
        <v/>
      </c>
      <c r="E16" s="9">
        <f>IFERROR(__xludf.DUMMYFUNCTION("""COMPUTED_VALUE"""),"Low (Inland)")</f>
        <v/>
      </c>
      <c r="F16" s="9">
        <f>IFERROR(__xludf.DUMMYFUNCTION("""COMPUTED_VALUE"""),"Walkable station country town in Macedon Ranges")</f>
        <v/>
      </c>
      <c r="G16" s="9">
        <f>IFERROR(__xludf.DUMMYFUNCTION("""COMPUTED_VALUE"""),890000.0)</f>
        <v/>
      </c>
      <c r="H16" s="9">
        <f>IFERROR(__xludf.DUMMYFUNCTION("""COMPUTED_VALUE"""),"3-bed house median $890k; 4-bed $1,150k (Domain)")</f>
        <v/>
      </c>
      <c r="I16" s="9" t="n">
        <v>943400</v>
      </c>
      <c r="J16" s="13" t="n">
        <v>68</v>
      </c>
      <c r="K16" s="13" t="n">
        <v>55</v>
      </c>
      <c r="L16" s="9" t="inlineStr">
        <is>
          <t>Active — provisional pass</t>
        </is>
      </c>
      <c r="M16" s="13" t="n"/>
      <c r="N16" s="13" t="n"/>
      <c r="O16" s="13">
        <f>IF(K16="","",ROUND(MAX(0,10*(1-K16/Filters!$B$5)),1))</f>
        <v/>
      </c>
      <c r="P16" s="13" t="n"/>
      <c r="Q16" s="13" t="n"/>
      <c r="R16" s="13" t="n"/>
      <c r="S16" s="13" t="n"/>
      <c r="T16" s="13" t="n"/>
      <c r="U16" s="13" t="n"/>
      <c r="V16" s="13" t="n"/>
      <c r="W16" s="9" t="n">
        <v>0</v>
      </c>
      <c r="X16" s="9" t="inlineStr"/>
      <c r="Y16" s="9">
        <f>IFERROR(__xludf.DUMMYFUNCTION("""COMPUTED_VALUE"""),"#N/A")</f>
        <v/>
      </c>
      <c r="Z16" s="9">
        <f>IFERROR(__xludf.DUMMYFUNCTION("""COMPUTED_VALUE"""),"V/Line Bendigo line. Check winter comfort, major public ED drive time &amp; family trip frequency.")</f>
        <v/>
      </c>
      <c r="AA16" s="10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0" t="inlineStr">
        <is>
          <t>Yes</t>
        </is>
      </c>
      <c r="AC16" s="10" t="inlineStr">
        <is>
          <t>Woodend station, V/Line Bendigo (per sheet note)</t>
        </is>
      </c>
      <c r="AD16" s="10" t="inlineStr">
        <is>
          <t>Bendigo Hospital ED (nearest ED not confirmed; Northern Hospital Epping not tested)</t>
        </is>
      </c>
      <c r="AE16" s="17" t="n">
        <v>1500000</v>
      </c>
      <c r="AF16" s="0" t="inlineStr">
        <is>
          <t>Maximum purchase price, excluding transaction and moving costs</t>
        </is>
      </c>
      <c r="AG16" s="0" t="inlineStr">
        <is>
          <t>Suburb median</t>
        </is>
      </c>
      <c r="AH16" s="0" t="inlineStr">
        <is>
          <t>26 Oct 2026</t>
        </is>
      </c>
      <c r="AI16" s="0" t="inlineStr">
        <is>
          <t>Pass</t>
        </is>
      </c>
      <c r="AJ16" s="0" t="inlineStr">
        <is>
          <t>Published house price ($890,000) is under $1.5M cap.</t>
        </is>
      </c>
    </row>
    <row r="17">
      <c r="A17" s="9">
        <f>IFERROR(__xludf.DUMMYFUNCTION("""COMPUTED_VALUE"""),"Macedon")</f>
        <v/>
      </c>
      <c r="B17" s="9">
        <f>IFERROR(__xludf.DUMMYFUNCTION("""COMPUTED_VALUE"""),"Macedon Ranges")</f>
        <v/>
      </c>
      <c r="C17" s="9">
        <f>IFERROR(__xludf.DUMMYFUNCTION("""COMPUTED_VALUE"""),"Active Shortlist")</f>
        <v/>
      </c>
      <c r="D17" s="9">
        <f>IFERROR(__xludf.DUMMYFUNCTION("""COMPUTED_VALUE"""),"High (Forest &amp; Honour Ave)")</f>
        <v/>
      </c>
      <c r="E17" s="9">
        <f>IFERROR(__xludf.DUMMYFUNCTION("""COMPUTED_VALUE"""),"Low (Inland)")</f>
        <v/>
      </c>
      <c r="F17" s="9">
        <f>IFERROR(__xludf.DUMMYFUNCTION("""COMPUTED_VALUE"""),"Landscape-led Macedon Ranges option")</f>
        <v/>
      </c>
      <c r="G17" s="9">
        <f>IFERROR(__xludf.DUMMYFUNCTION("""COMPUTED_VALUE"""),0.0)</f>
        <v/>
      </c>
      <c r="H17" s="9">
        <f>IFERROR(__xludf.DUMMYFUNCTION("""COMPUTED_VALUE"""),"Not verified in report")</f>
        <v/>
      </c>
      <c r="I17" s="9" t="inlineStr"/>
      <c r="J17" s="13" t="n">
        <v>62</v>
      </c>
      <c r="K17" s="13" t="n">
        <v>60</v>
      </c>
      <c r="L17" s="9" t="inlineStr">
        <is>
          <t>Needs data</t>
        </is>
      </c>
      <c r="M17" s="13" t="n"/>
      <c r="N17" s="13" t="n"/>
      <c r="O17" s="13">
        <f>IF(K17="","",ROUND(MAX(0,10*(1-K17/Filters!$B$5)),1))</f>
        <v/>
      </c>
      <c r="P17" s="13" t="n"/>
      <c r="Q17" s="13" t="n"/>
      <c r="R17" s="13" t="n"/>
      <c r="S17" s="13" t="n"/>
      <c r="T17" s="13" t="n"/>
      <c r="U17" s="13" t="n"/>
      <c r="V17" s="13" t="n"/>
      <c r="W17" s="9" t="n">
        <v>0</v>
      </c>
      <c r="X17" s="9" t="inlineStr"/>
      <c r="Y17" s="9">
        <f>IFERROR(__xludf.DUMMYFUNCTION("""COMPUTED_VALUE"""),"")</f>
        <v/>
      </c>
      <c r="Z17" s="9">
        <f>IFERROR(__xludf.DUMMYFUNCTION("""COMPUTED_VALUE"""),"Distinguish Macedon from Mount Macedon; check bushfire overlay, gradients &amp; major ED journey.")</f>
        <v/>
      </c>
      <c r="AA17" s="10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0" t="inlineStr">
        <is>
          <t>Yes</t>
        </is>
      </c>
      <c r="AC17" s="10" t="inlineStr">
        <is>
          <t>Macedon station, V/Line Bendigo (recall; verify)</t>
        </is>
      </c>
      <c r="AD17" s="10" t="inlineStr">
        <is>
          <t>Bendigo Hospital ED (nearest ED not confirmed; Northern Hospital Epping not tested)</t>
        </is>
      </c>
      <c r="AE17" s="17" t="n">
        <v>1500000</v>
      </c>
      <c r="AF17" s="0" t="inlineStr">
        <is>
          <t>Maximum purchase price, excluding transaction and moving costs</t>
        </is>
      </c>
      <c r="AG17" s="0" t="inlineStr">
        <is>
          <t>[Awaiting search]</t>
        </is>
      </c>
      <c r="AH17" s="0" t="inlineStr">
        <is>
          <t>26 Oct 2026</t>
        </is>
      </c>
      <c r="AI17" s="0" t="inlineStr">
        <is>
          <t>Needs data</t>
        </is>
      </c>
      <c r="AJ17" s="0" t="inlineStr">
        <is>
          <t>No verified pricing entered.</t>
        </is>
      </c>
    </row>
    <row r="18">
      <c r="A18" s="9">
        <f>IFERROR(__xludf.DUMMYFUNCTION("""COMPUTED_VALUE"""),"Torquay")</f>
        <v/>
      </c>
      <c r="B18" s="9">
        <f>IFERROR(__xludf.DUMMYFUNCTION("""COMPUTED_VALUE"""),"Surf Coast")</f>
        <v/>
      </c>
      <c r="C18" s="9">
        <f>IFERROR(__xludf.DUMMYFUNCTION("""COMPUTED_VALUE"""),"Active Shortlist")</f>
        <v/>
      </c>
      <c r="D18" s="9">
        <f>IFERROR(__xludf.DUMMYFUNCTION("""COMPUTED_VALUE"""),"Medium (Coastal heath)")</f>
        <v/>
      </c>
      <c r="E18" s="9">
        <f>IFERROR(__xludf.DUMMYFUNCTION("""COMPUTED_VALUE"""),"High (Surf Coast walk/beach)")</f>
        <v/>
      </c>
      <c r="F18" s="9">
        <f>IFERROR(__xludf.DUMMYFUNCTION("""COMPUTED_VALUE"""),"Everyday surf-coast walking lifestyle")</f>
        <v/>
      </c>
      <c r="G18" s="9">
        <f>IFERROR(__xludf.DUMMYFUNCTION("""COMPUTED_VALUE"""),1180000.0)</f>
        <v/>
      </c>
      <c r="H18" s="9">
        <f>IFERROR(__xludf.DUMMYFUNCTION("""COMPUTED_VALUE"""),"House sale median $1,180,000; unit $891,250 (REA)")</f>
        <v/>
      </c>
      <c r="I18" s="9" t="n">
        <v>1250800</v>
      </c>
      <c r="J18" s="13" t="n">
        <v>88</v>
      </c>
      <c r="K18" s="13" t="n">
        <v>23</v>
      </c>
      <c r="L18" s="9" t="inlineStr">
        <is>
          <t>Active — provisional pass</t>
        </is>
      </c>
      <c r="M18" s="13" t="n"/>
      <c r="N18" s="13" t="n"/>
      <c r="O18" s="13">
        <f>IF(K18="","",ROUND(MAX(0,10*(1-K18/Filters!$B$5)),1))</f>
        <v/>
      </c>
      <c r="P18" s="13" t="n"/>
      <c r="Q18" s="13" t="n"/>
      <c r="R18" s="13" t="n"/>
      <c r="S18" s="13" t="n"/>
      <c r="T18" s="13" t="n"/>
      <c r="U18" s="13" t="n"/>
      <c r="V18" s="13" t="n"/>
      <c r="W18" s="9" t="n">
        <v>0</v>
      </c>
      <c r="X18" s="9" t="inlineStr"/>
      <c r="Y18" s="9">
        <f>IFERROR(__xludf.DUMMYFUNCTION("""COMPUTED_VALUE"""),"")</f>
        <v/>
      </c>
      <c r="Z18" s="9">
        <f>IFERROR(__xludf.DUMMYFUNCTION("""COMPUTED_VALUE"""),"ABS 2021: 16.4% aged 65+, 7.4% non-Eng HH. Bus 54 to Marshall Station; relies on Univ Hospital Geelong for major public ED.")</f>
        <v/>
      </c>
      <c r="AA18" s="10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0" t="inlineStr">
        <is>
          <t>No</t>
        </is>
      </c>
      <c r="AC18" s="10" t="inlineStr">
        <is>
          <t>No rail; bus 54 to Marshall Station (per sheet note)</t>
        </is>
      </c>
      <c r="AD18" s="10" t="inlineStr">
        <is>
          <t>University Hospital Geelong ED</t>
        </is>
      </c>
      <c r="AE18" s="17" t="n">
        <v>1500000</v>
      </c>
      <c r="AF18" s="0" t="inlineStr">
        <is>
          <t>Maximum purchase price, excluding transaction and moving costs</t>
        </is>
      </c>
      <c r="AG18" s="0" t="inlineStr">
        <is>
          <t>Suburb median</t>
        </is>
      </c>
      <c r="AH18" s="0" t="inlineStr">
        <is>
          <t>26 Oct 2026</t>
        </is>
      </c>
      <c r="AI18" s="0" t="inlineStr">
        <is>
          <t>Pass</t>
        </is>
      </c>
      <c r="AJ18" s="0" t="inlineStr">
        <is>
          <t>House median $1.180M is under $1.5M cap. Passes GW drive (88m &lt;= 90m cap) and ED drive (23m).</t>
        </is>
      </c>
    </row>
    <row r="19">
      <c r="A19" s="9">
        <f>IFERROR(__xludf.DUMMYFUNCTION("""COMPUTED_VALUE"""),"Ocean Grove")</f>
        <v/>
      </c>
      <c r="B19" s="9">
        <f>IFERROR(__xludf.DUMMYFUNCTION("""COMPUTED_VALUE"""),"Bellarine Peninsula")</f>
        <v/>
      </c>
      <c r="C19" s="9">
        <f>IFERROR(__xludf.DUMMYFUNCTION("""COMPUTED_VALUE"""),"Active Shortlist")</f>
        <v/>
      </c>
      <c r="D19" s="9">
        <f>IFERROR(__xludf.DUMMYFUNCTION("""COMPUTED_VALUE"""),"Medium-High (Nature reserve)")</f>
        <v/>
      </c>
      <c r="E19" s="9">
        <f>IFERROR(__xludf.DUMMYFUNCTION("""COMPUTED_VALUE"""),"High (Beach + woodland)")</f>
        <v/>
      </c>
      <c r="F19" s="9">
        <f>IFERROR(__xludf.DUMMYFUNCTION("""COMPUTED_VALUE"""),"Coast-plus-bushland alternative to Torquay")</f>
        <v/>
      </c>
      <c r="G19" s="9">
        <f>IFERROR(__xludf.DUMMYFUNCTION("""COMPUTED_VALUE"""),980000.0)</f>
        <v/>
      </c>
      <c r="H19" s="9">
        <f>IFERROR(__xludf.DUMMYFUNCTION("""COMPUTED_VALUE"""),"House sale median $980,000 (325 sales); unit $770k")</f>
        <v/>
      </c>
      <c r="I19" s="9" t="n">
        <v>1038800</v>
      </c>
      <c r="J19" s="13" t="n">
        <v>92</v>
      </c>
      <c r="K19" s="13" t="n">
        <v>21</v>
      </c>
      <c r="L19" s="9" t="inlineStr">
        <is>
          <t>Fails: GW drive</t>
        </is>
      </c>
      <c r="M19" s="13" t="n"/>
      <c r="N19" s="13" t="n"/>
      <c r="O19" s="13">
        <f>IF(K19="","",ROUND(MAX(0,10*(1-K19/Filters!$B$5)),1))</f>
        <v/>
      </c>
      <c r="P19" s="13" t="n"/>
      <c r="Q19" s="13" t="n"/>
      <c r="R19" s="13" t="n"/>
      <c r="S19" s="13" t="n"/>
      <c r="T19" s="13" t="n"/>
      <c r="U19" s="13" t="n"/>
      <c r="V19" s="13" t="n"/>
      <c r="W19" s="9" t="n">
        <v>0</v>
      </c>
      <c r="X19" s="9" t="inlineStr"/>
      <c r="Y19" s="9">
        <f>IFERROR(__xludf.DUMMYFUNCTION("""COMPUTED_VALUE"""),"")</f>
        <v/>
      </c>
      <c r="Z19" s="9">
        <f>IFERROR(__xludf.DUMMYFUNCTION("""COMPUTED_VALUE"""),"ABS 2021: 22.2% aged 65+, 5.1% non-Eng HH. 143-ha Nature Reserve; bus 55/56 to Geelong; relies on Univ Hospital Geelong ED.")</f>
        <v/>
      </c>
      <c r="AA19" s="10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0" t="inlineStr">
        <is>
          <t>No</t>
        </is>
      </c>
      <c r="AC19" s="10" t="inlineStr">
        <is>
          <t>No rail; bus 55/56 to Geelong (per sheet note)</t>
        </is>
      </c>
      <c r="AD19" s="10" t="inlineStr">
        <is>
          <t>University Hospital Geelong ED</t>
        </is>
      </c>
      <c r="AE19" s="17" t="n">
        <v>1500000</v>
      </c>
      <c r="AF19" s="0" t="inlineStr">
        <is>
          <t>Maximum purchase price, excluding transaction and moving costs</t>
        </is>
      </c>
      <c r="AG19" s="0" t="inlineStr">
        <is>
          <t>Suburb median</t>
        </is>
      </c>
      <c r="AH19" s="0" t="inlineStr">
        <is>
          <t>26 Oct 2026</t>
        </is>
      </c>
      <c r="AI19" s="0" t="inlineStr">
        <is>
          <t>Pass</t>
        </is>
      </c>
      <c r="AJ19" s="0" t="inlineStr">
        <is>
          <t>Published house price ($980,000) is under $1.5M cap.</t>
        </is>
      </c>
    </row>
    <row r="20">
      <c r="A20" s="9">
        <f>IFERROR(__xludf.DUMMYFUNCTION("""COMPUTED_VALUE"""),"Newtown (Geelong)")</f>
        <v/>
      </c>
      <c r="B20" s="9">
        <f>IFERROR(__xludf.DUMMYFUNCTION("""COMPUTED_VALUE"""),"Geelong")</f>
        <v/>
      </c>
      <c r="C20" s="9">
        <f>IFERROR(__xludf.DUMMYFUNCTION("""COMPUTED_VALUE"""),"Active Shortlist")</f>
        <v/>
      </c>
      <c r="D20" s="9">
        <f>IFERROR(__xludf.DUMMYFUNCTION("""COMPUTED_VALUE"""),"Medium-High (Barwon River)")</f>
        <v/>
      </c>
      <c r="E20" s="9">
        <f>IFERROR(__xludf.DUMMYFUNCTION("""COMPUTED_VALUE"""),"Medium (Near bay/coast)")</f>
        <v/>
      </c>
      <c r="F20" s="9">
        <f>IFERROR(__xludf.DUMMYFUNCTION("""COMPUTED_VALUE"""),"Regional-city services + river sanctuary")</f>
        <v/>
      </c>
      <c r="G20" s="9">
        <f>IFERROR(__xludf.DUMMYFUNCTION("""COMPUTED_VALUE"""),0.0)</f>
        <v/>
      </c>
      <c r="H20" s="9">
        <f>IFERROR(__xludf.DUMMYFUNCTION("""COMPUTED_VALUE"""),"Not verified in report")</f>
        <v/>
      </c>
      <c r="I20" s="9" t="inlineStr"/>
      <c r="J20" s="13" t="n">
        <v>72</v>
      </c>
      <c r="K20" s="13" t="n">
        <v>7</v>
      </c>
      <c r="L20" s="9" t="inlineStr">
        <is>
          <t>Needs data</t>
        </is>
      </c>
      <c r="M20" s="13" t="n"/>
      <c r="N20" s="13" t="n"/>
      <c r="O20" s="13">
        <f>IF(K20="","",ROUND(MAX(0,10*(1-K20/Filters!$B$5)),1))</f>
        <v/>
      </c>
      <c r="P20" s="13" t="n"/>
      <c r="Q20" s="13" t="n"/>
      <c r="R20" s="13" t="n"/>
      <c r="S20" s="13" t="n"/>
      <c r="T20" s="13" t="n"/>
      <c r="U20" s="13" t="n"/>
      <c r="V20" s="13" t="n"/>
      <c r="W20" s="9" t="n">
        <v>0</v>
      </c>
      <c r="X20" s="9" t="inlineStr"/>
      <c r="Y20" s="9">
        <f>IFERROR(__xludf.DUMMYFUNCTION("""COMPUTED_VALUE"""),"")</f>
        <v/>
      </c>
      <c r="Z20" s="9">
        <f>IFERROR(__xludf.DUMMYFUNCTION("""COMPUTED_VALUE"""),"ABS 2021: 17.6% aged 65+, 10.9% non-Eng HH. Balyang Sanctuary on Barwon River; major public ED at Univ Hospital Geelong.")</f>
        <v/>
      </c>
      <c r="AA20" s="10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0" t="inlineStr">
        <is>
          <t>No</t>
        </is>
      </c>
      <c r="AC20" s="10" t="inlineStr">
        <is>
          <t>No station in suburb; Geelong stations nearby (recall; verify)</t>
        </is>
      </c>
      <c r="AD20" s="10" t="inlineStr">
        <is>
          <t>University Hospital Geelong ED. Origin approximated (Balyang area); GW time from Geelong centre</t>
        </is>
      </c>
      <c r="AE20" s="17" t="n">
        <v>1500000</v>
      </c>
      <c r="AF20" s="0" t="inlineStr">
        <is>
          <t>Maximum purchase price, excluding transaction and moving costs</t>
        </is>
      </c>
      <c r="AG20" s="0" t="inlineStr">
        <is>
          <t>[Awaiting search]</t>
        </is>
      </c>
      <c r="AH20" s="0" t="inlineStr">
        <is>
          <t>26 Oct 2026</t>
        </is>
      </c>
      <c r="AI20" s="0" t="inlineStr">
        <is>
          <t>Needs data</t>
        </is>
      </c>
      <c r="AJ20" s="0" t="inlineStr">
        <is>
          <t>No verified pricing entered.</t>
        </is>
      </c>
    </row>
    <row r="21">
      <c r="A21" s="9">
        <f>IFERROR(__xludf.DUMMYFUNCTION("""COMPUTED_VALUE"""),"Highton (Geelong)")</f>
        <v/>
      </c>
      <c r="B21" s="9">
        <f>IFERROR(__xludf.DUMMYFUNCTION("""COMPUTED_VALUE"""),"Geelong")</f>
        <v/>
      </c>
      <c r="C21" s="9">
        <f>IFERROR(__xludf.DUMMYFUNCTION("""COMPUTED_VALUE"""),"Active Shortlist")</f>
        <v/>
      </c>
      <c r="D21" s="9">
        <f>IFERROR(__xludf.DUMMYFUNCTION("""COMPUTED_VALUE"""),"Medium-High (Hills/river)")</f>
        <v/>
      </c>
      <c r="E21" s="9">
        <f>IFERROR(__xludf.DUMMYFUNCTION("""COMPUTED_VALUE"""),"Medium (Near coast)")</f>
        <v/>
      </c>
      <c r="F21" s="9">
        <f>IFERROR(__xludf.DUMMYFUNCTION("""COMPUTED_VALUE"""),"Village-centre regional-city comparator")</f>
        <v/>
      </c>
      <c r="G21" s="9">
        <f>IFERROR(__xludf.DUMMYFUNCTION("""COMPUTED_VALUE"""),0.0)</f>
        <v/>
      </c>
      <c r="H21" s="9">
        <f>IFERROR(__xludf.DUMMYFUNCTION("""COMPUTED_VALUE"""),"Not verified in report")</f>
        <v/>
      </c>
      <c r="I21" s="9" t="inlineStr"/>
      <c r="J21" s="13" t="n">
        <v>74</v>
      </c>
      <c r="K21" s="13" t="n">
        <v>9</v>
      </c>
      <c r="L21" s="9" t="inlineStr">
        <is>
          <t>Needs data</t>
        </is>
      </c>
      <c r="M21" s="13" t="n"/>
      <c r="N21" s="13" t="n"/>
      <c r="O21" s="13">
        <f>IF(K21="","",ROUND(MAX(0,10*(1-K21/Filters!$B$5)),1))</f>
        <v/>
      </c>
      <c r="P21" s="13" t="n"/>
      <c r="Q21" s="13" t="n"/>
      <c r="R21" s="13" t="n"/>
      <c r="S21" s="13" t="n"/>
      <c r="T21" s="13" t="n"/>
      <c r="U21" s="13" t="n"/>
      <c r="V21" s="13" t="n"/>
      <c r="W21" s="9" t="n">
        <v>0</v>
      </c>
      <c r="X21" s="9" t="inlineStr"/>
      <c r="Y21" s="9">
        <f>IFERROR(__xludf.DUMMYFUNCTION("""COMPUTED_VALUE"""),"")</f>
        <v/>
      </c>
      <c r="Z21" s="9">
        <f>IFERROR(__xludf.DUMMYFUNCTION("""COMPUTED_VALUE"""),"Highton Village UDF; compare pocket gradients, station access &amp; Univ Hospital Geelong ED journey.")</f>
        <v/>
      </c>
      <c r="AA21" s="10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0" t="inlineStr">
        <is>
          <t>No</t>
        </is>
      </c>
      <c r="AC21" s="10" t="inlineStr">
        <is>
          <t>No station; bus to Geelong (recall; verify)</t>
        </is>
      </c>
      <c r="AD21" s="10" t="inlineStr">
        <is>
          <t>University Hospital Geelong ED</t>
        </is>
      </c>
      <c r="AE21" s="17" t="n">
        <v>1500000</v>
      </c>
      <c r="AF21" s="0" t="inlineStr">
        <is>
          <t>Maximum purchase price, excluding transaction and moving costs</t>
        </is>
      </c>
      <c r="AG21" s="0" t="inlineStr">
        <is>
          <t>[Awaiting search]</t>
        </is>
      </c>
      <c r="AH21" s="0" t="inlineStr">
        <is>
          <t>26 Oct 2026</t>
        </is>
      </c>
      <c r="AI21" s="0" t="inlineStr">
        <is>
          <t>Needs data</t>
        </is>
      </c>
      <c r="AJ21" s="0" t="inlineStr">
        <is>
          <t>No verified pricing entered.</t>
        </is>
      </c>
    </row>
    <row r="22">
      <c r="A22" s="9">
        <f>IFERROR(__xludf.DUMMYFUNCTION("""COMPUTED_VALUE"""),"Belgrave")</f>
        <v/>
      </c>
      <c r="B22" s="9">
        <f>IFERROR(__xludf.DUMMYFUNCTION("""COMPUTED_VALUE"""),"Dandenong Ranges")</f>
        <v/>
      </c>
      <c r="C22" s="9">
        <f>IFERROR(__xludf.DUMMYFUNCTION("""COMPUTED_VALUE"""),"Active Shortlist")</f>
        <v/>
      </c>
      <c r="D22" s="9">
        <f>IFERROR(__xludf.DUMMYFUNCTION("""COMPUTED_VALUE"""),"High (Forest &amp; hills)")</f>
        <v/>
      </c>
      <c r="E22" s="9">
        <f>IFERROR(__xludf.DUMMYFUNCTION("""COMPUTED_VALUE"""),"Low (Inland)")</f>
        <v/>
      </c>
      <c r="F22" s="9">
        <f>IFERROR(__xludf.DUMMYFUNCTION("""COMPUTED_VALUE"""),"Stronger hills lifestyle on metro rail line")</f>
        <v/>
      </c>
      <c r="G22" s="9">
        <f>IFERROR(__xludf.DUMMYFUNCTION("""COMPUTED_VALUE"""),0.0)</f>
        <v/>
      </c>
      <c r="H22" s="9">
        <f>IFERROR(__xludf.DUMMYFUNCTION("""COMPUTED_VALUE"""),"Not verified in report")</f>
        <v/>
      </c>
      <c r="I22" s="9" t="inlineStr"/>
      <c r="J22" s="13" t="n">
        <v>21</v>
      </c>
      <c r="K22" s="13" t="n">
        <v>7</v>
      </c>
      <c r="L22" s="9" t="inlineStr">
        <is>
          <t>Needs data</t>
        </is>
      </c>
      <c r="M22" s="13" t="n"/>
      <c r="N22" s="13" t="n"/>
      <c r="O22" s="13">
        <f>IF(K22="","",ROUND(MAX(0,10*(1-K22/Filters!$B$5)),1))</f>
        <v/>
      </c>
      <c r="P22" s="13" t="n"/>
      <c r="Q22" s="13" t="n"/>
      <c r="R22" s="13" t="n"/>
      <c r="S22" s="13" t="n"/>
      <c r="T22" s="13" t="n"/>
      <c r="U22" s="13" t="n"/>
      <c r="V22" s="13" t="n"/>
      <c r="W22" s="9" t="n">
        <v>0</v>
      </c>
      <c r="X22" s="9" t="inlineStr"/>
      <c r="Y22" s="9">
        <f>IFERROR(__xludf.DUMMYFUNCTION("""COMPUTED_VALUE"""),"")</f>
        <v/>
      </c>
      <c r="Z22" s="9">
        <f>IFERROR(__xludf.DUMMYFUNCTION("""COMPUTED_VALUE"""),"Belgrave metro rail terminus; check steep gradients, bushfire/storm closures &amp; Angliss/Maroondah ED drive.")</f>
        <v/>
      </c>
      <c r="AA22" s="10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0" t="inlineStr">
        <is>
          <t>Yes</t>
        </is>
      </c>
      <c r="AC22" s="10" t="inlineStr">
        <is>
          <t>Belgrave station, Belgrave line terminus (per sheet note)</t>
        </is>
      </c>
      <c r="AD22" s="10" t="inlineStr">
        <is>
          <t>Angliss Hospital ED (24-hr status still to verify)</t>
        </is>
      </c>
      <c r="AE22" s="17" t="n">
        <v>1500000</v>
      </c>
      <c r="AF22" s="0" t="inlineStr">
        <is>
          <t>Maximum purchase price, excluding transaction and moving costs</t>
        </is>
      </c>
      <c r="AG22" s="0" t="inlineStr">
        <is>
          <t>[Awaiting search]</t>
        </is>
      </c>
      <c r="AH22" s="0" t="inlineStr">
        <is>
          <t>26 Oct 2026</t>
        </is>
      </c>
      <c r="AI22" s="0" t="inlineStr">
        <is>
          <t>Needs data</t>
        </is>
      </c>
      <c r="AJ22" s="0" t="inlineStr">
        <is>
          <t>No verified pricing entered.</t>
        </is>
      </c>
    </row>
    <row r="23">
      <c r="A23" s="9">
        <f>IFERROR(__xludf.DUMMYFUNCTION("""COMPUTED_VALUE"""),"Upwey")</f>
        <v/>
      </c>
      <c r="B23" s="9">
        <f>IFERROR(__xludf.DUMMYFUNCTION("""COMPUTED_VALUE"""),"Dandenong Ranges")</f>
        <v/>
      </c>
      <c r="C23" s="9">
        <f>IFERROR(__xludf.DUMMYFUNCTION("""COMPUTED_VALUE"""),"Active Shortlist")</f>
        <v/>
      </c>
      <c r="D23" s="9">
        <f>IFERROR(__xludf.DUMMYFUNCTION("""COMPUTED_VALUE"""),"High (Foothills village)")</f>
        <v/>
      </c>
      <c r="E23" s="9">
        <f>IFERROR(__xludf.DUMMYFUNCTION("""COMPUTED_VALUE"""),"Low (Inland)")</f>
        <v/>
      </c>
      <c r="F23" s="9">
        <f>IFERROR(__xludf.DUMMYFUNCTION("""COMPUTED_VALUE"""),"Village character vs healthcare/transport practicality")</f>
        <v/>
      </c>
      <c r="G23" s="9">
        <f>IFERROR(__xludf.DUMMYFUNCTION("""COMPUTED_VALUE"""),929500.0)</f>
        <v/>
      </c>
      <c r="H23" s="9">
        <f>IFERROR(__xludf.DUMMYFUNCTION("""COMPUTED_VALUE"""),"House sale median $929,500 (104 sales, Property.com.au)")</f>
        <v/>
      </c>
      <c r="I23" s="9" t="n">
        <v>985270</v>
      </c>
      <c r="J23" s="13" t="n">
        <v>17</v>
      </c>
      <c r="K23" s="13" t="n">
        <v>4</v>
      </c>
      <c r="L23" s="9" t="inlineStr">
        <is>
          <t>Active — provisional pass</t>
        </is>
      </c>
      <c r="M23" s="13" t="n"/>
      <c r="N23" s="13" t="n"/>
      <c r="O23" s="13">
        <f>IF(K23="","",ROUND(MAX(0,10*(1-K23/Filters!$B$5)),1))</f>
        <v/>
      </c>
      <c r="P23" s="13" t="n"/>
      <c r="Q23" s="13" t="n"/>
      <c r="R23" s="13" t="n"/>
      <c r="S23" s="13" t="n"/>
      <c r="T23" s="13" t="n"/>
      <c r="U23" s="13" t="n"/>
      <c r="V23" s="13" t="n"/>
      <c r="W23" s="9" t="n">
        <v>0</v>
      </c>
      <c r="X23" s="9" t="inlineStr"/>
      <c r="Y23" s="9">
        <f>IFERROR(__xludf.DUMMYFUNCTION("""COMPUTED_VALUE"""),"#N/A")</f>
        <v/>
      </c>
      <c r="Z23" s="9">
        <f>IFERROR(__xludf.DUMMYFUNCTION("""COMPUTED_VALUE"""),"Belgrave rail line township; closer to foothills edge than Belgrave.")</f>
        <v/>
      </c>
      <c r="AA23" s="10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0" t="inlineStr">
        <is>
          <t>Yes</t>
        </is>
      </c>
      <c r="AC23" s="10" t="inlineStr">
        <is>
          <t>Upwey station, Belgrave line (per sheet note)</t>
        </is>
      </c>
      <c r="AD23" s="10" t="inlineStr">
        <is>
          <t>Angliss Hospital ED (24-hr status still to verify)</t>
        </is>
      </c>
      <c r="AE23" s="17" t="n">
        <v>1500000</v>
      </c>
      <c r="AF23" s="0" t="inlineStr">
        <is>
          <t>Maximum purchase price, excluding transaction and moving costs</t>
        </is>
      </c>
      <c r="AG23" s="0" t="inlineStr">
        <is>
          <t>Suburb median</t>
        </is>
      </c>
      <c r="AH23" s="0" t="inlineStr">
        <is>
          <t>26 Oct 2026</t>
        </is>
      </c>
      <c r="AI23" s="0" t="inlineStr">
        <is>
          <t>Pass</t>
        </is>
      </c>
      <c r="AJ23" s="0" t="inlineStr">
        <is>
          <t>Published house price ($929,500) is under $1.5M cap.</t>
        </is>
      </c>
    </row>
    <row r="24">
      <c r="A24" s="9">
        <f>IFERROR(__xludf.DUMMYFUNCTION("""COMPUTED_VALUE"""),"Tecoma")</f>
        <v/>
      </c>
      <c r="B24" s="9">
        <f>IFERROR(__xludf.DUMMYFUNCTION("""COMPUTED_VALUE"""),"Dandenong Ranges")</f>
        <v/>
      </c>
      <c r="C24" s="9">
        <f>IFERROR(__xludf.DUMMYFUNCTION("""COMPUTED_VALUE"""),"Active Shortlist")</f>
        <v/>
      </c>
      <c r="D24" s="9">
        <f>IFERROR(__xludf.DUMMYFUNCTION("""COMPUTED_VALUE"""),"High (Foothills/forest)")</f>
        <v/>
      </c>
      <c r="E24" s="9">
        <f>IFERROR(__xludf.DUMMYFUNCTION("""COMPUTED_VALUE"""),"Low (Inland)")</f>
        <v/>
      </c>
      <c r="F24" s="9">
        <f>IFERROR(__xludf.DUMMYFUNCTION("""COMPUTED_VALUE"""),"Established rail township between Upwey &amp; Belgrave")</f>
        <v/>
      </c>
      <c r="G24" s="9">
        <f>IFERROR(__xludf.DUMMYFUNCTION("""COMPUTED_VALUE"""),0.0)</f>
        <v/>
      </c>
      <c r="H24" s="9">
        <f>IFERROR(__xludf.DUMMYFUNCTION("""COMPUTED_VALUE"""),"Not verified in report")</f>
        <v/>
      </c>
      <c r="I24" s="9" t="inlineStr"/>
      <c r="J24" s="13" t="n">
        <v>19</v>
      </c>
      <c r="K24" s="13" t="n">
        <v>5</v>
      </c>
      <c r="L24" s="9" t="inlineStr">
        <is>
          <t>Needs data</t>
        </is>
      </c>
      <c r="M24" s="13" t="n"/>
      <c r="N24" s="13" t="n"/>
      <c r="O24" s="13">
        <f>IF(K24="","",ROUND(MAX(0,10*(1-K24/Filters!$B$5)),1))</f>
        <v/>
      </c>
      <c r="P24" s="13" t="n"/>
      <c r="Q24" s="13" t="n"/>
      <c r="R24" s="13" t="n"/>
      <c r="S24" s="13" t="n"/>
      <c r="T24" s="13" t="n"/>
      <c r="U24" s="13" t="n"/>
      <c r="V24" s="13" t="n"/>
      <c r="W24" s="9" t="n">
        <v>0</v>
      </c>
      <c r="X24" s="9" t="inlineStr"/>
      <c r="Y24" s="9">
        <f>IFERROR(__xludf.DUMMYFUNCTION("""COMPUTED_VALUE"""),"")</f>
        <v/>
      </c>
      <c r="Z24" s="9">
        <f>IFERROR(__xludf.DUMMYFUNCTION("""COMPUTED_VALUE"""),"Belgrave rail line; council groups Belgrave-Tecoma-Upwey as established townships.")</f>
        <v/>
      </c>
      <c r="AA24" s="10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0" t="inlineStr">
        <is>
          <t>Yes</t>
        </is>
      </c>
      <c r="AC24" s="10" t="inlineStr">
        <is>
          <t>Tecoma station, Belgrave line (per sheet note)</t>
        </is>
      </c>
      <c r="AD24" s="10" t="inlineStr">
        <is>
          <t>Angliss Hospital ED (24-hr status still to verify)</t>
        </is>
      </c>
      <c r="AE24" s="17" t="n">
        <v>1500000</v>
      </c>
      <c r="AF24" s="0" t="inlineStr">
        <is>
          <t>Maximum purchase price, excluding transaction and moving costs</t>
        </is>
      </c>
      <c r="AG24" s="0" t="inlineStr">
        <is>
          <t>[Awaiting search]</t>
        </is>
      </c>
      <c r="AH24" s="0" t="inlineStr">
        <is>
          <t>26 Oct 2026</t>
        </is>
      </c>
      <c r="AI24" s="0" t="inlineStr">
        <is>
          <t>Needs data</t>
        </is>
      </c>
      <c r="AJ24" s="0" t="inlineStr">
        <is>
          <t>No verified pricing entered.</t>
        </is>
      </c>
    </row>
    <row r="25">
      <c r="A25" s="9">
        <f>IFERROR(__xludf.DUMMYFUNCTION("""COMPUTED_VALUE"""),"The Basin")</f>
        <v/>
      </c>
      <c r="B25" s="9">
        <f>IFERROR(__xludf.DUMMYFUNCTION("""COMPUTED_VALUE"""),"Dandenong Foothills")</f>
        <v/>
      </c>
      <c r="C25" s="9">
        <f>IFERROR(__xludf.DUMMYFUNCTION("""COMPUTED_VALUE"""),"Active Shortlist")</f>
        <v/>
      </c>
      <c r="D25" s="9">
        <f>IFERROR(__xludf.DUMMYFUNCTION("""COMPUTED_VALUE"""),"High (National park edge)")</f>
        <v/>
      </c>
      <c r="E25" s="9">
        <f>IFERROR(__xludf.DUMMYFUNCTION("""COMPUTED_VALUE"""),"Low (Inland)")</f>
        <v/>
      </c>
      <c r="F25" s="9">
        <f>IFERROR(__xludf.DUMMYFUNCTION("""COMPUTED_VALUE"""),"Forest-edge living without a ridge village")</f>
        <v/>
      </c>
      <c r="G25" s="9">
        <f>IFERROR(__xludf.DUMMYFUNCTION("""COMPUTED_VALUE"""),0.0)</f>
        <v/>
      </c>
      <c r="H25" s="9">
        <f>IFERROR(__xludf.DUMMYFUNCTION("""COMPUTED_VALUE"""),"Not verified in report")</f>
        <v/>
      </c>
      <c r="I25" s="9" t="inlineStr"/>
      <c r="J25" s="13" t="n">
        <v>17</v>
      </c>
      <c r="K25" s="13" t="n">
        <v>10</v>
      </c>
      <c r="L25" s="9" t="inlineStr">
        <is>
          <t>Needs data</t>
        </is>
      </c>
      <c r="M25" s="13" t="n"/>
      <c r="N25" s="13" t="n"/>
      <c r="O25" s="13">
        <f>IF(K25="","",ROUND(MAX(0,10*(1-K25/Filters!$B$5)),1))</f>
        <v/>
      </c>
      <c r="P25" s="13" t="n"/>
      <c r="Q25" s="13" t="n"/>
      <c r="R25" s="13" t="n"/>
      <c r="S25" s="13" t="n"/>
      <c r="T25" s="13" t="n"/>
      <c r="U25" s="13" t="n"/>
      <c r="V25" s="13" t="n"/>
      <c r="W25" s="9" t="n">
        <v>0</v>
      </c>
      <c r="X25" s="9" t="inlineStr"/>
      <c r="Y25" s="9">
        <f>IFERROR(__xludf.DUMMYFUNCTION("""COMPUTED_VALUE"""),"")</f>
        <v/>
      </c>
      <c r="Z25" s="9">
        <f>IFERROR(__xludf.DUMMYFUNCTION("""COMPUTED_VALUE"""),"Adjoins Dandenong Ranges National Park; verify bus/station link &amp; Angliss Hospital ED drive.")</f>
        <v/>
      </c>
      <c r="AA25" s="10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0" t="inlineStr">
        <is>
          <t>No</t>
        </is>
      </c>
      <c r="AC25" s="10" t="inlineStr">
        <is>
          <t>No station; bus link unverified (per sheet note)</t>
        </is>
      </c>
      <c r="AD25" s="10" t="inlineStr">
        <is>
          <t>Angliss Hospital ED (24-hr status still to verify)</t>
        </is>
      </c>
      <c r="AE25" s="17" t="n">
        <v>1500000</v>
      </c>
      <c r="AF25" s="0" t="inlineStr">
        <is>
          <t>Maximum purchase price, excluding transaction and moving costs</t>
        </is>
      </c>
      <c r="AG25" s="0" t="inlineStr">
        <is>
          <t>[Awaiting search]</t>
        </is>
      </c>
      <c r="AH25" s="0" t="inlineStr">
        <is>
          <t>26 Oct 2026</t>
        </is>
      </c>
      <c r="AI25" s="0" t="inlineStr">
        <is>
          <t>Needs data</t>
        </is>
      </c>
      <c r="AJ25" s="0" t="inlineStr">
        <is>
          <t>No verified pricing entered.</t>
        </is>
      </c>
    </row>
    <row r="26">
      <c r="A26" s="9">
        <f>IFERROR(__xludf.DUMMYFUNCTION("""COMPUTED_VALUE"""),"Montrose")</f>
        <v/>
      </c>
      <c r="B26" s="9">
        <f>IFERROR(__xludf.DUMMYFUNCTION("""COMPUTED_VALUE"""),"Dandenong Foothills")</f>
        <v/>
      </c>
      <c r="C26" s="9">
        <f>IFERROR(__xludf.DUMMYFUNCTION("""COMPUTED_VALUE"""),"Active Shortlist")</f>
        <v/>
      </c>
      <c r="D26" s="9">
        <f>IFERROR(__xludf.DUMMYFUNCTION("""COMPUTED_VALUE"""),"High (Mountain backdrop)")</f>
        <v/>
      </c>
      <c r="E26" s="9">
        <f>IFERROR(__xludf.DUMMYFUNCTION("""COMPUTED_VALUE"""),"Low (Inland)")</f>
        <v/>
      </c>
      <c r="F26" s="9">
        <f>IFERROR(__xludf.DUMMYFUNCTION("""COMPUTED_VALUE"""),"Foothills township between suburbs &amp; ridge")</f>
        <v/>
      </c>
      <c r="G26" s="9">
        <f>IFERROR(__xludf.DUMMYFUNCTION("""COMPUTED_VALUE"""),0.0)</f>
        <v/>
      </c>
      <c r="H26" s="9">
        <f>IFERROR(__xludf.DUMMYFUNCTION("""COMPUTED_VALUE"""),"Not verified in report")</f>
        <v/>
      </c>
      <c r="I26" s="9" t="inlineStr"/>
      <c r="J26" s="13" t="n">
        <v>22</v>
      </c>
      <c r="K26" s="13" t="n">
        <v>12</v>
      </c>
      <c r="L26" s="9" t="inlineStr">
        <is>
          <t>Needs data</t>
        </is>
      </c>
      <c r="M26" s="13" t="n"/>
      <c r="N26" s="13" t="n"/>
      <c r="O26" s="13">
        <f>IF(K26="","",ROUND(MAX(0,10*(1-K26/Filters!$B$5)),1))</f>
        <v/>
      </c>
      <c r="P26" s="13" t="n"/>
      <c r="Q26" s="13" t="n"/>
      <c r="R26" s="13" t="n"/>
      <c r="S26" s="13" t="n"/>
      <c r="T26" s="13" t="n"/>
      <c r="U26" s="13" t="n"/>
      <c r="V26" s="13" t="n"/>
      <c r="W26" s="9" t="n">
        <v>0</v>
      </c>
      <c r="X26" s="9" t="inlineStr"/>
      <c r="Y26" s="9">
        <f>IFERROR(__xludf.DUMMYFUNCTION("""COMPUTED_VALUE"""),"")</f>
        <v/>
      </c>
      <c r="Z26" s="9">
        <f>IFERROR(__xludf.DUMMYFUNCTION("""COMPUTED_VALUE"""),"Township shopping &amp; community hub; verify non-rail transport, fire exposure &amp; ED journey.")</f>
        <v/>
      </c>
      <c r="AA26" s="10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0" t="inlineStr">
        <is>
          <t>No</t>
        </is>
      </c>
      <c r="AC26" s="10" t="inlineStr">
        <is>
          <t>No station; Mooroolbark/Lilydale stations nearby (recall; verify)</t>
        </is>
      </c>
      <c r="AD26" s="10" t="inlineStr">
        <is>
          <t>Maroondah Hospital ED</t>
        </is>
      </c>
      <c r="AE26" s="17" t="n">
        <v>1500000</v>
      </c>
      <c r="AF26" s="0" t="inlineStr">
        <is>
          <t>Maximum purchase price, excluding transaction and moving costs</t>
        </is>
      </c>
      <c r="AG26" s="0" t="inlineStr">
        <is>
          <t>[Awaiting search]</t>
        </is>
      </c>
      <c r="AH26" s="0" t="inlineStr">
        <is>
          <t>26 Oct 2026</t>
        </is>
      </c>
      <c r="AI26" s="0" t="inlineStr">
        <is>
          <t>Needs data</t>
        </is>
      </c>
      <c r="AJ26" s="0" t="inlineStr">
        <is>
          <t>No verified pricing entered.</t>
        </is>
      </c>
    </row>
    <row r="27">
      <c r="A27" s="9">
        <f>IFERROR(__xludf.DUMMYFUNCTION("""COMPUTED_VALUE"""),"Mount Evelyn")</f>
        <v/>
      </c>
      <c r="B27" s="9">
        <f>IFERROR(__xludf.DUMMYFUNCTION("""COMPUTED_VALUE"""),"Yarra Ranges")</f>
        <v/>
      </c>
      <c r="C27" s="9">
        <f>IFERROR(__xludf.DUMMYFUNCTION("""COMPUTED_VALUE"""),"Active Shortlist")</f>
        <v/>
      </c>
      <c r="D27" s="9">
        <f>IFERROR(__xludf.DUMMYFUNCTION("""COMPUTED_VALUE"""),"High (Aqueduct &amp; rail trails)")</f>
        <v/>
      </c>
      <c r="E27" s="9">
        <f>IFERROR(__xludf.DUMMYFUNCTION("""COMPUTED_VALUE"""),"Low (Inland)")</f>
        <v/>
      </c>
      <c r="F27" s="9">
        <f>IFERROR(__xludf.DUMMYFUNCTION("""COMPUTED_VALUE"""),"Forest village closer than Warburton")</f>
        <v/>
      </c>
      <c r="G27" s="9">
        <f>IFERROR(__xludf.DUMMYFUNCTION("""COMPUTED_VALUE"""),0.0)</f>
        <v/>
      </c>
      <c r="H27" s="9">
        <f>IFERROR(__xludf.DUMMYFUNCTION("""COMPUTED_VALUE"""),"Not verified in report")</f>
        <v/>
      </c>
      <c r="I27" s="9" t="inlineStr"/>
      <c r="J27" s="13" t="n">
        <v>27</v>
      </c>
      <c r="K27" s="13" t="n">
        <v>17</v>
      </c>
      <c r="L27" s="9" t="inlineStr">
        <is>
          <t>Needs data</t>
        </is>
      </c>
      <c r="M27" s="13" t="n"/>
      <c r="N27" s="13" t="n"/>
      <c r="O27" s="13">
        <f>IF(K27="","",ROUND(MAX(0,10*(1-K27/Filters!$B$5)),1))</f>
        <v/>
      </c>
      <c r="P27" s="13" t="n"/>
      <c r="Q27" s="13" t="n"/>
      <c r="R27" s="13" t="n"/>
      <c r="S27" s="13" t="n"/>
      <c r="T27" s="13" t="n"/>
      <c r="U27" s="13" t="n"/>
      <c r="V27" s="13" t="n"/>
      <c r="W27" s="9" t="n">
        <v>0</v>
      </c>
      <c r="X27" s="9" t="inlineStr"/>
      <c r="Y27" s="9">
        <f>IFERROR(__xludf.DUMMYFUNCTION("""COMPUTED_VALUE"""),"")</f>
        <v/>
      </c>
      <c r="Z27" s="9">
        <f>IFERROR(__xludf.DUMMYFUNCTION("""COMPUTED_VALUE"""),"Warburton Rail Trail &amp; Aqueduct Trail (no passenger rail); verify Maroondah ED journey.")</f>
        <v/>
      </c>
      <c r="AA27" s="10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0" t="inlineStr">
        <is>
          <t>No</t>
        </is>
      </c>
      <c r="AC27" s="10" t="inlineStr">
        <is>
          <t>No passenger rail (per sheet note)</t>
        </is>
      </c>
      <c r="AD27" s="10" t="inlineStr">
        <is>
          <t>Maroondah Hospital ED</t>
        </is>
      </c>
      <c r="AE27" s="17" t="n">
        <v>1500000</v>
      </c>
      <c r="AF27" s="0" t="inlineStr">
        <is>
          <t>Maximum purchase price, excluding transaction and moving costs</t>
        </is>
      </c>
      <c r="AG27" s="0" t="inlineStr">
        <is>
          <t>[Awaiting search]</t>
        </is>
      </c>
      <c r="AH27" s="0" t="inlineStr">
        <is>
          <t>26 Oct 2026</t>
        </is>
      </c>
      <c r="AI27" s="0" t="inlineStr">
        <is>
          <t>Needs data</t>
        </is>
      </c>
      <c r="AJ27" s="0" t="inlineStr">
        <is>
          <t>No verified pricing entered.</t>
        </is>
      </c>
    </row>
    <row r="28">
      <c r="A28" s="9">
        <f>IFERROR(__xludf.DUMMYFUNCTION("""COMPUTED_VALUE"""),"Croydon")</f>
        <v/>
      </c>
      <c r="B28" s="9">
        <f>IFERROR(__xludf.DUMMYFUNCTION("""COMPUTED_VALUE"""),"Outer East Melbourne")</f>
        <v/>
      </c>
      <c r="C28" s="9">
        <f>IFERROR(__xludf.DUMMYFUNCTION("""COMPUTED_VALUE"""),"Active Shortlist")</f>
        <v/>
      </c>
      <c r="D28" s="9">
        <f>IFERROR(__xludf.DUMMYFUNCTION("""COMPUTED_VALUE"""),"Medium (Leafy parks)")</f>
        <v/>
      </c>
      <c r="E28" s="9">
        <f>IFERROR(__xludf.DUMMYFUNCTION("""COMPUTED_VALUE"""),"Low (Inland)")</f>
        <v/>
      </c>
      <c r="F28" s="9">
        <f>IFERROR(__xludf.DUMMYFUNCTION("""COMPUTED_VALUE"""),"Practical outer-east control with rail &amp; services")</f>
        <v/>
      </c>
      <c r="G28" s="9">
        <f>IFERROR(__xludf.DUMMYFUNCTION("""COMPUTED_VALUE"""),0.0)</f>
        <v/>
      </c>
      <c r="H28" s="9">
        <f>IFERROR(__xludf.DUMMYFUNCTION("""COMPUTED_VALUE"""),"Not verified in report")</f>
        <v/>
      </c>
      <c r="I28" s="9" t="inlineStr"/>
      <c r="J28" s="13" t="n">
        <v>18</v>
      </c>
      <c r="K28" s="13" t="n">
        <v>6</v>
      </c>
      <c r="L28" s="9" t="inlineStr">
        <is>
          <t>Needs data</t>
        </is>
      </c>
      <c r="M28" s="13" t="n"/>
      <c r="N28" s="13" t="n"/>
      <c r="O28" s="13">
        <f>IF(K28="","",ROUND(MAX(0,10*(1-K28/Filters!$B$5)),1))</f>
        <v/>
      </c>
      <c r="P28" s="13" t="n"/>
      <c r="Q28" s="13" t="n"/>
      <c r="R28" s="13" t="n"/>
      <c r="S28" s="13" t="n"/>
      <c r="T28" s="13" t="n"/>
      <c r="U28" s="13" t="n"/>
      <c r="V28" s="13" t="n"/>
      <c r="W28" s="9" t="n">
        <v>0</v>
      </c>
      <c r="X28" s="9" t="inlineStr"/>
      <c r="Y28" s="9">
        <f>IFERROR(__xludf.DUMMYFUNCTION("""COMPUTED_VALUE"""),"")</f>
        <v/>
      </c>
      <c r="Z28" s="9">
        <f>IFERROR(__xludf.DUMMYFUNCTION("""COMPUTED_VALUE"""),"Main St activity centre, train/bus interchange &amp; Croydon Park; benchmark near Maroondah ED.")</f>
        <v/>
      </c>
      <c r="AA28" s="10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0" t="inlineStr">
        <is>
          <t>Yes</t>
        </is>
      </c>
      <c r="AC28" s="10" t="inlineStr">
        <is>
          <t>Croydon station, Lilydale line (per sheet note)</t>
        </is>
      </c>
      <c r="AD28" s="10" t="inlineStr">
        <is>
          <t>Maroondah Hospital ED</t>
        </is>
      </c>
      <c r="AE28" s="17" t="n">
        <v>1500000</v>
      </c>
      <c r="AF28" s="0" t="inlineStr">
        <is>
          <t>Maximum purchase price, excluding transaction and moving costs</t>
        </is>
      </c>
      <c r="AG28" s="0" t="inlineStr">
        <is>
          <t>[Awaiting search]</t>
        </is>
      </c>
      <c r="AH28" s="0" t="inlineStr">
        <is>
          <t>26 Oct 2026</t>
        </is>
      </c>
      <c r="AI28" s="0" t="inlineStr">
        <is>
          <t>Needs data</t>
        </is>
      </c>
      <c r="AJ28" s="0" t="inlineStr">
        <is>
          <t>No verified pricing entered.</t>
        </is>
      </c>
    </row>
    <row r="29">
      <c r="A29" s="9">
        <f>IFERROR(__xludf.DUMMYFUNCTION("""COMPUTED_VALUE"""),"Warragul")</f>
        <v/>
      </c>
      <c r="B29" s="9">
        <f>IFERROR(__xludf.DUMMYFUNCTION("""COMPUTED_VALUE"""),"West Gippsland")</f>
        <v/>
      </c>
      <c r="C29" s="9">
        <f>IFERROR(__xludf.DUMMYFUNCTION("""COMPUTED_VALUE"""),"Active Shortlist")</f>
        <v/>
      </c>
      <c r="D29" s="9">
        <f>IFERROR(__xludf.DUMMYFUNCTION("""COMPUTED_VALUE"""),"High (Rolling hills/gardens)")</f>
        <v/>
      </c>
      <c r="E29" s="9">
        <f>IFERROR(__xludf.DUMMYFUNCTION("""COMPUTED_VALUE"""),"Low (Inland)")</f>
        <v/>
      </c>
      <c r="F29" s="9">
        <f>IFERROR(__xludf.DUMMYFUNCTION("""COMPUTED_VALUE"""),"Regional town with V/Line rail &amp; local hospital ED")</f>
        <v/>
      </c>
      <c r="G29" s="9">
        <f>IFERROR(__xludf.DUMMYFUNCTION("""COMPUTED_VALUE"""),620000.0)</f>
        <v/>
      </c>
      <c r="H29" s="9">
        <f>IFERROR(__xludf.DUMMYFUNCTION("""COMPUTED_VALUE"""),"3-bed house median $620k; 4-bed $732.5k (Domain)")</f>
        <v/>
      </c>
      <c r="I29" s="9" t="n">
        <v>657200</v>
      </c>
      <c r="J29" s="13" t="n">
        <v>58</v>
      </c>
      <c r="K29" s="13" t="n">
        <v>2</v>
      </c>
      <c r="L29" s="9" t="inlineStr">
        <is>
          <t>Active — provisional pass</t>
        </is>
      </c>
      <c r="M29" s="13" t="n"/>
      <c r="N29" s="13" t="n"/>
      <c r="O29" s="13">
        <f>IF(K29="","",ROUND(MAX(0,10*(1-K29/Filters!$B$5)),1))</f>
        <v/>
      </c>
      <c r="P29" s="13" t="n"/>
      <c r="Q29" s="13" t="n"/>
      <c r="R29" s="13" t="n"/>
      <c r="S29" s="13" t="n"/>
      <c r="T29" s="13" t="n"/>
      <c r="U29" s="13" t="n"/>
      <c r="V29" s="13" t="n"/>
      <c r="W29" s="9" t="n">
        <v>0</v>
      </c>
      <c r="X29" s="9" t="inlineStr"/>
      <c r="Y29" s="9">
        <f>IFERROR(__xludf.DUMMYFUNCTION("""COMPUTED_VALUE"""),"#N/A")</f>
        <v/>
      </c>
      <c r="Z29" s="9">
        <f>IFERROR(__xludf.DUMMYFUNCTION("""COMPUTED_VALUE"""),"Town-centre V/Line station &amp; West Gippsland Hospital ED (verify wait times &amp; GW drive).")</f>
        <v/>
      </c>
      <c r="AA29" s="10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0" t="inlineStr">
        <is>
          <t>Yes</t>
        </is>
      </c>
      <c r="AC29" s="10" t="inlineStr">
        <is>
          <t>Warragul station, V/Line Gippsland (per sheet note)</t>
        </is>
      </c>
      <c r="AD29" s="10" t="inlineStr">
        <is>
          <t>West Gippsland Hospital ED (local)</t>
        </is>
      </c>
      <c r="AE29" s="17" t="n">
        <v>1500000</v>
      </c>
      <c r="AF29" s="0" t="inlineStr">
        <is>
          <t>Maximum purchase price, excluding transaction and moving costs</t>
        </is>
      </c>
      <c r="AG29" s="0" t="inlineStr">
        <is>
          <t>Suburb median</t>
        </is>
      </c>
      <c r="AH29" s="0" t="inlineStr">
        <is>
          <t>26 Oct 2026</t>
        </is>
      </c>
      <c r="AI29" s="0" t="inlineStr">
        <is>
          <t>Pass</t>
        </is>
      </c>
      <c r="AJ29" s="0" t="inlineStr">
        <is>
          <t>Published house price ($620,000) is under $1.5M cap.</t>
        </is>
      </c>
    </row>
    <row r="30">
      <c r="A30" s="9">
        <f>IFERROR(__xludf.DUMMYFUNCTION("""COMPUTED_VALUE"""),"Mount Eliza")</f>
        <v/>
      </c>
      <c r="B30" s="9">
        <f>IFERROR(__xludf.DUMMYFUNCTION("""COMPUTED_VALUE"""),"Mornington Peninsula")</f>
        <v/>
      </c>
      <c r="C30" s="9">
        <f>IFERROR(__xludf.DUMMYFUNCTION("""COMPUTED_VALUE"""),"Active Shortlist")</f>
        <v/>
      </c>
      <c r="D30" s="9">
        <f>IFERROR(__xludf.DUMMYFUNCTION("""COMPUTED_VALUE"""),"High (Woodland &amp; gullies)")</f>
        <v/>
      </c>
      <c r="E30" s="9">
        <f>IFERROR(__xludf.DUMMYFUNCTION("""COMPUTED_VALUE"""),"High (Canadian Bay/coast)")</f>
        <v/>
      </c>
      <c r="F30" s="9">
        <f>IFERROR(__xludf.DUMMYFUNCTION("""COMPUTED_VALUE"""),"Rare overlap of bushland reserves, village &amp; bay")</f>
        <v/>
      </c>
      <c r="G30" s="9">
        <f>IFERROR(__xludf.DUMMYFUNCTION("""COMPUTED_VALUE"""),0.0)</f>
        <v/>
      </c>
      <c r="H30" s="9">
        <f>IFERROR(__xludf.DUMMYFUNCTION("""COMPUTED_VALUE"""),"Not verified in report")</f>
        <v/>
      </c>
      <c r="I30" s="9" t="inlineStr"/>
      <c r="J30" s="13" t="n">
        <v>34</v>
      </c>
      <c r="K30" s="13" t="n">
        <v>10</v>
      </c>
      <c r="L30" s="9" t="inlineStr">
        <is>
          <t>Needs data</t>
        </is>
      </c>
      <c r="M30" s="13" t="n"/>
      <c r="N30" s="13" t="n"/>
      <c r="O30" s="13">
        <f>IF(K30="","",ROUND(MAX(0,10*(1-K30/Filters!$B$5)),1))</f>
        <v/>
      </c>
      <c r="P30" s="13" t="n"/>
      <c r="Q30" s="13" t="n"/>
      <c r="R30" s="13" t="n"/>
      <c r="S30" s="13" t="n"/>
      <c r="T30" s="13" t="n"/>
      <c r="U30" s="13" t="n"/>
      <c r="V30" s="13" t="n"/>
      <c r="W30" s="9" t="n">
        <v>0</v>
      </c>
      <c r="X30" s="9" t="inlineStr"/>
      <c r="Y30" s="9">
        <f>IFERROR(__xludf.DUMMYFUNCTION("""COMPUTED_VALUE"""),"")</f>
        <v/>
      </c>
      <c r="Z30" s="9">
        <f>IFERROR(__xludf.DUMMYFUNCTION("""COMPUTED_VALUE"""),"Tests BOTH parents' bushland preference and your coastal-nature preference; verify bus 781 &amp; Frankston ED drive.")</f>
        <v/>
      </c>
      <c r="AA30" s="10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0" t="inlineStr">
        <is>
          <t>No</t>
        </is>
      </c>
      <c r="AC30" s="10" t="inlineStr">
        <is>
          <t>No rail; bus 781 to Frankston (per sheet note)</t>
        </is>
      </c>
      <c r="AD30" s="10" t="inlineStr">
        <is>
          <t>Peninsula University Hospital ED</t>
        </is>
      </c>
      <c r="AE30" s="17" t="n">
        <v>1500000</v>
      </c>
      <c r="AF30" s="0" t="inlineStr">
        <is>
          <t>Maximum purchase price, excluding transaction and moving costs</t>
        </is>
      </c>
      <c r="AG30" s="0" t="inlineStr">
        <is>
          <t>[Awaiting search]</t>
        </is>
      </c>
      <c r="AH30" s="0" t="inlineStr">
        <is>
          <t>26 Oct 2026</t>
        </is>
      </c>
      <c r="AI30" s="0" t="inlineStr">
        <is>
          <t>Needs data</t>
        </is>
      </c>
      <c r="AJ30" s="0" t="inlineStr">
        <is>
          <t>No verified pricing entered.</t>
        </is>
      </c>
    </row>
    <row r="31">
      <c r="A31" s="9">
        <f>IFERROR(__xludf.DUMMYFUNCTION("""COMPUTED_VALUE"""),"Mornington")</f>
        <v/>
      </c>
      <c r="B31" s="9">
        <f>IFERROR(__xludf.DUMMYFUNCTION("""COMPUTED_VALUE"""),"Mornington Peninsula")</f>
        <v/>
      </c>
      <c r="C31" s="9">
        <f>IFERROR(__xludf.DUMMYFUNCTION("""COMPUTED_VALUE"""),"Active Shortlist")</f>
        <v/>
      </c>
      <c r="D31" s="9">
        <f>IFERROR(__xludf.DUMMYFUNCTION("""COMPUTED_VALUE"""),"Medium (Parks &amp; gardens)")</f>
        <v/>
      </c>
      <c r="E31" s="9">
        <f>IFERROR(__xludf.DUMMYFUNCTION("""COMPUTED_VALUE"""),"High (Bay beaches/harbor)")</f>
        <v/>
      </c>
      <c r="F31" s="9">
        <f>IFERROR(__xludf.DUMMYFUNCTION("""COMPUTED_VALUE"""),"Established coastal town centre &amp; Main Street")</f>
        <v/>
      </c>
      <c r="G31" s="9">
        <f>IFERROR(__xludf.DUMMYFUNCTION("""COMPUTED_VALUE"""),0.0)</f>
        <v/>
      </c>
      <c r="H31" s="9">
        <f>IFERROR(__xludf.DUMMYFUNCTION("""COMPUTED_VALUE"""),"Not verified in report")</f>
        <v/>
      </c>
      <c r="I31" s="9" t="inlineStr"/>
      <c r="J31" s="13" t="n">
        <v>40</v>
      </c>
      <c r="K31" s="13" t="n">
        <v>15</v>
      </c>
      <c r="L31" s="9" t="inlineStr">
        <is>
          <t>Needs data</t>
        </is>
      </c>
      <c r="M31" s="13" t="n"/>
      <c r="N31" s="13" t="n"/>
      <c r="O31" s="13">
        <f>IF(K31="","",ROUND(MAX(0,10*(1-K31/Filters!$B$5)),1))</f>
        <v/>
      </c>
      <c r="P31" s="13" t="n"/>
      <c r="Q31" s="13" t="n"/>
      <c r="R31" s="13" t="n"/>
      <c r="S31" s="13" t="n"/>
      <c r="T31" s="13" t="n"/>
      <c r="U31" s="13" t="n"/>
      <c r="V31" s="13" t="n"/>
      <c r="W31" s="9" t="n">
        <v>0</v>
      </c>
      <c r="X31" s="9" t="inlineStr"/>
      <c r="Y31" s="9">
        <f>IFERROR(__xludf.DUMMYFUNCTION("""COMPUTED_VALUE"""),"")</f>
        <v/>
      </c>
      <c r="Z31" s="9">
        <f>IFERROR(__xludf.DUMMYFUNCTION("""COMPUTED_VALUE"""),"Substantial town services on bay; no passenger train (bus to Frankston); verify Frankston/Rosebud ED drive.")</f>
        <v/>
      </c>
      <c r="AA31" s="10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0" t="inlineStr">
        <is>
          <t>No</t>
        </is>
      </c>
      <c r="AC31" s="10" t="inlineStr">
        <is>
          <t>No passenger train; bus to Frankston (per sheet note)</t>
        </is>
      </c>
      <c r="AD31" s="10" t="inlineStr">
        <is>
          <t>Peninsula University Hospital ED</t>
        </is>
      </c>
      <c r="AE31" s="17" t="n">
        <v>1500000</v>
      </c>
      <c r="AF31" s="0" t="inlineStr">
        <is>
          <t>Maximum purchase price, excluding transaction and moving costs</t>
        </is>
      </c>
      <c r="AG31" s="0" t="inlineStr">
        <is>
          <t>[Awaiting search]</t>
        </is>
      </c>
      <c r="AH31" s="0" t="inlineStr">
        <is>
          <t>26 Oct 2026</t>
        </is>
      </c>
      <c r="AI31" s="0" t="inlineStr">
        <is>
          <t>Needs data</t>
        </is>
      </c>
      <c r="AJ31" s="0" t="inlineStr">
        <is>
          <t>No verified pricing entered.</t>
        </is>
      </c>
    </row>
    <row r="32">
      <c r="A32" s="9">
        <f>IFERROR(__xludf.DUMMYFUNCTION("""COMPUTED_VALUE"""),"Clifton Springs")</f>
        <v/>
      </c>
      <c r="B32" s="9">
        <f>IFERROR(__xludf.DUMMYFUNCTION("""COMPUTED_VALUE"""),"Bellarine Peninsula")</f>
        <v/>
      </c>
      <c r="C32" s="9">
        <f>IFERROR(__xludf.DUMMYFUNCTION("""COMPUTED_VALUE"""),"Active Shortlist")</f>
        <v/>
      </c>
      <c r="D32" s="9">
        <f>IFERROR(__xludf.DUMMYFUNCTION("""COMPUTED_VALUE"""),"Medium (Dell &amp; coastal reserve)")</f>
        <v/>
      </c>
      <c r="E32" s="9">
        <f>IFERROR(__xludf.DUMMYFUNCTION("""COMPUTED_VALUE"""),"High (Bay views &amp; foreshore)")</f>
        <v/>
      </c>
      <c r="F32" s="9">
        <f>IFERROR(__xludf.DUMMYFUNCTION("""COMPUTED_VALUE"""),"High-value Bellarine coastal alternative")</f>
        <v/>
      </c>
      <c r="G32" s="9">
        <f>IFERROR(__xludf.DUMMYFUNCTION("""COMPUTED_VALUE"""),715000.0)</f>
        <v/>
      </c>
      <c r="H32" s="9">
        <f>IFERROR(__xludf.DUMMYFUNCTION("""COMPUTED_VALUE"""),"House sale median $715,000 (196 sales, Property.com.au)")</f>
        <v/>
      </c>
      <c r="I32" s="9" t="n">
        <v>757900</v>
      </c>
      <c r="J32" s="13" t="n">
        <v>95</v>
      </c>
      <c r="K32" s="13" t="n">
        <v>23</v>
      </c>
      <c r="L32" s="9" t="inlineStr">
        <is>
          <t>Fails: GW drive</t>
        </is>
      </c>
      <c r="M32" s="13" t="n"/>
      <c r="N32" s="13" t="n"/>
      <c r="O32" s="13">
        <f>IF(K32="","",ROUND(MAX(0,10*(1-K32/Filters!$B$5)),1))</f>
        <v/>
      </c>
      <c r="P32" s="13" t="n"/>
      <c r="Q32" s="13" t="n"/>
      <c r="R32" s="13" t="n"/>
      <c r="S32" s="13" t="n"/>
      <c r="T32" s="13" t="n"/>
      <c r="U32" s="13" t="n"/>
      <c r="V32" s="13" t="n"/>
      <c r="W32" s="9" t="n">
        <v>0</v>
      </c>
      <c r="X32" s="9" t="inlineStr"/>
      <c r="Y32" s="9">
        <f>IFERROR(__xludf.DUMMYFUNCTION("""COMPUTED_VALUE"""),"")</f>
        <v/>
      </c>
      <c r="Z32" s="9">
        <f>IFERROR(__xludf.DUMMYFUNCTION("""COMPUTED_VALUE"""),"Port Phillip bay frontage &amp; Dell picnic area; verify Univ Hospital Geelong ED drive &amp; public transport.")</f>
        <v/>
      </c>
      <c r="AA32" s="10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0" t="inlineStr">
        <is>
          <t>No</t>
        </is>
      </c>
      <c r="AC32" s="10" t="inlineStr">
        <is>
          <t>No rail; Geelong via bus (recall; verify)</t>
        </is>
      </c>
      <c r="AD32" s="10" t="inlineStr">
        <is>
          <t>University Hospital Geelong ED</t>
        </is>
      </c>
      <c r="AE32" s="17" t="n">
        <v>1500000</v>
      </c>
      <c r="AF32" s="0" t="inlineStr">
        <is>
          <t>Maximum purchase price, excluding transaction and moving costs</t>
        </is>
      </c>
      <c r="AG32" s="0" t="inlineStr">
        <is>
          <t>Suburb median</t>
        </is>
      </c>
      <c r="AH32" s="0" t="inlineStr">
        <is>
          <t>26 Oct 2026</t>
        </is>
      </c>
      <c r="AI32" s="0" t="inlineStr">
        <is>
          <t>Pass</t>
        </is>
      </c>
      <c r="AJ32" s="0" t="inlineStr">
        <is>
          <t>Published house price ($715,000) is under $1.5M cap.</t>
        </is>
      </c>
    </row>
    <row r="33">
      <c r="A33" s="9">
        <f>IFERROR(__xludf.DUMMYFUNCTION("""COMPUTED_VALUE"""),"Warburton")</f>
        <v/>
      </c>
      <c r="B33" s="9">
        <f>IFERROR(__xludf.DUMMYFUNCTION("""COMPUTED_VALUE"""),"Yarra Valley")</f>
        <v/>
      </c>
      <c r="C33" s="9">
        <f>IFERROR(__xludf.DUMMYFUNCTION("""COMPUTED_VALUE"""),"Watchlist")</f>
        <v/>
      </c>
      <c r="D33" s="9">
        <f>IFERROR(__xludf.DUMMYFUNCTION("""COMPUTED_VALUE"""),"Very High (Mountain &amp; river)")</f>
        <v/>
      </c>
      <c r="E33" s="9">
        <f>IFERROR(__xludf.DUMMYFUNCTION("""COMPUTED_VALUE"""),"Low (River, non-coastal)")</f>
        <v/>
      </c>
      <c r="F33" s="9">
        <f>IFERROR(__xludf.DUMMYFUNCTION("""COMPUTED_VALUE"""),"Maximum forest/mountain scenery test")</f>
        <v/>
      </c>
      <c r="G33" s="9">
        <f>IFERROR(__xludf.DUMMYFUNCTION("""COMPUTED_VALUE"""),717500.0)</f>
        <v/>
      </c>
      <c r="H33" s="9">
        <f>IFERROR(__xludf.DUMMYFUNCTION("""COMPUTED_VALUE"""),"3-bed house median $717.5k (34 sales); 4-bed $702.5k")</f>
        <v/>
      </c>
      <c r="I33" s="9" t="n">
        <v>760550</v>
      </c>
      <c r="J33" s="13" t="n">
        <v>65</v>
      </c>
      <c r="K33" s="13" t="n">
        <v>53</v>
      </c>
      <c r="L33" s="9" t="inlineStr">
        <is>
          <t>Needs data</t>
        </is>
      </c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9" t="n">
        <v>0</v>
      </c>
      <c r="X33" s="9" t="inlineStr"/>
      <c r="Y33" s="9">
        <f>IFERROR(__xludf.DUMMYFUNCTION("""COMPUTED_VALUE"""),"")</f>
        <v/>
      </c>
      <c r="Z33" s="9">
        <f>IFERROR(__xludf.DUMMYFUNCTION("""COMPUTED_VALUE"""),"ABS 2021: 24.3% aged 65+, 8.1% non-Eng HH. Tough practicality test on winter comfort, fire risk &amp; distant ED.")</f>
        <v/>
      </c>
      <c r="AA33" s="10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t="inlineStr">
        <is>
          <t>No</t>
        </is>
      </c>
      <c r="AC33" t="inlineStr">
        <is>
          <t>No passenger rail (recall; verify)</t>
        </is>
      </c>
      <c r="AD33" t="inlineStr">
        <is>
          <t>Maroondah Hospital ED (drive times added 27 Oct 2026, Google Maps leave-now, not peak; Angliss may be closer, 24-hr status unverified)</t>
        </is>
      </c>
      <c r="AE33" s="17" t="n">
        <v>1500000</v>
      </c>
      <c r="AF33" s="0" t="inlineStr">
        <is>
          <t>Maximum purchase price, excluding transaction and moving costs</t>
        </is>
      </c>
      <c r="AG33" s="0" t="inlineStr">
        <is>
          <t>Suburb median</t>
        </is>
      </c>
      <c r="AH33" s="0" t="inlineStr">
        <is>
          <t>26 Oct 2026</t>
        </is>
      </c>
      <c r="AI33" s="0" t="inlineStr">
        <is>
          <t>Pass</t>
        </is>
      </c>
      <c r="AJ33" s="0" t="inlineStr">
        <is>
          <t>Published house price ($717,500) is under $1.5M cap.</t>
        </is>
      </c>
    </row>
    <row r="34">
      <c r="A34" s="9">
        <f>IFERROR(__xludf.DUMMYFUNCTION("""COMPUTED_VALUE"""),"Trentham")</f>
        <v/>
      </c>
      <c r="B34" s="9">
        <f>IFERROR(__xludf.DUMMYFUNCTION("""COMPUTED_VALUE"""),"Macedon Ranges")</f>
        <v/>
      </c>
      <c r="C34" s="9">
        <f>IFERROR(__xludf.DUMMYFUNCTION("""COMPUTED_VALUE"""),"Watchlist")</f>
        <v/>
      </c>
      <c r="D34" s="9">
        <f>IFERROR(__xludf.DUMMYFUNCTION("""COMPUTED_VALUE"""),"High (Wombat Forest village)")</f>
        <v/>
      </c>
      <c r="E34" s="9">
        <f>IFERROR(__xludf.DUMMYFUNCTION("""COMPUTED_VALUE"""),"Low (Inland)")</f>
        <v/>
      </c>
      <c r="F34" s="9">
        <f>IFERROR(__xludf.DUMMYFUNCTION("""COMPUTED_VALUE"""),"Intimate forest village with older age profile")</f>
        <v/>
      </c>
      <c r="G34" s="9">
        <f>IFERROR(__xludf.DUMMYFUNCTION("""COMPUTED_VALUE"""),978750.0)</f>
        <v/>
      </c>
      <c r="H34" s="9">
        <f>IFERROR(__xludf.DUMMYFUNCTION("""COMPUTED_VALUE"""),"3-bed house median $978,750 (30 sales, Domain)")</f>
        <v/>
      </c>
      <c r="I34" s="9" t="n">
        <v>1037475</v>
      </c>
      <c r="J34" s="13" t="n"/>
      <c r="K34" s="13" t="n"/>
      <c r="L34" s="9" t="inlineStr">
        <is>
          <t>Needs data</t>
        </is>
      </c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9" t="n">
        <v>0</v>
      </c>
      <c r="X34" s="9" t="inlineStr"/>
      <c r="Y34" s="9">
        <f>IFERROR(__xludf.DUMMYFUNCTION("""COMPUTED_VALUE"""),"")</f>
        <v/>
      </c>
      <c r="Z34" s="9">
        <f>IFERROR(__xludf.DUMMYFUNCTION("""COMPUTED_VALUE"""),"ABS 2021: 33.6% aged 65+, 4.7% non-Eng HH. CAUTION: Local health campus is community/aged care ONLY, not an ED.")</f>
        <v/>
      </c>
      <c r="AA34" s="10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E34" s="17" t="n">
        <v>1500000</v>
      </c>
      <c r="AF34" s="0" t="inlineStr">
        <is>
          <t>Maximum purchase price, excluding transaction and moving costs</t>
        </is>
      </c>
      <c r="AG34" s="0" t="inlineStr">
        <is>
          <t>Suburb median</t>
        </is>
      </c>
      <c r="AH34" s="0" t="inlineStr">
        <is>
          <t>26 Oct 2026</t>
        </is>
      </c>
      <c r="AI34" s="0" t="inlineStr">
        <is>
          <t>Pass</t>
        </is>
      </c>
      <c r="AJ34" s="0" t="inlineStr">
        <is>
          <t>Published house price ($978,750) is under $1.5M cap.</t>
        </is>
      </c>
    </row>
    <row r="35">
      <c r="A35" s="9">
        <f>IFERROR(__xludf.DUMMYFUNCTION("""COMPUTED_VALUE"""),"Olinda")</f>
        <v/>
      </c>
      <c r="B35" s="9">
        <f>IFERROR(__xludf.DUMMYFUNCTION("""COMPUTED_VALUE"""),"Dandenong Ridge")</f>
        <v/>
      </c>
      <c r="C35" s="9">
        <f>IFERROR(__xludf.DUMMYFUNCTION("""COMPUTED_VALUE"""),"Watchlist")</f>
        <v/>
      </c>
      <c r="D35" s="9">
        <f>IFERROR(__xludf.DUMMYFUNCTION("""COMPUTED_VALUE"""),"Very High (Botanic gardens/ridge)")</f>
        <v/>
      </c>
      <c r="E35" s="9">
        <f>IFERROR(__xludf.DUMMYFUNCTION("""COMPUTED_VALUE"""),"Low (Inland)")</f>
        <v/>
      </c>
      <c r="F35" s="9">
        <f>IFERROR(__xludf.DUMMYFUNCTION("""COMPUTED_VALUE"""),"Dandenongs ridge village — high scenic appeal")</f>
        <v/>
      </c>
      <c r="G35" s="9">
        <f>IFERROR(__xludf.DUMMYFUNCTION("""COMPUTED_VALUE"""),0.0)</f>
        <v/>
      </c>
      <c r="H35" s="9">
        <f>IFERROR(__xludf.DUMMYFUNCTION("""COMPUTED_VALUE"""),"Not verified in report")</f>
        <v/>
      </c>
      <c r="I35" s="9" t="inlineStr"/>
      <c r="J35" s="13" t="n"/>
      <c r="K35" s="13" t="n"/>
      <c r="L35" s="9" t="inlineStr">
        <is>
          <t>Needs data</t>
        </is>
      </c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9" t="n">
        <v>0</v>
      </c>
      <c r="X35" s="9" t="inlineStr"/>
      <c r="Y35" s="9">
        <f>IFERROR(__xludf.DUMMYFUNCTION("""COMPUTED_VALUE"""),"")</f>
        <v/>
      </c>
      <c r="Z35" s="9">
        <f>IFERROR(__xludf.DUMMYFUNCTION("""COMPUTED_VALUE"""),"Parks Vic documents severe-weather/fire closures; bus 694 to Belgrave; verify winter damp, slopes &amp; insurance.")</f>
        <v/>
      </c>
      <c r="AA35" s="10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E35" s="17" t="n">
        <v>1500000</v>
      </c>
      <c r="AF35" s="0" t="inlineStr">
        <is>
          <t>Maximum purchase price, excluding transaction and moving costs</t>
        </is>
      </c>
      <c r="AG35" s="0" t="inlineStr">
        <is>
          <t>[Awaiting search]</t>
        </is>
      </c>
      <c r="AH35" s="0" t="inlineStr">
        <is>
          <t>26 Oct 2026</t>
        </is>
      </c>
      <c r="AI35" s="0" t="inlineStr">
        <is>
          <t>Needs data</t>
        </is>
      </c>
      <c r="AJ35" s="0" t="inlineStr">
        <is>
          <t>No verified pricing entered.</t>
        </is>
      </c>
    </row>
    <row r="36">
      <c r="A36" s="9">
        <f>IFERROR(__xludf.DUMMYFUNCTION("""COMPUTED_VALUE"""),"Sassafras")</f>
        <v/>
      </c>
      <c r="B36" s="9">
        <f>IFERROR(__xludf.DUMMYFUNCTION("""COMPUTED_VALUE"""),"Dandenong Ridge")</f>
        <v/>
      </c>
      <c r="C36" s="9">
        <f>IFERROR(__xludf.DUMMYFUNCTION("""COMPUTED_VALUE"""),"Watchlist")</f>
        <v/>
      </c>
      <c r="D36" s="9">
        <f>IFERROR(__xludf.DUMMYFUNCTION("""COMPUTED_VALUE"""),"Very High (Forest ridge village)")</f>
        <v/>
      </c>
      <c r="E36" s="9">
        <f>IFERROR(__xludf.DUMMYFUNCTION("""COMPUTED_VALUE"""),"Low (Inland)")</f>
        <v/>
      </c>
      <c r="F36" s="9">
        <f>IFERROR(__xludf.DUMMYFUNCTION("""COMPUTED_VALUE"""),"Dandenongs ridge village comparator")</f>
        <v/>
      </c>
      <c r="G36" s="9">
        <f>IFERROR(__xludf.DUMMYFUNCTION("""COMPUTED_VALUE"""),0.0)</f>
        <v/>
      </c>
      <c r="H36" s="9">
        <f>IFERROR(__xludf.DUMMYFUNCTION("""COMPUTED_VALUE"""),"Not verified in report")</f>
        <v/>
      </c>
      <c r="I36" s="9" t="inlineStr"/>
      <c r="J36" s="13" t="n"/>
      <c r="K36" s="13" t="n"/>
      <c r="L36" s="9" t="inlineStr">
        <is>
          <t>Needs data</t>
        </is>
      </c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9" t="n">
        <v>0</v>
      </c>
      <c r="X36" s="9" t="inlineStr"/>
      <c r="Y36" s="9">
        <f>IFERROR(__xludf.DUMMYFUNCTION("""COMPUTED_VALUE"""),"")</f>
        <v/>
      </c>
      <c r="Z36" s="9">
        <f>IFERROR(__xludf.DUMMYFUNCTION("""COMPUTED_VALUE"""),"High tourism traffic on weekends; check everyday grocery/medical convenience &amp; bushfire overlay.")</f>
        <v/>
      </c>
      <c r="AA36" s="10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E36" s="17" t="n">
        <v>1500000</v>
      </c>
      <c r="AF36" s="0" t="inlineStr">
        <is>
          <t>Maximum purchase price, excluding transaction and moving costs</t>
        </is>
      </c>
      <c r="AG36" s="0" t="inlineStr">
        <is>
          <t>[Awaiting search]</t>
        </is>
      </c>
      <c r="AH36" s="0" t="inlineStr">
        <is>
          <t>26 Oct 2026</t>
        </is>
      </c>
      <c r="AI36" s="0" t="inlineStr">
        <is>
          <t>Needs data</t>
        </is>
      </c>
      <c r="AJ36" s="0" t="inlineStr">
        <is>
          <t>No verified pricing entered.</t>
        </is>
      </c>
    </row>
    <row r="37">
      <c r="A37" s="9">
        <f>IFERROR(__xludf.DUMMYFUNCTION("""COMPUTED_VALUE"""),"Mount Dandenong")</f>
        <v/>
      </c>
      <c r="B37" s="9">
        <f>IFERROR(__xludf.DUMMYFUNCTION("""COMPUTED_VALUE"""),"Dandenong Ridge")</f>
        <v/>
      </c>
      <c r="C37" s="9">
        <f>IFERROR(__xludf.DUMMYFUNCTION("""COMPUTED_VALUE"""),"Watchlist")</f>
        <v/>
      </c>
      <c r="D37" s="9">
        <f>IFERROR(__xludf.DUMMYFUNCTION("""COMPUTED_VALUE"""),"Very High (Canopy &amp; views)")</f>
        <v/>
      </c>
      <c r="E37" s="9">
        <f>IFERROR(__xludf.DUMMYFUNCTION("""COMPUTED_VALUE"""),"Low (Inland)")</f>
        <v/>
      </c>
      <c r="F37" s="9">
        <f>IFERROR(__xludf.DUMMYFUNCTION("""COMPUTED_VALUE"""),"Ridge canopy living test")</f>
        <v/>
      </c>
      <c r="G37" s="9">
        <f>IFERROR(__xludf.DUMMYFUNCTION("""COMPUTED_VALUE"""),0.0)</f>
        <v/>
      </c>
      <c r="H37" s="9">
        <f>IFERROR(__xludf.DUMMYFUNCTION("""COMPUTED_VALUE"""),"Not verified in report")</f>
        <v/>
      </c>
      <c r="I37" s="9" t="inlineStr"/>
      <c r="J37" s="13" t="n"/>
      <c r="K37" s="13" t="n"/>
      <c r="L37" s="9" t="inlineStr">
        <is>
          <t>Needs data</t>
        </is>
      </c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9" t="n">
        <v>0</v>
      </c>
      <c r="X37" s="9" t="inlineStr"/>
      <c r="Y37" s="9">
        <f>IFERROR(__xludf.DUMMYFUNCTION("""COMPUTED_VALUE"""),"")</f>
        <v/>
      </c>
      <c r="Z37" s="9">
        <f>IFERROR(__xludf.DUMMYFUNCTION("""COMPUTED_VALUE"""),"Requires property-specific slope, tree-fall, insurance &amp; emergency egress verification.")</f>
        <v/>
      </c>
      <c r="AA37" s="10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E37" s="17" t="n">
        <v>1500000</v>
      </c>
      <c r="AF37" s="0" t="inlineStr">
        <is>
          <t>Maximum purchase price, excluding transaction and moving costs</t>
        </is>
      </c>
      <c r="AG37" s="0" t="inlineStr">
        <is>
          <t>[Awaiting search]</t>
        </is>
      </c>
      <c r="AH37" s="0" t="inlineStr">
        <is>
          <t>26 Oct 2026</t>
        </is>
      </c>
      <c r="AI37" s="0" t="inlineStr">
        <is>
          <t>Needs data</t>
        </is>
      </c>
      <c r="AJ37" s="0" t="inlineStr">
        <is>
          <t>No verified pricing entered.</t>
        </is>
      </c>
    </row>
    <row r="38">
      <c r="A38" s="9">
        <f>IFERROR(__xludf.DUMMYFUNCTION("""COMPUTED_VALUE"""),"Emerald")</f>
        <v/>
      </c>
      <c r="B38" s="9">
        <f>IFERROR(__xludf.DUMMYFUNCTION("""COMPUTED_VALUE"""),"Dandenong Ranges")</f>
        <v/>
      </c>
      <c r="C38" s="9">
        <f>IFERROR(__xludf.DUMMYFUNCTION("""COMPUTED_VALUE"""),"Watchlist")</f>
        <v/>
      </c>
      <c r="D38" s="9">
        <f>IFERROR(__xludf.DUMMYFUNCTION("""COMPUTED_VALUE"""),"High (Emerald Lake &amp; hills)")</f>
        <v/>
      </c>
      <c r="E38" s="9">
        <f>IFERROR(__xludf.DUMMYFUNCTION("""COMPUTED_VALUE"""),"Low (Inland)")</f>
        <v/>
      </c>
      <c r="F38" s="9">
        <f>IFERROR(__xludf.DUMMYFUNCTION("""COMPUTED_VALUE"""),"Larger hills town south-east of ridge")</f>
        <v/>
      </c>
      <c r="G38" s="9">
        <f>IFERROR(__xludf.DUMMYFUNCTION("""COMPUTED_VALUE"""),0.0)</f>
        <v/>
      </c>
      <c r="H38" s="9">
        <f>IFERROR(__xludf.DUMMYFUNCTION("""COMPUTED_VALUE"""),"Not verified in report")</f>
        <v/>
      </c>
      <c r="I38" s="9" t="inlineStr"/>
      <c r="J38" s="13" t="n"/>
      <c r="K38" s="13" t="n"/>
      <c r="L38" s="9" t="inlineStr">
        <is>
          <t>Needs data</t>
        </is>
      </c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9" t="n">
        <v>0</v>
      </c>
      <c r="X38" s="9" t="inlineStr"/>
      <c r="Y38" s="9">
        <f>IFERROR(__xludf.DUMMYFUNCTION("""COMPUTED_VALUE"""),"")</f>
        <v/>
      </c>
      <c r="Z38" s="9">
        <f>IFERROR(__xludf.DUMMYFUNCTION("""COMPUTED_VALUE"""),"Emerald Lake precinct; separate from ridge villages—verify routine services &amp; ED drive.")</f>
        <v/>
      </c>
      <c r="AA38" s="10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E38" s="17" t="n">
        <v>1500000</v>
      </c>
      <c r="AF38" s="0" t="inlineStr">
        <is>
          <t>Maximum purchase price, excluding transaction and moving costs</t>
        </is>
      </c>
      <c r="AG38" s="0" t="inlineStr">
        <is>
          <t>[Awaiting search]</t>
        </is>
      </c>
      <c r="AH38" s="0" t="inlineStr">
        <is>
          <t>26 Oct 2026</t>
        </is>
      </c>
      <c r="AI38" s="0" t="inlineStr">
        <is>
          <t>Needs data</t>
        </is>
      </c>
      <c r="AJ38" s="0" t="inlineStr">
        <is>
          <t>No verified pricing entered.</t>
        </is>
      </c>
    </row>
    <row r="39">
      <c r="A39" s="9">
        <f>IFERROR(__xludf.DUMMYFUNCTION("""COMPUTED_VALUE"""),"Ferntree Gully")</f>
        <v/>
      </c>
      <c r="B39" s="9">
        <f>IFERROR(__xludf.DUMMYFUNCTION("""COMPUTED_VALUE"""),"East / Foothills")</f>
        <v/>
      </c>
      <c r="C39" s="9">
        <f>IFERROR(__xludf.DUMMYFUNCTION("""COMPUTED_VALUE"""),"Watchlist")</f>
        <v/>
      </c>
      <c r="D39" s="9">
        <f>IFERROR(__xludf.DUMMYFUNCTION("""COMPUTED_VALUE"""),"Medium-High (Foothills)")</f>
        <v/>
      </c>
      <c r="E39" s="9">
        <f>IFERROR(__xludf.DUMMYFUNCTION("""COMPUTED_VALUE"""),"Low (Inland)")</f>
        <v/>
      </c>
      <c r="F39" s="9">
        <f>IFERROR(__xludf.DUMMYFUNCTION("""COMPUTED_VALUE"""),"Larger housing/service catchment next to Upper FTG")</f>
        <v/>
      </c>
      <c r="G39" s="9">
        <f>IFERROR(__xludf.DUMMYFUNCTION("""COMPUTED_VALUE"""),0.0)</f>
        <v/>
      </c>
      <c r="H39" s="9">
        <f>IFERROR(__xludf.DUMMYFUNCTION("""COMPUTED_VALUE"""),"Not verified in report")</f>
        <v/>
      </c>
      <c r="I39" s="9" t="inlineStr"/>
      <c r="J39" s="13" t="n"/>
      <c r="K39" s="13" t="n"/>
      <c r="L39" s="9" t="inlineStr">
        <is>
          <t>Needs data</t>
        </is>
      </c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9" t="n">
        <v>0</v>
      </c>
      <c r="X39" s="9" t="inlineStr"/>
      <c r="Y39" s="9">
        <f>IFERROR(__xludf.DUMMYFUNCTION("""COMPUTED_VALUE"""),"")</f>
        <v/>
      </c>
      <c r="Z39" s="9">
        <f>IFERROR(__xludf.DUMMYFUNCTION("""COMPUTED_VALUE"""),"Belgrave line; compare flatter pockets and housing stock against Upper Ferntree Gully.")</f>
        <v/>
      </c>
      <c r="AA39" s="10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E39" s="17" t="n">
        <v>1500000</v>
      </c>
      <c r="AF39" s="0" t="inlineStr">
        <is>
          <t>Maximum purchase price, excluding transaction and moving costs</t>
        </is>
      </c>
      <c r="AG39" s="0" t="inlineStr">
        <is>
          <t>[Awaiting search]</t>
        </is>
      </c>
      <c r="AH39" s="0" t="inlineStr">
        <is>
          <t>26 Oct 2026</t>
        </is>
      </c>
      <c r="AI39" s="0" t="inlineStr">
        <is>
          <t>Needs data</t>
        </is>
      </c>
      <c r="AJ39" s="0" t="inlineStr">
        <is>
          <t>No verified pricing entered.</t>
        </is>
      </c>
    </row>
    <row r="40">
      <c r="A40" s="9">
        <f>IFERROR(__xludf.DUMMYFUNCTION("""COMPUTED_VALUE"""),"Berwick")</f>
        <v/>
      </c>
      <c r="B40" s="9">
        <f>IFERROR(__xludf.DUMMYFUNCTION("""COMPUTED_VALUE"""),"South-East Melbourne")</f>
        <v/>
      </c>
      <c r="C40" s="9">
        <f>IFERROR(__xludf.DUMMYFUNCTION("""COMPUTED_VALUE"""),"Watchlist")</f>
        <v/>
      </c>
      <c r="D40" s="9">
        <f>IFERROR(__xludf.DUMMYFUNCTION("""COMPUTED_VALUE"""),"Medium (Wilson Botanic Park)")</f>
        <v/>
      </c>
      <c r="E40" s="9">
        <f>IFERROR(__xludf.DUMMYFUNCTION("""COMPUTED_VALUE"""),"Low (Inland)")</f>
        <v/>
      </c>
      <c r="F40" s="9">
        <f>IFERROR(__xludf.DUMMYFUNCTION("""COMPUTED_VALUE"""),"Healthcare-led south-east comparator")</f>
        <v/>
      </c>
      <c r="G40" s="9">
        <f>IFERROR(__xludf.DUMMYFUNCTION("""COMPUTED_VALUE"""),0.0)</f>
        <v/>
      </c>
      <c r="H40" s="9">
        <f>IFERROR(__xludf.DUMMYFUNCTION("""COMPUTED_VALUE"""),"Not verified in report")</f>
        <v/>
      </c>
      <c r="I40" s="9" t="inlineStr"/>
      <c r="J40" s="13" t="n"/>
      <c r="K40" s="13" t="n"/>
      <c r="L40" s="9" t="inlineStr">
        <is>
          <t>Needs data</t>
        </is>
      </c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9" t="n">
        <v>0</v>
      </c>
      <c r="X40" s="9" t="inlineStr"/>
      <c r="Y40" s="9">
        <f>IFERROR(__xludf.DUMMYFUNCTION("""COMPUTED_VALUE"""),"")</f>
        <v/>
      </c>
      <c r="Z40" s="9">
        <f>IFERROR(__xludf.DUMMYFUNCTION("""COMPUTED_VALUE"""),"Monash Health Casey Hospital 24-hr ED on site; verify whether residential pockets feel green enough.")</f>
        <v/>
      </c>
      <c r="AA40" s="10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E40" s="17" t="n">
        <v>1500000</v>
      </c>
      <c r="AF40" s="0" t="inlineStr">
        <is>
          <t>Maximum purchase price, excluding transaction and moving costs</t>
        </is>
      </c>
      <c r="AG40" s="0" t="inlineStr">
        <is>
          <t>[Awaiting search]</t>
        </is>
      </c>
      <c r="AH40" s="0" t="inlineStr">
        <is>
          <t>26 Oct 2026</t>
        </is>
      </c>
      <c r="AI40" s="0" t="inlineStr">
        <is>
          <t>Needs data</t>
        </is>
      </c>
      <c r="AJ40" s="0" t="inlineStr">
        <is>
          <t>No verified pricing entered.</t>
        </is>
      </c>
    </row>
    <row r="41">
      <c r="A41" s="9">
        <f>IFERROR(__xludf.DUMMYFUNCTION("""COMPUTED_VALUE"""),"Frankston South")</f>
        <v/>
      </c>
      <c r="B41" s="9">
        <f>IFERROR(__xludf.DUMMYFUNCTION("""COMPUTED_VALUE"""),"Mornington Peninsula")</f>
        <v/>
      </c>
      <c r="C41" s="9">
        <f>IFERROR(__xludf.DUMMYFUNCTION("""COMPUTED_VALUE"""),"Active Shortlist")</f>
        <v/>
      </c>
      <c r="D41" s="9">
        <f>IFERROR(__xludf.DUMMYFUNCTION("""COMPUTED_VALUE"""),"High (Sweetwater Creek reserve)")</f>
        <v/>
      </c>
      <c r="E41" s="9">
        <f>IFERROR(__xludf.DUMMYFUNCTION("""COMPUTED_VALUE"""),"High (Near beach/bay)")</f>
        <v/>
      </c>
      <c r="F41" s="9">
        <f>IFERROR(__xludf.DUMMYFUNCTION("""COMPUTED_VALUE"""),"Greener, bushier counterpart to Frankston")</f>
        <v/>
      </c>
      <c r="G41" s="9">
        <f>IFERROR(__xludf.DUMMYFUNCTION("""COMPUTED_VALUE"""),0.0)</f>
        <v/>
      </c>
      <c r="H41" s="9">
        <f>IFERROR(__xludf.DUMMYFUNCTION("""COMPUTED_VALUE"""),"Not verified in report")</f>
        <v/>
      </c>
      <c r="I41" s="9" t="inlineStr"/>
      <c r="J41" s="13" t="n">
        <v>31</v>
      </c>
      <c r="K41" s="13" t="n">
        <v>4</v>
      </c>
      <c r="L41" s="9" t="inlineStr">
        <is>
          <t>Needs data</t>
        </is>
      </c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9" t="n">
        <v>0</v>
      </c>
      <c r="X41" s="9" t="inlineStr"/>
      <c r="Y41" s="9">
        <f>IFERROR(__xludf.DUMMYFUNCTION("""COMPUTED_VALUE"""),"")</f>
        <v/>
      </c>
      <c r="Z41" s="9">
        <f>IFERROR(__xludf.DUMMYFUNCTION("""COMPUTED_VALUE"""),"Sweetwater Creek nature reserve; weaker station walk than central Frankston. Promoted to Active 26 Oct 2026 as a bush-plus-bay overlap candidate.")</f>
        <v/>
      </c>
      <c r="AA41" s="10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t="inlineStr">
        <is>
          <t>No</t>
        </is>
      </c>
      <c r="AC41" t="inlineStr">
        <is>
          <t>No station in suburb; Frankston station nearby (recall; verify)</t>
        </is>
      </c>
      <c r="AD41" t="inlineStr">
        <is>
          <t>Peninsula University Hospital ED (drive times added 27 Oct 2026, Google Maps leave-now by suburb name, not postcode, not peak)</t>
        </is>
      </c>
      <c r="AE41" s="17" t="n">
        <v>1500000</v>
      </c>
      <c r="AF41" s="0" t="inlineStr">
        <is>
          <t>Maximum purchase price, excluding transaction and moving costs</t>
        </is>
      </c>
      <c r="AG41" s="0" t="inlineStr">
        <is>
          <t>[Awaiting search]</t>
        </is>
      </c>
      <c r="AH41" s="0" t="inlineStr">
        <is>
          <t>26 Oct 2026</t>
        </is>
      </c>
      <c r="AI41" s="0" t="inlineStr">
        <is>
          <t>Needs data</t>
        </is>
      </c>
      <c r="AJ41" s="0" t="inlineStr">
        <is>
          <t>No verified pricing entered.</t>
        </is>
      </c>
    </row>
    <row r="42">
      <c r="A42" s="9">
        <f>IFERROR(__xludf.DUMMYFUNCTION("""COMPUTED_VALUE"""),"Hurstbridge")</f>
        <v/>
      </c>
      <c r="B42" s="9">
        <f>IFERROR(__xludf.DUMMYFUNCTION("""COMPUTED_VALUE"""),"North-East Fringe")</f>
        <v/>
      </c>
      <c r="C42" s="9">
        <f>IFERROR(__xludf.DUMMYFUNCTION("""COMPUTED_VALUE"""),"Watchlist")</f>
        <v/>
      </c>
      <c r="D42" s="9">
        <f>IFERROR(__xludf.DUMMYFUNCTION("""COMPUTED_VALUE"""),"High (Bushland village)")</f>
        <v/>
      </c>
      <c r="E42" s="9">
        <f>IFERROR(__xludf.DUMMYFUNCTION("""COMPUTED_VALUE"""),"Low (Inland)")</f>
        <v/>
      </c>
      <c r="F42" s="9">
        <f>IFERROR(__xludf.DUMMYFUNCTION("""COMPUTED_VALUE"""),"Smaller bushland village beyond Diamond Creek")</f>
        <v/>
      </c>
      <c r="G42" s="9">
        <f>IFERROR(__xludf.DUMMYFUNCTION("""COMPUTED_VALUE"""),0.0)</f>
        <v/>
      </c>
      <c r="H42" s="9">
        <f>IFERROR(__xludf.DUMMYFUNCTION("""COMPUTED_VALUE"""),"Not verified in report")</f>
        <v/>
      </c>
      <c r="I42" s="9" t="inlineStr"/>
      <c r="J42" s="13" t="n"/>
      <c r="K42" s="13" t="n"/>
      <c r="L42" s="9" t="inlineStr">
        <is>
          <t>Needs data</t>
        </is>
      </c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9" t="n">
        <v>0</v>
      </c>
      <c r="X42" s="9" t="inlineStr"/>
      <c r="Y42" s="9">
        <f>IFERROR(__xludf.DUMMYFUNCTION("""COMPUTED_VALUE"""),"")</f>
        <v/>
      </c>
      <c r="Z42" s="9">
        <f>IFERROR(__xludf.DUMMYFUNCTION("""COMPUTED_VALUE"""),"Hurstbridge rail terminus; test whether extra distance over Diamond Creek/Eltham adds value.")</f>
        <v/>
      </c>
      <c r="AA42" s="10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E42" s="17" t="n">
        <v>1500000</v>
      </c>
      <c r="AF42" s="0" t="inlineStr">
        <is>
          <t>Maximum purchase price, excluding transaction and moving costs</t>
        </is>
      </c>
      <c r="AG42" s="0" t="inlineStr">
        <is>
          <t>[Awaiting search]</t>
        </is>
      </c>
      <c r="AH42" s="0" t="inlineStr">
        <is>
          <t>26 Oct 2026</t>
        </is>
      </c>
      <c r="AI42" s="0" t="inlineStr">
        <is>
          <t>Needs data</t>
        </is>
      </c>
      <c r="AJ42" s="0" t="inlineStr">
        <is>
          <t>No verified pricing entered.</t>
        </is>
      </c>
    </row>
    <row r="43">
      <c r="A43" s="9">
        <f>IFERROR(__xludf.DUMMYFUNCTION("""COMPUTED_VALUE"""),"Ballarat")</f>
        <v/>
      </c>
      <c r="B43" s="9">
        <f>IFERROR(__xludf.DUMMYFUNCTION("""COMPUTED_VALUE"""),"Central Highlands")</f>
        <v/>
      </c>
      <c r="C43" s="9">
        <f>IFERROR(__xludf.DUMMYFUNCTION("""COMPUTED_VALUE"""),"Watchlist")</f>
        <v/>
      </c>
      <c r="D43" s="9">
        <f>IFERROR(__xludf.DUMMYFUNCTION("""COMPUTED_VALUE"""),"Medium-High (Lake Wendouree/gardens)")</f>
        <v/>
      </c>
      <c r="E43" s="9">
        <f>IFERROR(__xludf.DUMMYFUNCTION("""COMPUTED_VALUE"""),"Low (Inland lake)")</f>
        <v/>
      </c>
      <c r="F43" s="9">
        <f>IFERROR(__xludf.DUMMYFUNCTION("""COMPUTED_VALUE"""),"Major regional city control with Base Hospital ED")</f>
        <v/>
      </c>
      <c r="G43" s="9">
        <f>IFERROR(__xludf.DUMMYFUNCTION("""COMPUTED_VALUE"""),0.0)</f>
        <v/>
      </c>
      <c r="H43" s="9">
        <f>IFERROR(__xludf.DUMMYFUNCTION("""COMPUTED_VALUE"""),"Not verified in report")</f>
        <v/>
      </c>
      <c r="I43" s="9" t="inlineStr"/>
      <c r="J43" s="13" t="n"/>
      <c r="K43" s="13" t="n"/>
      <c r="L43" s="9" t="inlineStr">
        <is>
          <t>Needs data</t>
        </is>
      </c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9" t="n">
        <v>0</v>
      </c>
      <c r="X43" s="9" t="inlineStr"/>
      <c r="Y43" s="9">
        <f>IFERROR(__xludf.DUMMYFUNCTION("""COMPUTED_VALUE"""),"")</f>
        <v/>
      </c>
      <c r="Z43" s="9">
        <f>IFERROR(__xludf.DUMMYFUNCTION("""COMPUTED_VALUE"""),"Grampians Health Ballarat Base Hospital ED; test only if longer family journey to GW is acceptable.")</f>
        <v/>
      </c>
      <c r="AA43" s="10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E43" s="17" t="n">
        <v>1500000</v>
      </c>
      <c r="AF43" s="0" t="inlineStr">
        <is>
          <t>Maximum purchase price, excluding transaction and moving costs</t>
        </is>
      </c>
      <c r="AG43" s="0" t="inlineStr">
        <is>
          <t>[Awaiting search]</t>
        </is>
      </c>
      <c r="AH43" s="0" t="inlineStr">
        <is>
          <t>26 Oct 2026</t>
        </is>
      </c>
      <c r="AI43" s="0" t="inlineStr">
        <is>
          <t>Needs data</t>
        </is>
      </c>
      <c r="AJ43" s="0" t="inlineStr">
        <is>
          <t>No verified pricing entered.</t>
        </is>
      </c>
    </row>
    <row r="44">
      <c r="A44" s="9">
        <f>IFERROR(__xludf.DUMMYFUNCTION("""COMPUTED_VALUE"""),"Bendigo")</f>
        <v/>
      </c>
      <c r="B44" s="9">
        <f>IFERROR(__xludf.DUMMYFUNCTION("""COMPUTED_VALUE"""),"Central Victoria")</f>
        <v/>
      </c>
      <c r="C44" s="9">
        <f>IFERROR(__xludf.DUMMYFUNCTION("""COMPUTED_VALUE"""),"Watchlist")</f>
        <v/>
      </c>
      <c r="D44" s="9">
        <f>IFERROR(__xludf.DUMMYFUNCTION("""COMPUTED_VALUE"""),"Medium-High (Rosalind Park/bush)")</f>
        <v/>
      </c>
      <c r="E44" s="9">
        <f>IFERROR(__xludf.DUMMYFUNCTION("""COMPUTED_VALUE"""),"Low (Inland)")</f>
        <v/>
      </c>
      <c r="F44" s="9">
        <f>IFERROR(__xludf.DUMMYFUNCTION("""COMPUTED_VALUE"""),"Major regional city control with 24-hr ED")</f>
        <v/>
      </c>
      <c r="G44" s="9">
        <f>IFERROR(__xludf.DUMMYFUNCTION("""COMPUTED_VALUE"""),0.0)</f>
        <v/>
      </c>
      <c r="H44" s="9">
        <f>IFERROR(__xludf.DUMMYFUNCTION("""COMPUTED_VALUE"""),"Not verified in report")</f>
        <v/>
      </c>
      <c r="I44" s="9" t="inlineStr"/>
      <c r="J44" s="13" t="n"/>
      <c r="K44" s="13" t="n"/>
      <c r="L44" s="9" t="inlineStr">
        <is>
          <t>Needs data</t>
        </is>
      </c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9" t="n">
        <v>0</v>
      </c>
      <c r="X44" s="9" t="inlineStr"/>
      <c r="Y44" s="9">
        <f>IFERROR(__xludf.DUMMYFUNCTION("""COMPUTED_VALUE"""),"")</f>
        <v/>
      </c>
      <c r="Z44" s="9">
        <f>IFERROR(__xludf.DUMMYFUNCTION("""COMPUTED_VALUE"""),"Bendigo Hospital documented 24-hr/365-day ED; test only if regional travel distance is acceptable.")</f>
        <v/>
      </c>
      <c r="AA44" s="10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E44" s="17" t="n">
        <v>1500000</v>
      </c>
      <c r="AF44" s="0" t="inlineStr">
        <is>
          <t>Maximum purchase price, excluding transaction and moving costs</t>
        </is>
      </c>
      <c r="AG44" s="0" t="inlineStr">
        <is>
          <t>[Awaiting search]</t>
        </is>
      </c>
      <c r="AH44" s="0" t="inlineStr">
        <is>
          <t>26 Oct 2026</t>
        </is>
      </c>
      <c r="AI44" s="0" t="inlineStr">
        <is>
          <t>Needs data</t>
        </is>
      </c>
      <c r="AJ44" s="0" t="inlineStr">
        <is>
          <t>No verified pricing entered.</t>
        </is>
      </c>
    </row>
    <row r="45">
      <c r="A45" s="9">
        <f>IFERROR(__xludf.DUMMYFUNCTION("""COMPUTED_VALUE"""),"Dromana")</f>
        <v/>
      </c>
      <c r="B45" s="9">
        <f>IFERROR(__xludf.DUMMYFUNCTION("""COMPUTED_VALUE"""),"Mornington Peninsula")</f>
        <v/>
      </c>
      <c r="C45" s="9">
        <f>IFERROR(__xludf.DUMMYFUNCTION("""COMPUTED_VALUE"""),"Watchlist")</f>
        <v/>
      </c>
      <c r="D45" s="9">
        <f>IFERROR(__xludf.DUMMYFUNCTION("""COMPUTED_VALUE"""),"Medium (Arthurs Seat backdrop)")</f>
        <v/>
      </c>
      <c r="E45" s="9">
        <f>IFERROR(__xludf.DUMMYFUNCTION("""COMPUTED_VALUE"""),"High (Bay beach)")</f>
        <v/>
      </c>
      <c r="F45" s="9">
        <f>IFERROR(__xludf.DUMMYFUNCTION("""COMPUTED_VALUE"""),"Further-south Peninsula coastal comparator")</f>
        <v/>
      </c>
      <c r="G45" s="9">
        <f>IFERROR(__xludf.DUMMYFUNCTION("""COMPUTED_VALUE"""),0.0)</f>
        <v/>
      </c>
      <c r="H45" s="9">
        <f>IFERROR(__xludf.DUMMYFUNCTION("""COMPUTED_VALUE"""),"Not verified in report")</f>
        <v/>
      </c>
      <c r="I45" s="9" t="inlineStr"/>
      <c r="J45" s="13" t="n"/>
      <c r="K45" s="13" t="n"/>
      <c r="L45" s="9" t="inlineStr">
        <is>
          <t>Needs data</t>
        </is>
      </c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9" t="n">
        <v>0</v>
      </c>
      <c r="X45" s="9" t="inlineStr"/>
      <c r="Y45" s="9">
        <f>IFERROR(__xludf.DUMMYFUNCTION("""COMPUTED_VALUE"""),"")</f>
        <v/>
      </c>
      <c r="Z45" s="9">
        <f>IFERROR(__xludf.DUMMYFUNCTION("""COMPUTED_VALUE"""),"Compare Rosebud vs Frankston ED access and year-round vs holiday-town feel.")</f>
        <v/>
      </c>
      <c r="AA45" s="10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E45" s="17" t="n">
        <v>1500000</v>
      </c>
      <c r="AF45" s="0" t="inlineStr">
        <is>
          <t>Maximum purchase price, excluding transaction and moving costs</t>
        </is>
      </c>
      <c r="AG45" s="0" t="inlineStr">
        <is>
          <t>[Awaiting search]</t>
        </is>
      </c>
      <c r="AH45" s="0" t="inlineStr">
        <is>
          <t>26 Oct 2026</t>
        </is>
      </c>
      <c r="AI45" s="0" t="inlineStr">
        <is>
          <t>Needs data</t>
        </is>
      </c>
      <c r="AJ45" s="0" t="inlineStr">
        <is>
          <t>No verified pricing entered.</t>
        </is>
      </c>
    </row>
    <row r="46">
      <c r="A46" s="9">
        <f>IFERROR(__xludf.DUMMYFUNCTION("""COMPUTED_VALUE"""),"Castlemaine")</f>
        <v/>
      </c>
      <c r="B46" s="9">
        <f>IFERROR(__xludf.DUMMYFUNCTION("""COMPUTED_VALUE"""),"Central Victoria")</f>
        <v/>
      </c>
      <c r="C46" s="9">
        <f>IFERROR(__xludf.DUMMYFUNCTION("""COMPUTED_VALUE"""),"Watchlist")</f>
        <v/>
      </c>
      <c r="D46" s="9">
        <f>IFERROR(__xludf.DUMMYFUNCTION("""COMPUTED_VALUE"""),"High (Box-Ironbark bush/arts)")</f>
        <v/>
      </c>
      <c r="E46" s="9">
        <f>IFERROR(__xludf.DUMMYFUNCTION("""COMPUTED_VALUE"""),"Low (Inland)")</f>
        <v/>
      </c>
      <c r="F46" s="9">
        <f>IFERROR(__xludf.DUMMYFUNCTION("""COMPUTED_VALUE"""),"Historic country town on Bendigo V/Line")</f>
        <v/>
      </c>
      <c r="G46" s="9">
        <f>IFERROR(__xludf.DUMMYFUNCTION("""COMPUTED_VALUE"""),0.0)</f>
        <v/>
      </c>
      <c r="H46" s="9">
        <f>IFERROR(__xludf.DUMMYFUNCTION("""COMPUTED_VALUE"""),"Not verified in report")</f>
        <v/>
      </c>
      <c r="I46" s="9" t="inlineStr"/>
      <c r="J46" s="13" t="n"/>
      <c r="K46" s="13" t="n"/>
      <c r="L46" s="9" t="inlineStr">
        <is>
          <t>Needs data</t>
        </is>
      </c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9" t="n">
        <v>0</v>
      </c>
      <c r="X46" s="9" t="inlineStr"/>
      <c r="Y46" s="9">
        <f>IFERROR(__xludf.DUMMYFUNCTION("""COMPUTED_VALUE"""),"")</f>
        <v/>
      </c>
      <c r="Z46" s="9">
        <f>IFERROR(__xludf.DUMMYFUNCTION("""COMPUTED_VALUE"""),"Do not assume local health service equals a major 24-hr ED; Bendigo ED is reference point.")</f>
        <v/>
      </c>
      <c r="AA46" s="10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E46" s="17" t="n">
        <v>1500000</v>
      </c>
      <c r="AF46" s="0" t="inlineStr">
        <is>
          <t>Maximum purchase price, excluding transaction and moving costs</t>
        </is>
      </c>
      <c r="AG46" s="0" t="inlineStr">
        <is>
          <t>[Awaiting search]</t>
        </is>
      </c>
      <c r="AH46" s="0" t="inlineStr">
        <is>
          <t>26 Oct 2026</t>
        </is>
      </c>
      <c r="AI46" s="0" t="inlineStr">
        <is>
          <t>Needs data</t>
        </is>
      </c>
      <c r="AJ46" s="0" t="inlineStr">
        <is>
          <t>No verified pricing entered.</t>
        </is>
      </c>
    </row>
    <row r="47">
      <c r="A47" s="9">
        <f>IFERROR(__xludf.DUMMYFUNCTION("""COMPUTED_VALUE"""),"Wonthaggi")</f>
        <v/>
      </c>
      <c r="B47" s="9">
        <f>IFERROR(__xludf.DUMMYFUNCTION("""COMPUTED_VALUE"""),"Bass Coast")</f>
        <v/>
      </c>
      <c r="C47" s="9">
        <f>IFERROR(__xludf.DUMMYFUNCTION("""COMPUTED_VALUE"""),"Watchlist")</f>
        <v/>
      </c>
      <c r="D47" s="9">
        <f>IFERROR(__xludf.DUMMYFUNCTION("""COMPUTED_VALUE"""),"Medium (Coastal hinterland)")</f>
        <v/>
      </c>
      <c r="E47" s="9">
        <f>IFERROR(__xludf.DUMMYFUNCTION("""COMPUTED_VALUE"""),"High (Near Bass Coast)")</f>
        <v/>
      </c>
      <c r="F47" s="9">
        <f>IFERROR(__xludf.DUMMYFUNCTION("""COMPUTED_VALUE"""),"Coastal Gippsland service-centre comparator")</f>
        <v/>
      </c>
      <c r="G47" s="9">
        <f>IFERROR(__xludf.DUMMYFUNCTION("""COMPUTED_VALUE"""),0.0)</f>
        <v/>
      </c>
      <c r="H47" s="9">
        <f>IFERROR(__xludf.DUMMYFUNCTION("""COMPUTED_VALUE"""),"Not verified in report")</f>
        <v/>
      </c>
      <c r="I47" s="9" t="inlineStr"/>
      <c r="J47" s="13" t="n"/>
      <c r="K47" s="13" t="n"/>
      <c r="L47" s="9" t="inlineStr">
        <is>
          <t>Needs data</t>
        </is>
      </c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9" t="n">
        <v>0</v>
      </c>
      <c r="X47" s="9" t="inlineStr"/>
      <c r="Y47" s="9">
        <f>IFERROR(__xludf.DUMMYFUNCTION("""COMPUTED_VALUE"""),"")</f>
        <v/>
      </c>
      <c r="Z47" s="9">
        <f>IFERROR(__xludf.DUMMYFUNCTION("""COMPUTED_VALUE"""),"Bass Coast Health Wonthaggi Hospital; verify ED capability &amp; GW travel time before promoting.")</f>
        <v/>
      </c>
      <c r="AA47" s="10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E47" s="17" t="n">
        <v>1500000</v>
      </c>
      <c r="AF47" s="0" t="inlineStr">
        <is>
          <t>Maximum purchase price, excluding transaction and moving costs</t>
        </is>
      </c>
      <c r="AG47" s="0" t="inlineStr">
        <is>
          <t>[Awaiting search]</t>
        </is>
      </c>
      <c r="AH47" s="0" t="inlineStr">
        <is>
          <t>26 Oct 2026</t>
        </is>
      </c>
      <c r="AI47" s="0" t="inlineStr">
        <is>
          <t>Needs data</t>
        </is>
      </c>
      <c r="AJ47" s="0" t="inlineStr">
        <is>
          <t>No verified pricing entered.</t>
        </is>
      </c>
    </row>
    <row r="48">
      <c r="A48" s="9">
        <f>IFERROR(__xludf.DUMMYFUNCTION("""COMPUTED_VALUE"""),"Inverloch")</f>
        <v/>
      </c>
      <c r="B48" s="9">
        <f>IFERROR(__xludf.DUMMYFUNCTION("""COMPUTED_VALUE"""),"Bass Coast")</f>
        <v/>
      </c>
      <c r="C48" s="9">
        <f>IFERROR(__xludf.DUMMYFUNCTION("""COMPUTED_VALUE"""),"Watchlist")</f>
        <v/>
      </c>
      <c r="D48" s="9">
        <f>IFERROR(__xludf.DUMMYFUNCTION("""COMPUTED_VALUE"""),"Medium (Screw Creek/foreshore)")</f>
        <v/>
      </c>
      <c r="E48" s="9">
        <f>IFERROR(__xludf.DUMMYFUNCTION("""COMPUTED_VALUE"""),"High (Inlet &amp; surf beach)")</f>
        <v/>
      </c>
      <c r="F48" s="9">
        <f>IFERROR(__xludf.DUMMYFUNCTION("""COMPUTED_VALUE"""),"Coastal Gippsland lifestyle counterpart to Wonthaggi")</f>
        <v/>
      </c>
      <c r="G48" s="9">
        <f>IFERROR(__xludf.DUMMYFUNCTION("""COMPUTED_VALUE"""),0.0)</f>
        <v/>
      </c>
      <c r="H48" s="9">
        <f>IFERROR(__xludf.DUMMYFUNCTION("""COMPUTED_VALUE"""),"Not verified in report")</f>
        <v/>
      </c>
      <c r="I48" s="9" t="inlineStr"/>
      <c r="J48" s="13" t="n"/>
      <c r="K48" s="13" t="n"/>
      <c r="L48" s="9" t="inlineStr">
        <is>
          <t>Needs data</t>
        </is>
      </c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9" t="n">
        <v>0</v>
      </c>
      <c r="X48" s="9" t="inlineStr"/>
      <c r="Y48" s="9">
        <f>IFERROR(__xludf.DUMMYFUNCTION("""COMPUTED_VALUE"""),"")</f>
        <v/>
      </c>
      <c r="Z48" s="9">
        <f>IFERROR(__xludf.DUMMYFUNCTION("""COMPUTED_VALUE"""),"Shared pathway &amp; inlet walks; no passenger rail; verify Wonthaggi/Latrobe ED drive.")</f>
        <v/>
      </c>
      <c r="AA48" s="10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E48" s="17" t="n">
        <v>1500000</v>
      </c>
      <c r="AF48" s="0" t="inlineStr">
        <is>
          <t>Maximum purchase price, excluding transaction and moving costs</t>
        </is>
      </c>
      <c r="AG48" s="0" t="inlineStr">
        <is>
          <t>[Awaiting search]</t>
        </is>
      </c>
      <c r="AH48" s="0" t="inlineStr">
        <is>
          <t>26 Oct 2026</t>
        </is>
      </c>
      <c r="AI48" s="0" t="inlineStr">
        <is>
          <t>Needs data</t>
        </is>
      </c>
      <c r="AJ48" s="0" t="inlineStr">
        <is>
          <t>No verified pricing entered.</t>
        </is>
      </c>
    </row>
    <row r="49">
      <c r="A49" s="9">
        <f>IFERROR(__xludf.DUMMYFUNCTION("""COMPUTED_VALUE"""),"[SYNTHETIC TEST — Ringwood Leafy Pocket]")</f>
        <v/>
      </c>
      <c r="B49" s="9">
        <f>IFERROR(__xludf.DUMMYFUNCTION("""COMPUTED_VALUE"""),"East Melbourne")</f>
        <v/>
      </c>
      <c r="C49" s="9">
        <f>IFERROR(__xludf.DUMMYFUNCTION("""COMPUTED_VALUE"""),"Synthetic Test")</f>
        <v/>
      </c>
      <c r="D49" s="9">
        <f>IFERROR(__xludf.DUMMYFUNCTION("""COMPUTED_VALUE"""),"Medium-High")</f>
        <v/>
      </c>
      <c r="E49" s="9">
        <f>IFERROR(__xludf.DUMMYFUNCTION("""COMPUTED_VALUE"""),"Low")</f>
        <v/>
      </c>
      <c r="F49" s="9">
        <f>IFERROR(__xludf.DUMMYFUNCTION("""COMPUTED_VALUE"""),"Synthetic test row verifying Pass &amp; Rank math")</f>
        <v/>
      </c>
      <c r="G49" s="9">
        <f>IFERROR(__xludf.DUMMYFUNCTION("""COMPUTED_VALUE"""),1045000.0)</f>
        <v/>
      </c>
      <c r="H49" s="9">
        <f>IFERROR(__xludf.DUMMYFUNCTION("""COMPUTED_VALUE"""),"Synthetic test row (clear before live use)")</f>
        <v/>
      </c>
      <c r="I49" s="9" t="n">
        <v>1107700</v>
      </c>
      <c r="J49" s="13" t="n">
        <v>18</v>
      </c>
      <c r="K49" s="13" t="n">
        <v>12</v>
      </c>
      <c r="L49" s="9" t="inlineStr">
        <is>
          <t>Excluded: test row</t>
        </is>
      </c>
      <c r="M49" s="13" t="n">
        <v>7</v>
      </c>
      <c r="N49" s="13" t="n">
        <v>8</v>
      </c>
      <c r="O49" s="13" t="n">
        <v>7</v>
      </c>
      <c r="P49" s="13" t="n">
        <v>2</v>
      </c>
      <c r="Q49" s="13" t="n">
        <v>9</v>
      </c>
      <c r="R49" s="13" t="n">
        <v>9</v>
      </c>
      <c r="S49" s="13" t="n">
        <v>8</v>
      </c>
      <c r="T49" s="13" t="n">
        <v>6</v>
      </c>
      <c r="U49" s="13" t="n">
        <v>8</v>
      </c>
      <c r="V49" s="13" t="n">
        <v>8</v>
      </c>
      <c r="W49" s="9" t="n">
        <v>10</v>
      </c>
      <c r="X49" s="9" t="n">
        <v>7.046</v>
      </c>
      <c r="Y49" s="9">
        <f>IFERROR(__xludf.DUMMYFUNCTION("""COMPUTED_VALUE"""),"")</f>
        <v/>
      </c>
      <c r="Z49" s="9">
        <f>IFERROR(__xludf.DUMMYFUNCTION("""COMPUTED_VALUE"""),"[SYNTHETIC TEST] Demonstrates 'Pass' &amp; Rank #1 when drive times &amp; 0-10 scores are entered.")</f>
        <v/>
      </c>
      <c r="AA49" s="10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17" t="n">
        <v>1500000</v>
      </c>
      <c r="AF49" s="0" t="inlineStr">
        <is>
          <t>Maximum purchase price, excluding transaction and moving costs</t>
        </is>
      </c>
      <c r="AG49" s="0" t="inlineStr">
        <is>
          <t>Benchmark synthetic price</t>
        </is>
      </c>
      <c r="AH49" s="0" t="inlineStr">
        <is>
          <t>26 Oct 2026</t>
        </is>
      </c>
      <c r="AI49" s="0" t="inlineStr">
        <is>
          <t>Pass</t>
        </is>
      </c>
      <c r="AJ49" s="0" t="inlineStr">
        <is>
          <t>Synthetic test calibration model.</t>
        </is>
      </c>
    </row>
    <row r="50">
      <c r="A50" s="9">
        <f>IFERROR(__xludf.DUMMYFUNCTION("""COMPUTED_VALUE"""),"[SYNTHETIC TEST — Ocean Grove Woodland Pocket]")</f>
        <v/>
      </c>
      <c r="B50" s="9">
        <f>IFERROR(__xludf.DUMMYFUNCTION("""COMPUTED_VALUE"""),"Bellarine Peninsula")</f>
        <v/>
      </c>
      <c r="C50" s="9">
        <f>IFERROR(__xludf.DUMMYFUNCTION("""COMPUTED_VALUE"""),"Synthetic Test")</f>
        <v/>
      </c>
      <c r="D50" s="9">
        <f>IFERROR(__xludf.DUMMYFUNCTION("""COMPUTED_VALUE"""),"Medium-High")</f>
        <v/>
      </c>
      <c r="E50" s="9">
        <f>IFERROR(__xludf.DUMMYFUNCTION("""COMPUTED_VALUE"""),"High")</f>
        <v/>
      </c>
      <c r="F50" s="9">
        <f>IFERROR(__xludf.DUMMYFUNCTION("""COMPUTED_VALUE"""),"Synthetic test row verifying coastal vs GW filter")</f>
        <v/>
      </c>
      <c r="G50" s="9">
        <f>IFERROR(__xludf.DUMMYFUNCTION("""COMPUTED_VALUE"""),980000.0)</f>
        <v/>
      </c>
      <c r="H50" s="9">
        <f>IFERROR(__xludf.DUMMYFUNCTION("""COMPUTED_VALUE"""),"Synthetic test row (clear before live use)")</f>
        <v/>
      </c>
      <c r="I50" s="9" t="n">
        <v>1038800</v>
      </c>
      <c r="J50" s="13" t="n">
        <v>24</v>
      </c>
      <c r="K50" s="13" t="n">
        <v>19</v>
      </c>
      <c r="L50" s="9" t="inlineStr">
        <is>
          <t>Excluded: test row</t>
        </is>
      </c>
      <c r="M50" s="13" t="n">
        <v>9</v>
      </c>
      <c r="N50" s="13" t="n">
        <v>5</v>
      </c>
      <c r="O50" s="13" t="n">
        <v>4</v>
      </c>
      <c r="P50" s="13" t="n">
        <v>10</v>
      </c>
      <c r="Q50" s="13" t="n">
        <v>7</v>
      </c>
      <c r="R50" s="13" t="n">
        <v>5</v>
      </c>
      <c r="S50" s="13" t="n">
        <v>7</v>
      </c>
      <c r="T50" s="13" t="n">
        <v>8</v>
      </c>
      <c r="U50" s="13" t="n">
        <v>9</v>
      </c>
      <c r="V50" s="13" t="n">
        <v>5</v>
      </c>
      <c r="W50" s="9" t="n">
        <v>10</v>
      </c>
      <c r="X50" s="9" t="n">
        <v>6.928999999999998</v>
      </c>
      <c r="Y50" s="9">
        <f>IFERROR(__xludf.DUMMYFUNCTION("""COMPUTED_VALUE"""),"")</f>
        <v/>
      </c>
      <c r="Z50" s="9">
        <f>IFERROR(__xludf.DUMMYFUNCTION("""COMPUTED_VALUE"""),"[SYNTHETIC TEST] Demonstrates 'Pass' &amp; Rank #2 under 25-min GW / 20-min ED test limits.")</f>
        <v/>
      </c>
      <c r="AA50" s="10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17" t="n">
        <v>1500000</v>
      </c>
      <c r="AF50" s="0" t="inlineStr">
        <is>
          <t>Maximum purchase price, excluding transaction and moving costs</t>
        </is>
      </c>
      <c r="AG50" s="0" t="inlineStr">
        <is>
          <t>Benchmark synthetic price</t>
        </is>
      </c>
      <c r="AH50" s="0" t="inlineStr">
        <is>
          <t>26 Oct 2026</t>
        </is>
      </c>
      <c r="AI50" s="0" t="inlineStr">
        <is>
          <t>Pass</t>
        </is>
      </c>
      <c r="AJ50" s="0" t="inlineStr">
        <is>
          <t>Synthetic test calibration model.</t>
        </is>
      </c>
    </row>
    <row r="51">
      <c r="A51" s="10">
        <f>IFERROR(__xludf.DUMMYFUNCTION("""COMPUTED_VALUE"""),"Rosebud")</f>
        <v/>
      </c>
      <c r="B51" s="10">
        <f>IFERROR(__xludf.DUMMYFUNCTION("""COMPUTED_VALUE"""),"Mornington Peninsula")</f>
        <v/>
      </c>
      <c r="C51" s="10">
        <f>IFERROR(__xludf.DUMMYFUNCTION("""COMPUTED_VALUE"""),"Open-mind viewing")</f>
        <v/>
      </c>
      <c r="D51" s="10">
        <f>IFERROR(__xludf.DUMMYFUNCTION("""COMPUTED_VALUE"""),"Low-Medium (Coastal)")</f>
        <v/>
      </c>
      <c r="E51" s="10">
        <f>IFERROR(__xludf.DUMMYFUNCTION("""COMPUTED_VALUE"""),"High (Bay beach)")</f>
        <v/>
      </c>
      <c r="F51" s="10">
        <f>IFERROR(__xludf.DUMMYFUNCTION("""COMPUTED_VALUE"""),"Open-mind viewing: calibrate coastal feel against bush")</f>
        <v/>
      </c>
      <c r="G51" s="10">
        <f>IFERROR(__xludf.DUMMYFUNCTION("""COMPUTED_VALUE"""),0.0)</f>
        <v/>
      </c>
      <c r="H51" s="10">
        <f>IFERROR(__xludf.DUMMYFUNCTION("""COMPUTED_VALUE"""),"Not verified")</f>
        <v/>
      </c>
      <c r="I51" s="10" t="inlineStr"/>
      <c r="L51" s="10" t="inlineStr">
        <is>
          <t>Needs data</t>
        </is>
      </c>
      <c r="O51" s="10">
        <f>IF(K51="","",ROUND(MAX(0,10*(1-K51/Filters!$B$5)),1))</f>
        <v/>
      </c>
      <c r="W51" s="10" t="n">
        <v>0</v>
      </c>
      <c r="X51" s="10" t="inlineStr"/>
      <c r="Y51" s="10">
        <f>IFERROR(__xludf.DUMMYFUNCTION("""COMPUTED_VALUE"""),"")</f>
        <v/>
      </c>
      <c r="Z51" s="10">
        <f>IFERROR(__xludf.DUMMYFUNCTION("""COMPUTED_VALUE"""),"OPEN-MIND VIEWING PICK (nominated by NJD): view for calibration. Verify year-round services vs holiday-town feel, local ED status and drive to a 24-hr public ED, GW drive and price.")</f>
        <v/>
      </c>
      <c r="AA51" s="10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0" t="inlineStr">
        <is>
          <t>No</t>
        </is>
      </c>
      <c r="AC51" s="10" t="inlineStr">
        <is>
          <t>No passenger rail on the Peninsula south of Frankston (from recall; verify)</t>
        </is>
      </c>
      <c r="AD51" s="10" t="inlineStr">
        <is>
          <t>Needs data (verify Frankston/Peninsula Univ Hospital vs local)</t>
        </is>
      </c>
      <c r="AE51" s="17" t="n">
        <v>1500000</v>
      </c>
      <c r="AF51" s="0" t="inlineStr">
        <is>
          <t>Maximum purchase price, excluding transaction and moving costs</t>
        </is>
      </c>
      <c r="AG51" s="0" t="inlineStr">
        <is>
          <t>[Awaiting search]</t>
        </is>
      </c>
      <c r="AH51" s="0" t="inlineStr">
        <is>
          <t>26 Oct 2026</t>
        </is>
      </c>
      <c r="AI51" s="0" t="inlineStr">
        <is>
          <t>Needs data</t>
        </is>
      </c>
      <c r="AJ51" s="0" t="inlineStr">
        <is>
          <t>No verified pricing entered.</t>
        </is>
      </c>
    </row>
    <row r="52">
      <c r="A52" s="10">
        <f>IFERROR(__xludf.DUMMYFUNCTION("""COMPUTED_VALUE"""),"Rye")</f>
        <v/>
      </c>
      <c r="B52" s="10">
        <f>IFERROR(__xludf.DUMMYFUNCTION("""COMPUTED_VALUE"""),"Mornington Peninsula")</f>
        <v/>
      </c>
      <c r="C52" s="10">
        <f>IFERROR(__xludf.DUMMYFUNCTION("""COMPUTED_VALUE"""),"Open-mind viewing")</f>
        <v/>
      </c>
      <c r="D52" s="10">
        <f>IFERROR(__xludf.DUMMYFUNCTION("""COMPUTED_VALUE"""),"Low-Medium (Coastal)")</f>
        <v/>
      </c>
      <c r="E52" s="10">
        <f>IFERROR(__xludf.DUMMYFUNCTION("""COMPUTED_VALUE"""),"High (Bay/ocean beach)")</f>
        <v/>
      </c>
      <c r="F52" s="10">
        <f>IFERROR(__xludf.DUMMYFUNCTION("""COMPUTED_VALUE"""),"Open-mind viewing: calibrate coastal feel against bush")</f>
        <v/>
      </c>
      <c r="G52" s="10">
        <f>IFERROR(__xludf.DUMMYFUNCTION("""COMPUTED_VALUE"""),0.0)</f>
        <v/>
      </c>
      <c r="H52" s="10">
        <f>IFERROR(__xludf.DUMMYFUNCTION("""COMPUTED_VALUE"""),"Not verified")</f>
        <v/>
      </c>
      <c r="I52" s="10" t="inlineStr"/>
      <c r="L52" s="10" t="inlineStr">
        <is>
          <t>Needs data</t>
        </is>
      </c>
      <c r="O52" s="10">
        <f>IF(K52="","",ROUND(MAX(0,10*(1-K52/Filters!$B$5)),1))</f>
        <v/>
      </c>
      <c r="W52" s="10" t="n">
        <v>0</v>
      </c>
      <c r="X52" s="10" t="inlineStr"/>
      <c r="Y52" s="10">
        <f>IFERROR(__xludf.DUMMYFUNCTION("""COMPUTED_VALUE"""),"")</f>
        <v/>
      </c>
      <c r="Z52" s="10">
        <f>IFERROR(__xludf.DUMMYFUNCTION("""COMPUTED_VALUE"""),"OPEN-MIND VIEWING PICK (nominated by NJD): view for calibration. Verify year-round services vs holiday-town feel, ED access (nearest 24-hr public ED likely Frankston/Peninsula Univ Hospital), GW drive and price.")</f>
        <v/>
      </c>
      <c r="AA52" s="10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0" t="inlineStr">
        <is>
          <t>No</t>
        </is>
      </c>
      <c r="AC52" s="10" t="inlineStr">
        <is>
          <t>No passenger rail on the Peninsula south of Frankston (from recall; verify)</t>
        </is>
      </c>
      <c r="AD52" s="10" t="inlineStr">
        <is>
          <t>Needs data (verify Frankston/Peninsula Univ Hospital vs local)</t>
        </is>
      </c>
      <c r="AE52" s="17" t="n">
        <v>1500000</v>
      </c>
      <c r="AF52" s="0" t="inlineStr">
        <is>
          <t>Maximum purchase price, excluding transaction and moving costs</t>
        </is>
      </c>
      <c r="AG52" s="0" t="inlineStr">
        <is>
          <t>[Awaiting search]</t>
        </is>
      </c>
      <c r="AH52" s="0" t="inlineStr">
        <is>
          <t>26 Oct 2026</t>
        </is>
      </c>
      <c r="AI52" s="0" t="inlineStr">
        <is>
          <t>Needs data</t>
        </is>
      </c>
      <c r="AJ52" s="0" t="inlineStr">
        <is>
          <t>No verified pricing entered.</t>
        </is>
      </c>
    </row>
    <row r="53">
      <c r="A53" s="10">
        <f>IFERROR(__xludf.DUMMYFUNCTION("""COMPUTED_VALUE"""),"Gisborne")</f>
        <v/>
      </c>
      <c r="B53" s="10">
        <f>IFERROR(__xludf.DUMMYFUNCTION("""COMPUTED_VALUE"""),"Macedon Ranges")</f>
        <v/>
      </c>
      <c r="C53" s="10">
        <f>IFERROR(__xludf.DUMMYFUNCTION("""COMPUTED_VALUE"""),"Watchlist")</f>
        <v/>
      </c>
      <c r="D53" s="10">
        <f>IFERROR(__xludf.DUMMYFUNCTION("""COMPUTED_VALUE"""),"Medium-High (Rural/gardens)")</f>
        <v/>
      </c>
      <c r="E53" s="10">
        <f>IFERROR(__xludf.DUMMYFUNCTION("""COMPUTED_VALUE"""),"Low (Inland)")</f>
        <v/>
      </c>
      <c r="F53" s="10">
        <f>IFERROR(__xludf.DUMMYFUNCTION("""COMPUTED_VALUE"""),"Regional town close to Melbourne, distinct from Woodend and Macedon")</f>
        <v/>
      </c>
      <c r="G53" s="10">
        <f>IFERROR(__xludf.DUMMYFUNCTION("""COMPUTED_VALUE"""),0.0)</f>
        <v/>
      </c>
      <c r="H53" s="10">
        <f>IFERROR(__xludf.DUMMYFUNCTION("""COMPUTED_VALUE"""),"Not verified")</f>
        <v/>
      </c>
      <c r="I53" s="10" t="inlineStr"/>
      <c r="L53" s="10" t="inlineStr">
        <is>
          <t>Needs data</t>
        </is>
      </c>
      <c r="O53" s="10">
        <f>IF(K53="","",ROUND(MAX(0,10*(1-K53/Filters!$B$5)),1))</f>
        <v/>
      </c>
      <c r="W53" s="10" t="n">
        <v>0</v>
      </c>
      <c r="X53" s="10" t="inlineStr"/>
      <c r="Y53" s="10">
        <f>IFERROR(__xludf.DUMMYFUNCTION("""COMPUTED_VALUE"""),"")</f>
        <v/>
      </c>
      <c r="Z53" s="10">
        <f>IFERROR(__xludf.DUMMYFUNCTION("""COMPUTED_VALUE"""),"Regional add (within about 1.5 hrs of Melbourne, from recall; verify). Verify train access (nearest V/Line may be Riddells Creek), GW drive, price and nearest major public ED.")</f>
        <v/>
      </c>
      <c r="AA53" s="10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C53" s="10" t="inlineStr">
        <is>
          <t>Needs data</t>
        </is>
      </c>
      <c r="AD53" s="10" t="inlineStr">
        <is>
          <t>Needs data</t>
        </is>
      </c>
      <c r="AE53" s="17" t="n">
        <v>1500000</v>
      </c>
      <c r="AF53" s="0" t="inlineStr">
        <is>
          <t>Maximum purchase price, excluding transaction and moving costs</t>
        </is>
      </c>
      <c r="AG53" s="0" t="inlineStr">
        <is>
          <t>[Awaiting search]</t>
        </is>
      </c>
      <c r="AH53" s="0" t="inlineStr">
        <is>
          <t>26 Oct 2026</t>
        </is>
      </c>
      <c r="AI53" s="0" t="inlineStr">
        <is>
          <t>Needs data</t>
        </is>
      </c>
      <c r="AJ53" s="0" t="inlineStr">
        <is>
          <t>No verified pricing entered.</t>
        </is>
      </c>
    </row>
    <row r="54">
      <c r="A54" s="10">
        <f>IFERROR(__xludf.DUMMYFUNCTION("""COMPUTED_VALUE"""),"Riddells Creek")</f>
        <v/>
      </c>
      <c r="B54" s="10">
        <f>IFERROR(__xludf.DUMMYFUNCTION("""COMPUTED_VALUE"""),"Macedon Ranges")</f>
        <v/>
      </c>
      <c r="C54" s="10">
        <f>IFERROR(__xludf.DUMMYFUNCTION("""COMPUTED_VALUE"""),"Watchlist")</f>
        <v/>
      </c>
      <c r="D54" s="10">
        <f>IFERROR(__xludf.DUMMYFUNCTION("""COMPUTED_VALUE"""),"Medium-High (Village/countryside)")</f>
        <v/>
      </c>
      <c r="E54" s="10">
        <f>IFERROR(__xludf.DUMMYFUNCTION("""COMPUTED_VALUE"""),"Low (Inland)")</f>
        <v/>
      </c>
      <c r="F54" s="10">
        <f>IFERROR(__xludf.DUMMYFUNCTION("""COMPUTED_VALUE"""),"Small village with V/Line access (to verify)")</f>
        <v/>
      </c>
      <c r="G54" s="10">
        <f>IFERROR(__xludf.DUMMYFUNCTION("""COMPUTED_VALUE"""),0.0)</f>
        <v/>
      </c>
      <c r="H54" s="10">
        <f>IFERROR(__xludf.DUMMYFUNCTION("""COMPUTED_VALUE"""),"Not verified")</f>
        <v/>
      </c>
      <c r="I54" s="10" t="inlineStr"/>
      <c r="L54" s="10" t="inlineStr">
        <is>
          <t>Needs data</t>
        </is>
      </c>
      <c r="O54" s="10">
        <f>IF(K54="","",ROUND(MAX(0,10*(1-K54/Filters!$B$5)),1))</f>
        <v/>
      </c>
      <c r="W54" s="10" t="n">
        <v>0</v>
      </c>
      <c r="X54" s="10" t="inlineStr"/>
      <c r="Y54" s="10">
        <f>IFERROR(__xludf.DUMMYFUNCTION("""COMPUTED_VALUE"""),"")</f>
        <v/>
      </c>
      <c r="Z54" s="10">
        <f>IFERROR(__xludf.DUMMYFUNCTION("""COMPUTED_VALUE"""),"Regional add (within about 1.5 hrs of Melbourne, from recall; verify). Verify V/Line station and service frequency, GW drive, price and nearest major public ED.")</f>
        <v/>
      </c>
      <c r="AA54" s="10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C54" s="10" t="inlineStr">
        <is>
          <t>Needs data</t>
        </is>
      </c>
      <c r="AD54" s="10" t="inlineStr">
        <is>
          <t>Needs data</t>
        </is>
      </c>
      <c r="AE54" s="17" t="n">
        <v>1500000</v>
      </c>
      <c r="AF54" s="0" t="inlineStr">
        <is>
          <t>Maximum purchase price, excluding transaction and moving costs</t>
        </is>
      </c>
      <c r="AG54" s="0" t="inlineStr">
        <is>
          <t>[Awaiting search]</t>
        </is>
      </c>
      <c r="AH54" s="0" t="inlineStr">
        <is>
          <t>26 Oct 2026</t>
        </is>
      </c>
      <c r="AI54" s="0" t="inlineStr">
        <is>
          <t>Needs data</t>
        </is>
      </c>
      <c r="AJ54" s="0" t="inlineStr">
        <is>
          <t>No verified pricing entered.</t>
        </is>
      </c>
    </row>
    <row r="55">
      <c r="A55" s="10">
        <f>IFERROR(__xludf.DUMMYFUNCTION("""COMPUTED_VALUE"""),"Yarra Glen")</f>
        <v/>
      </c>
      <c r="B55" s="10">
        <f>IFERROR(__xludf.DUMMYFUNCTION("""COMPUTED_VALUE"""),"Yarra Valley")</f>
        <v/>
      </c>
      <c r="C55" s="10">
        <f>IFERROR(__xludf.DUMMYFUNCTION("""COMPUTED_VALUE"""),"Watchlist")</f>
        <v/>
      </c>
      <c r="D55" s="10">
        <f>IFERROR(__xludf.DUMMYFUNCTION("""COMPUTED_VALUE"""),"High (Valley/vineyards)")</f>
        <v/>
      </c>
      <c r="E55" s="10">
        <f>IFERROR(__xludf.DUMMYFUNCTION("""COMPUTED_VALUE"""),"Low (Inland)")</f>
        <v/>
      </c>
      <c r="F55" s="10">
        <f>IFERROR(__xludf.DUMMYFUNCTION("""COMPUTED_VALUE"""),"Yarra Valley village, quieter than Healesville")</f>
        <v/>
      </c>
      <c r="G55" s="10">
        <f>IFERROR(__xludf.DUMMYFUNCTION("""COMPUTED_VALUE"""),0.0)</f>
        <v/>
      </c>
      <c r="H55" s="10">
        <f>IFERROR(__xludf.DUMMYFUNCTION("""COMPUTED_VALUE"""),"Not verified")</f>
        <v/>
      </c>
      <c r="I55" s="10" t="inlineStr"/>
      <c r="L55" s="10" t="inlineStr">
        <is>
          <t>Needs data</t>
        </is>
      </c>
      <c r="O55" s="10">
        <f>IF(K55="","",ROUND(MAX(0,10*(1-K55/Filters!$B$5)),1))</f>
        <v/>
      </c>
      <c r="W55" s="10" t="n">
        <v>0</v>
      </c>
      <c r="X55" s="10" t="inlineStr"/>
      <c r="Y55" s="10">
        <f>IFERROR(__xludf.DUMMYFUNCTION("""COMPUTED_VALUE"""),"")</f>
        <v/>
      </c>
      <c r="Z55" s="10">
        <f>IFERROR(__xludf.DUMMYFUNCTION("""COMPUTED_VALUE"""),"Regional add (within about 1.5 hrs of Melbourne, from recall; verify). Likely no train; verify GW drive, price and ED journey (Maroondah/Angliss). Compare with Healesville.")</f>
        <v/>
      </c>
      <c r="AA55" s="10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C55" s="10" t="inlineStr">
        <is>
          <t>Needs data</t>
        </is>
      </c>
      <c r="AD55" s="10" t="inlineStr">
        <is>
          <t>Needs data</t>
        </is>
      </c>
      <c r="AE55" s="17" t="n">
        <v>1500000</v>
      </c>
      <c r="AF55" s="0" t="inlineStr">
        <is>
          <t>Maximum purchase price, excluding transaction and moving costs</t>
        </is>
      </c>
      <c r="AG55" s="0" t="inlineStr">
        <is>
          <t>[Awaiting search]</t>
        </is>
      </c>
      <c r="AH55" s="0" t="inlineStr">
        <is>
          <t>26 Oct 2026</t>
        </is>
      </c>
      <c r="AI55" s="0" t="inlineStr">
        <is>
          <t>Needs data</t>
        </is>
      </c>
      <c r="AJ55" s="0" t="inlineStr">
        <is>
          <t>No verified pricing entered.</t>
        </is>
      </c>
    </row>
    <row r="56">
      <c r="A56" s="10">
        <f>IFERROR(__xludf.DUMMYFUNCTION("""COMPUTED_VALUE"""),"Drouin")</f>
        <v/>
      </c>
      <c r="B56" s="10">
        <f>IFERROR(__xludf.DUMMYFUNCTION("""COMPUTED_VALUE"""),"West Gippsland")</f>
        <v/>
      </c>
      <c r="C56" s="10">
        <f>IFERROR(__xludf.DUMMYFUNCTION("""COMPUTED_VALUE"""),"Watchlist")</f>
        <v/>
      </c>
      <c r="D56" s="10">
        <f>IFERROR(__xludf.DUMMYFUNCTION("""COMPUTED_VALUE"""),"Medium-High (Hills/gardens)")</f>
        <v/>
      </c>
      <c r="E56" s="10">
        <f>IFERROR(__xludf.DUMMYFUNCTION("""COMPUTED_VALUE"""),"Low (Inland)")</f>
        <v/>
      </c>
      <c r="F56" s="10">
        <f>IFERROR(__xludf.DUMMYFUNCTION("""COMPUTED_VALUE"""),"Gippsland-corridor town alongside Warragul")</f>
        <v/>
      </c>
      <c r="G56" s="10">
        <f>IFERROR(__xludf.DUMMYFUNCTION("""COMPUTED_VALUE"""),0.0)</f>
        <v/>
      </c>
      <c r="H56" s="10">
        <f>IFERROR(__xludf.DUMMYFUNCTION("""COMPUTED_VALUE"""),"Not verified")</f>
        <v/>
      </c>
      <c r="I56" s="10" t="inlineStr"/>
      <c r="L56" s="10" t="inlineStr">
        <is>
          <t>Needs data</t>
        </is>
      </c>
      <c r="O56" s="10">
        <f>IF(K56="","",ROUND(MAX(0,10*(1-K56/Filters!$B$5)),1))</f>
        <v/>
      </c>
      <c r="W56" s="10" t="n">
        <v>0</v>
      </c>
      <c r="X56" s="10" t="inlineStr"/>
      <c r="Y56" s="10">
        <f>IFERROR(__xludf.DUMMYFUNCTION("""COMPUTED_VALUE"""),"")</f>
        <v/>
      </c>
      <c r="Z56" s="10">
        <f>IFERROR(__xludf.DUMMYFUNCTION("""COMPUTED_VALUE"""),"Regional add (within about 1.5 hrs of Melbourne, from recall; verify). Verify V/Line station, GW drive, price and ED access (West Gippsland Hospital at Warragul). Compare with Warragul.")</f>
        <v/>
      </c>
      <c r="AA56" s="10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C56" s="10" t="inlineStr">
        <is>
          <t>Needs data</t>
        </is>
      </c>
      <c r="AD56" s="10" t="inlineStr">
        <is>
          <t>Needs data</t>
        </is>
      </c>
      <c r="AE56" s="17" t="n">
        <v>1500000</v>
      </c>
      <c r="AF56" s="0" t="inlineStr">
        <is>
          <t>Maximum purchase price, excluding transaction and moving costs</t>
        </is>
      </c>
      <c r="AG56" s="0" t="inlineStr">
        <is>
          <t>[Awaiting search]</t>
        </is>
      </c>
      <c r="AH56" s="0" t="inlineStr">
        <is>
          <t>26 Oct 2026</t>
        </is>
      </c>
      <c r="AI56" s="0" t="inlineStr">
        <is>
          <t>Needs data</t>
        </is>
      </c>
      <c r="AJ56" s="0" t="inlineStr">
        <is>
          <t>No verified pricing entered.</t>
        </is>
      </c>
    </row>
    <row r="57">
      <c r="A57" s="10">
        <f>IFERROR(__xludf.DUMMYFUNCTION("""COMPUTED_VALUE"""),"")</f>
        <v/>
      </c>
      <c r="B57" s="10">
        <f>IFERROR(__xludf.DUMMYFUNCTION("""COMPUTED_VALUE"""),"")</f>
        <v/>
      </c>
      <c r="C57" s="10">
        <f>IFERROR(__xludf.DUMMYFUNCTION("""COMPUTED_VALUE"""),"")</f>
        <v/>
      </c>
      <c r="D57" s="10">
        <f>IFERROR(__xludf.DUMMYFUNCTION("""COMPUTED_VALUE"""),"")</f>
        <v/>
      </c>
      <c r="E57" s="10">
        <f>IFERROR(__xludf.DUMMYFUNCTION("""COMPUTED_VALUE"""),"")</f>
        <v/>
      </c>
      <c r="F57" s="10">
        <f>IFERROR(__xludf.DUMMYFUNCTION("""COMPUTED_VALUE"""),"")</f>
        <v/>
      </c>
      <c r="G57" s="10">
        <f>IFERROR(__xludf.DUMMYFUNCTION("""COMPUTED_VALUE"""),"")</f>
        <v/>
      </c>
      <c r="H57" s="10">
        <f>IFERROR(__xludf.DUMMYFUNCTION("""COMPUTED_VALUE"""),"")</f>
        <v/>
      </c>
      <c r="I57" s="10" t="inlineStr"/>
      <c r="L57" s="10" t="inlineStr"/>
      <c r="W57" s="10" t="n">
        <v>0</v>
      </c>
      <c r="X57" s="10" t="inlineStr"/>
      <c r="Y57" s="10">
        <f>IFERROR(__xludf.DUMMYFUNCTION("""COMPUTED_VALUE"""),"")</f>
        <v/>
      </c>
      <c r="Z57" s="10">
        <f>IFERROR(__xludf.DUMMYFUNCTION("""COMPUTED_VALUE"""),"")</f>
        <v/>
      </c>
    </row>
    <row r="58">
      <c r="A58" s="10">
        <f>IFERROR(__xludf.DUMMYFUNCTION("""COMPUTED_VALUE"""),"")</f>
        <v/>
      </c>
      <c r="B58" s="10">
        <f>IFERROR(__xludf.DUMMYFUNCTION("""COMPUTED_VALUE"""),"")</f>
        <v/>
      </c>
      <c r="C58" s="10">
        <f>IFERROR(__xludf.DUMMYFUNCTION("""COMPUTED_VALUE"""),"")</f>
        <v/>
      </c>
      <c r="D58" s="10">
        <f>IFERROR(__xludf.DUMMYFUNCTION("""COMPUTED_VALUE"""),"")</f>
        <v/>
      </c>
      <c r="E58" s="10">
        <f>IFERROR(__xludf.DUMMYFUNCTION("""COMPUTED_VALUE"""),"")</f>
        <v/>
      </c>
      <c r="F58" s="10">
        <f>IFERROR(__xludf.DUMMYFUNCTION("""COMPUTED_VALUE"""),"")</f>
        <v/>
      </c>
      <c r="G58" s="10">
        <f>IFERROR(__xludf.DUMMYFUNCTION("""COMPUTED_VALUE"""),"")</f>
        <v/>
      </c>
      <c r="H58" s="10">
        <f>IFERROR(__xludf.DUMMYFUNCTION("""COMPUTED_VALUE"""),"")</f>
        <v/>
      </c>
      <c r="I58" s="10" t="inlineStr"/>
      <c r="L58" s="10" t="inlineStr"/>
      <c r="W58" s="10" t="n">
        <v>0</v>
      </c>
      <c r="X58" s="10" t="inlineStr"/>
      <c r="Y58" s="10">
        <f>IFERROR(__xludf.DUMMYFUNCTION("""COMPUTED_VALUE"""),"")</f>
        <v/>
      </c>
      <c r="Z58" s="10">
        <f>IFERROR(__xludf.DUMMYFUNCTION("""COMPUTED_VALUE"""),"")</f>
        <v/>
      </c>
    </row>
    <row r="59">
      <c r="A59" s="10">
        <f>IFERROR(__xludf.DUMMYFUNCTION("""COMPUTED_VALUE"""),"")</f>
        <v/>
      </c>
      <c r="B59" s="10">
        <f>IFERROR(__xludf.DUMMYFUNCTION("""COMPUTED_VALUE"""),"")</f>
        <v/>
      </c>
      <c r="C59" s="10">
        <f>IFERROR(__xludf.DUMMYFUNCTION("""COMPUTED_VALUE"""),"")</f>
        <v/>
      </c>
      <c r="D59" s="10">
        <f>IFERROR(__xludf.DUMMYFUNCTION("""COMPUTED_VALUE"""),"")</f>
        <v/>
      </c>
      <c r="E59" s="10">
        <f>IFERROR(__xludf.DUMMYFUNCTION("""COMPUTED_VALUE"""),"")</f>
        <v/>
      </c>
      <c r="F59" s="10">
        <f>IFERROR(__xludf.DUMMYFUNCTION("""COMPUTED_VALUE"""),"")</f>
        <v/>
      </c>
      <c r="G59" s="10">
        <f>IFERROR(__xludf.DUMMYFUNCTION("""COMPUTED_VALUE"""),"")</f>
        <v/>
      </c>
      <c r="H59" s="10">
        <f>IFERROR(__xludf.DUMMYFUNCTION("""COMPUTED_VALUE"""),"")</f>
        <v/>
      </c>
      <c r="I59" s="10" t="inlineStr"/>
      <c r="L59" s="10" t="inlineStr"/>
      <c r="W59" s="10" t="n">
        <v>0</v>
      </c>
      <c r="X59" s="10" t="inlineStr"/>
      <c r="Y59" s="10">
        <f>IFERROR(__xludf.DUMMYFUNCTION("""COMPUTED_VALUE"""),"")</f>
        <v/>
      </c>
      <c r="Z59" s="10">
        <f>IFERROR(__xludf.DUMMYFUNCTION("""COMPUTED_VALUE"""),"")</f>
        <v/>
      </c>
    </row>
    <row r="60">
      <c r="A60" s="10">
        <f>IFERROR(__xludf.DUMMYFUNCTION("""COMPUTED_VALUE"""),"")</f>
        <v/>
      </c>
      <c r="B60" s="10">
        <f>IFERROR(__xludf.DUMMYFUNCTION("""COMPUTED_VALUE"""),"")</f>
        <v/>
      </c>
      <c r="C60" s="10">
        <f>IFERROR(__xludf.DUMMYFUNCTION("""COMPUTED_VALUE"""),"")</f>
        <v/>
      </c>
      <c r="D60" s="10">
        <f>IFERROR(__xludf.DUMMYFUNCTION("""COMPUTED_VALUE"""),"")</f>
        <v/>
      </c>
      <c r="E60" s="10">
        <f>IFERROR(__xludf.DUMMYFUNCTION("""COMPUTED_VALUE"""),"")</f>
        <v/>
      </c>
      <c r="F60" s="10">
        <f>IFERROR(__xludf.DUMMYFUNCTION("""COMPUTED_VALUE"""),"")</f>
        <v/>
      </c>
      <c r="G60" s="10">
        <f>IFERROR(__xludf.DUMMYFUNCTION("""COMPUTED_VALUE"""),"")</f>
        <v/>
      </c>
      <c r="H60" s="10">
        <f>IFERROR(__xludf.DUMMYFUNCTION("""COMPUTED_VALUE"""),"")</f>
        <v/>
      </c>
      <c r="I60" s="10" t="inlineStr"/>
      <c r="L60" s="10" t="inlineStr"/>
      <c r="W60" s="10" t="n">
        <v>0</v>
      </c>
      <c r="X60" s="10" t="inlineStr"/>
      <c r="Y60" s="10">
        <f>IFERROR(__xludf.DUMMYFUNCTION("""COMPUTED_VALUE"""),"")</f>
        <v/>
      </c>
      <c r="Z60" s="10">
        <f>IFERROR(__xludf.DUMMYFUNCTION("""COMPUTED_VALUE"""),"")</f>
        <v/>
      </c>
    </row>
    <row r="61">
      <c r="A61" s="10">
        <f>IFERROR(__xludf.DUMMYFUNCTION("""COMPUTED_VALUE"""),"")</f>
        <v/>
      </c>
      <c r="B61" s="10">
        <f>IFERROR(__xludf.DUMMYFUNCTION("""COMPUTED_VALUE"""),"")</f>
        <v/>
      </c>
      <c r="C61" s="10">
        <f>IFERROR(__xludf.DUMMYFUNCTION("""COMPUTED_VALUE"""),"")</f>
        <v/>
      </c>
      <c r="D61" s="10">
        <f>IFERROR(__xludf.DUMMYFUNCTION("""COMPUTED_VALUE"""),"")</f>
        <v/>
      </c>
      <c r="E61" s="10">
        <f>IFERROR(__xludf.DUMMYFUNCTION("""COMPUTED_VALUE"""),"")</f>
        <v/>
      </c>
      <c r="F61" s="10">
        <f>IFERROR(__xludf.DUMMYFUNCTION("""COMPUTED_VALUE"""),"")</f>
        <v/>
      </c>
      <c r="G61" s="10">
        <f>IFERROR(__xludf.DUMMYFUNCTION("""COMPUTED_VALUE"""),"")</f>
        <v/>
      </c>
      <c r="H61" s="10">
        <f>IFERROR(__xludf.DUMMYFUNCTION("""COMPUTED_VALUE"""),"")</f>
        <v/>
      </c>
      <c r="I61" s="10" t="inlineStr"/>
      <c r="L61" s="10" t="inlineStr"/>
      <c r="W61" s="10" t="n">
        <v>0</v>
      </c>
      <c r="X61" s="10" t="inlineStr"/>
      <c r="Y61" s="10">
        <f>IFERROR(__xludf.DUMMYFUNCTION("""COMPUTED_VALUE"""),"")</f>
        <v/>
      </c>
      <c r="Z61" s="10">
        <f>IFERROR(__xludf.DUMMYFUNCTION("""COMPUTED_VALUE"""),"")</f>
        <v/>
      </c>
    </row>
    <row r="62">
      <c r="A62" s="10">
        <f>IFERROR(__xludf.DUMMYFUNCTION("""COMPUTED_VALUE"""),"")</f>
        <v/>
      </c>
      <c r="B62" s="10">
        <f>IFERROR(__xludf.DUMMYFUNCTION("""COMPUTED_VALUE"""),"")</f>
        <v/>
      </c>
      <c r="C62" s="10">
        <f>IFERROR(__xludf.DUMMYFUNCTION("""COMPUTED_VALUE"""),"")</f>
        <v/>
      </c>
      <c r="D62" s="10">
        <f>IFERROR(__xludf.DUMMYFUNCTION("""COMPUTED_VALUE"""),"")</f>
        <v/>
      </c>
      <c r="E62" s="10">
        <f>IFERROR(__xludf.DUMMYFUNCTION("""COMPUTED_VALUE"""),"")</f>
        <v/>
      </c>
      <c r="F62" s="10">
        <f>IFERROR(__xludf.DUMMYFUNCTION("""COMPUTED_VALUE"""),"")</f>
        <v/>
      </c>
      <c r="G62" s="10">
        <f>IFERROR(__xludf.DUMMYFUNCTION("""COMPUTED_VALUE"""),"")</f>
        <v/>
      </c>
      <c r="H62" s="10">
        <f>IFERROR(__xludf.DUMMYFUNCTION("""COMPUTED_VALUE"""),"")</f>
        <v/>
      </c>
      <c r="I62" s="10" t="inlineStr"/>
      <c r="L62" s="10" t="inlineStr"/>
      <c r="W62" s="10" t="n">
        <v>0</v>
      </c>
      <c r="X62" s="10" t="inlineStr"/>
      <c r="Y62" s="10">
        <f>IFERROR(__xludf.DUMMYFUNCTION("""COMPUTED_VALUE"""),"")</f>
        <v/>
      </c>
      <c r="Z62" s="10">
        <f>IFERROR(__xludf.DUMMYFUNCTION("""COMPUTED_VALUE"""),"")</f>
        <v/>
      </c>
    </row>
    <row r="63">
      <c r="A63" s="10">
        <f>IFERROR(__xludf.DUMMYFUNCTION("""COMPUTED_VALUE"""),"")</f>
        <v/>
      </c>
      <c r="B63" s="10">
        <f>IFERROR(__xludf.DUMMYFUNCTION("""COMPUTED_VALUE"""),"")</f>
        <v/>
      </c>
      <c r="C63" s="10">
        <f>IFERROR(__xludf.DUMMYFUNCTION("""COMPUTED_VALUE"""),"")</f>
        <v/>
      </c>
      <c r="D63" s="10">
        <f>IFERROR(__xludf.DUMMYFUNCTION("""COMPUTED_VALUE"""),"")</f>
        <v/>
      </c>
      <c r="E63" s="10">
        <f>IFERROR(__xludf.DUMMYFUNCTION("""COMPUTED_VALUE"""),"")</f>
        <v/>
      </c>
      <c r="F63" s="10">
        <f>IFERROR(__xludf.DUMMYFUNCTION("""COMPUTED_VALUE"""),"")</f>
        <v/>
      </c>
      <c r="G63" s="10">
        <f>IFERROR(__xludf.DUMMYFUNCTION("""COMPUTED_VALUE"""),"")</f>
        <v/>
      </c>
      <c r="H63" s="10">
        <f>IFERROR(__xludf.DUMMYFUNCTION("""COMPUTED_VALUE"""),"")</f>
        <v/>
      </c>
      <c r="I63" s="10" t="inlineStr"/>
      <c r="L63" s="10" t="inlineStr"/>
      <c r="W63" s="10" t="n">
        <v>0</v>
      </c>
      <c r="X63" s="10" t="inlineStr"/>
      <c r="Y63" s="10">
        <f>IFERROR(__xludf.DUMMYFUNCTION("""COMPUTED_VALUE"""),"")</f>
        <v/>
      </c>
      <c r="Z63" s="10">
        <f>IFERROR(__xludf.DUMMYFUNCTION("""COMPUTED_VALUE"""),"")</f>
        <v/>
      </c>
    </row>
    <row r="64">
      <c r="A64" s="10">
        <f>IFERROR(__xludf.DUMMYFUNCTION("""COMPUTED_VALUE"""),"")</f>
        <v/>
      </c>
      <c r="B64" s="10">
        <f>IFERROR(__xludf.DUMMYFUNCTION("""COMPUTED_VALUE"""),"")</f>
        <v/>
      </c>
      <c r="C64" s="10">
        <f>IFERROR(__xludf.DUMMYFUNCTION("""COMPUTED_VALUE"""),"")</f>
        <v/>
      </c>
      <c r="D64" s="10">
        <f>IFERROR(__xludf.DUMMYFUNCTION("""COMPUTED_VALUE"""),"")</f>
        <v/>
      </c>
      <c r="E64" s="10">
        <f>IFERROR(__xludf.DUMMYFUNCTION("""COMPUTED_VALUE"""),"")</f>
        <v/>
      </c>
      <c r="F64" s="10">
        <f>IFERROR(__xludf.DUMMYFUNCTION("""COMPUTED_VALUE"""),"")</f>
        <v/>
      </c>
      <c r="G64" s="10">
        <f>IFERROR(__xludf.DUMMYFUNCTION("""COMPUTED_VALUE"""),"")</f>
        <v/>
      </c>
      <c r="H64" s="10">
        <f>IFERROR(__xludf.DUMMYFUNCTION("""COMPUTED_VALUE"""),"")</f>
        <v/>
      </c>
      <c r="I64" s="10" t="inlineStr"/>
      <c r="L64" s="10" t="inlineStr"/>
      <c r="W64" s="10" t="n">
        <v>0</v>
      </c>
      <c r="X64" s="10" t="inlineStr"/>
      <c r="Y64" s="10">
        <f>IFERROR(__xludf.DUMMYFUNCTION("""COMPUTED_VALUE"""),"")</f>
        <v/>
      </c>
      <c r="Z64" s="10">
        <f>IFERROR(__xludf.DUMMYFUNCTION("""COMPUTED_VALUE"""),"")</f>
        <v/>
      </c>
    </row>
    <row r="65">
      <c r="A65" s="10">
        <f>IFERROR(__xludf.DUMMYFUNCTION("""COMPUTED_VALUE"""),"")</f>
        <v/>
      </c>
      <c r="B65" s="10">
        <f>IFERROR(__xludf.DUMMYFUNCTION("""COMPUTED_VALUE"""),"")</f>
        <v/>
      </c>
      <c r="C65" s="10">
        <f>IFERROR(__xludf.DUMMYFUNCTION("""COMPUTED_VALUE"""),"")</f>
        <v/>
      </c>
      <c r="D65" s="10">
        <f>IFERROR(__xludf.DUMMYFUNCTION("""COMPUTED_VALUE"""),"")</f>
        <v/>
      </c>
      <c r="E65" s="10">
        <f>IFERROR(__xludf.DUMMYFUNCTION("""COMPUTED_VALUE"""),"")</f>
        <v/>
      </c>
      <c r="F65" s="10">
        <f>IFERROR(__xludf.DUMMYFUNCTION("""COMPUTED_VALUE"""),"")</f>
        <v/>
      </c>
      <c r="G65" s="10">
        <f>IFERROR(__xludf.DUMMYFUNCTION("""COMPUTED_VALUE"""),"")</f>
        <v/>
      </c>
      <c r="H65" s="10">
        <f>IFERROR(__xludf.DUMMYFUNCTION("""COMPUTED_VALUE"""),"")</f>
        <v/>
      </c>
      <c r="I65" s="10" t="inlineStr"/>
      <c r="L65" s="10" t="inlineStr"/>
      <c r="W65" s="10" t="n">
        <v>0</v>
      </c>
      <c r="X65" s="10" t="inlineStr"/>
      <c r="Y65" s="10">
        <f>IFERROR(__xludf.DUMMYFUNCTION("""COMPUTED_VALUE"""),"")</f>
        <v/>
      </c>
      <c r="Z65" s="10">
        <f>IFERROR(__xludf.DUMMYFUNCTION("""COMPUTED_VALUE"""),"")</f>
        <v/>
      </c>
    </row>
    <row r="66">
      <c r="A66" s="10">
        <f>IFERROR(__xludf.DUMMYFUNCTION("""COMPUTED_VALUE"""),"")</f>
        <v/>
      </c>
      <c r="B66" s="10">
        <f>IFERROR(__xludf.DUMMYFUNCTION("""COMPUTED_VALUE"""),"")</f>
        <v/>
      </c>
      <c r="C66" s="10">
        <f>IFERROR(__xludf.DUMMYFUNCTION("""COMPUTED_VALUE"""),"")</f>
        <v/>
      </c>
      <c r="D66" s="10">
        <f>IFERROR(__xludf.DUMMYFUNCTION("""COMPUTED_VALUE"""),"")</f>
        <v/>
      </c>
      <c r="E66" s="10">
        <f>IFERROR(__xludf.DUMMYFUNCTION("""COMPUTED_VALUE"""),"")</f>
        <v/>
      </c>
      <c r="F66" s="10">
        <f>IFERROR(__xludf.DUMMYFUNCTION("""COMPUTED_VALUE"""),"")</f>
        <v/>
      </c>
      <c r="G66" s="10">
        <f>IFERROR(__xludf.DUMMYFUNCTION("""COMPUTED_VALUE"""),"")</f>
        <v/>
      </c>
      <c r="H66" s="10">
        <f>IFERROR(__xludf.DUMMYFUNCTION("""COMPUTED_VALUE"""),"")</f>
        <v/>
      </c>
      <c r="I66" s="10" t="inlineStr"/>
      <c r="L66" s="10" t="inlineStr"/>
      <c r="W66" s="10" t="n">
        <v>0</v>
      </c>
      <c r="X66" s="10" t="inlineStr"/>
      <c r="Y66" s="10">
        <f>IFERROR(__xludf.DUMMYFUNCTION("""COMPUTED_VALUE"""),"")</f>
        <v/>
      </c>
      <c r="Z66" s="10">
        <f>IFERROR(__xludf.DUMMYFUNCTION("""COMPUTED_VALUE"""),"")</f>
        <v/>
      </c>
    </row>
    <row r="67">
      <c r="A67" s="10">
        <f>IFERROR(__xludf.DUMMYFUNCTION("""COMPUTED_VALUE"""),"")</f>
        <v/>
      </c>
      <c r="B67" s="10">
        <f>IFERROR(__xludf.DUMMYFUNCTION("""COMPUTED_VALUE"""),"")</f>
        <v/>
      </c>
      <c r="C67" s="10">
        <f>IFERROR(__xludf.DUMMYFUNCTION("""COMPUTED_VALUE"""),"")</f>
        <v/>
      </c>
      <c r="D67" s="10">
        <f>IFERROR(__xludf.DUMMYFUNCTION("""COMPUTED_VALUE"""),"")</f>
        <v/>
      </c>
      <c r="E67" s="10">
        <f>IFERROR(__xludf.DUMMYFUNCTION("""COMPUTED_VALUE"""),"")</f>
        <v/>
      </c>
      <c r="F67" s="10">
        <f>IFERROR(__xludf.DUMMYFUNCTION("""COMPUTED_VALUE"""),"")</f>
        <v/>
      </c>
      <c r="G67" s="10">
        <f>IFERROR(__xludf.DUMMYFUNCTION("""COMPUTED_VALUE"""),"")</f>
        <v/>
      </c>
      <c r="H67" s="10">
        <f>IFERROR(__xludf.DUMMYFUNCTION("""COMPUTED_VALUE"""),"")</f>
        <v/>
      </c>
      <c r="I67" s="10" t="inlineStr"/>
      <c r="L67" s="10" t="inlineStr"/>
      <c r="W67" s="10" t="n">
        <v>0</v>
      </c>
      <c r="X67" s="10" t="inlineStr"/>
      <c r="Y67" s="10">
        <f>IFERROR(__xludf.DUMMYFUNCTION("""COMPUTED_VALUE"""),"")</f>
        <v/>
      </c>
      <c r="Z67" s="10">
        <f>IFERROR(__xludf.DUMMYFUNCTION("""COMPUTED_VALUE"""),"")</f>
        <v/>
      </c>
    </row>
    <row r="68">
      <c r="A68" s="10">
        <f>IFERROR(__xludf.DUMMYFUNCTION("""COMPUTED_VALUE"""),"")</f>
        <v/>
      </c>
      <c r="B68" s="10">
        <f>IFERROR(__xludf.DUMMYFUNCTION("""COMPUTED_VALUE"""),"")</f>
        <v/>
      </c>
      <c r="C68" s="10">
        <f>IFERROR(__xludf.DUMMYFUNCTION("""COMPUTED_VALUE"""),"")</f>
        <v/>
      </c>
      <c r="D68" s="10">
        <f>IFERROR(__xludf.DUMMYFUNCTION("""COMPUTED_VALUE"""),"")</f>
        <v/>
      </c>
      <c r="E68" s="10">
        <f>IFERROR(__xludf.DUMMYFUNCTION("""COMPUTED_VALUE"""),"")</f>
        <v/>
      </c>
      <c r="F68" s="10">
        <f>IFERROR(__xludf.DUMMYFUNCTION("""COMPUTED_VALUE"""),"")</f>
        <v/>
      </c>
      <c r="G68" s="10">
        <f>IFERROR(__xludf.DUMMYFUNCTION("""COMPUTED_VALUE"""),"")</f>
        <v/>
      </c>
      <c r="H68" s="10">
        <f>IFERROR(__xludf.DUMMYFUNCTION("""COMPUTED_VALUE"""),"")</f>
        <v/>
      </c>
      <c r="I68" s="10" t="inlineStr"/>
      <c r="L68" s="10" t="inlineStr"/>
      <c r="W68" s="10" t="n">
        <v>0</v>
      </c>
      <c r="X68" s="10" t="inlineStr"/>
      <c r="Y68" s="10">
        <f>IFERROR(__xludf.DUMMYFUNCTION("""COMPUTED_VALUE"""),"")</f>
        <v/>
      </c>
      <c r="Z68" s="10">
        <f>IFERROR(__xludf.DUMMYFUNCTION("""COMPUTED_VALUE"""),"")</f>
        <v/>
      </c>
    </row>
    <row r="69">
      <c r="A69" s="10">
        <f>IFERROR(__xludf.DUMMYFUNCTION("""COMPUTED_VALUE"""),"")</f>
        <v/>
      </c>
      <c r="B69" s="10">
        <f>IFERROR(__xludf.DUMMYFUNCTION("""COMPUTED_VALUE"""),"")</f>
        <v/>
      </c>
      <c r="C69" s="10">
        <f>IFERROR(__xludf.DUMMYFUNCTION("""COMPUTED_VALUE"""),"")</f>
        <v/>
      </c>
      <c r="D69" s="10">
        <f>IFERROR(__xludf.DUMMYFUNCTION("""COMPUTED_VALUE"""),"")</f>
        <v/>
      </c>
      <c r="E69" s="10">
        <f>IFERROR(__xludf.DUMMYFUNCTION("""COMPUTED_VALUE"""),"")</f>
        <v/>
      </c>
      <c r="F69" s="10">
        <f>IFERROR(__xludf.DUMMYFUNCTION("""COMPUTED_VALUE"""),"")</f>
        <v/>
      </c>
      <c r="G69" s="10">
        <f>IFERROR(__xludf.DUMMYFUNCTION("""COMPUTED_VALUE"""),"")</f>
        <v/>
      </c>
      <c r="H69" s="10">
        <f>IFERROR(__xludf.DUMMYFUNCTION("""COMPUTED_VALUE"""),"")</f>
        <v/>
      </c>
      <c r="I69" s="10" t="inlineStr"/>
      <c r="L69" s="10" t="inlineStr"/>
      <c r="W69" s="10" t="n">
        <v>0</v>
      </c>
      <c r="X69" s="10" t="inlineStr"/>
      <c r="Y69" s="10">
        <f>IFERROR(__xludf.DUMMYFUNCTION("""COMPUTED_VALUE"""),"")</f>
        <v/>
      </c>
      <c r="Z69" s="10">
        <f>IFERROR(__xludf.DUMMYFUNCTION("""COMPUTED_VALUE"""),"")</f>
        <v/>
      </c>
    </row>
    <row r="70">
      <c r="A70" s="10">
        <f>IFERROR(__xludf.DUMMYFUNCTION("""COMPUTED_VALUE"""),"")</f>
        <v/>
      </c>
      <c r="B70" s="10">
        <f>IFERROR(__xludf.DUMMYFUNCTION("""COMPUTED_VALUE"""),"")</f>
        <v/>
      </c>
      <c r="C70" s="10">
        <f>IFERROR(__xludf.DUMMYFUNCTION("""COMPUTED_VALUE"""),"")</f>
        <v/>
      </c>
      <c r="D70" s="10">
        <f>IFERROR(__xludf.DUMMYFUNCTION("""COMPUTED_VALUE"""),"")</f>
        <v/>
      </c>
      <c r="E70" s="10">
        <f>IFERROR(__xludf.DUMMYFUNCTION("""COMPUTED_VALUE"""),"")</f>
        <v/>
      </c>
      <c r="F70" s="10">
        <f>IFERROR(__xludf.DUMMYFUNCTION("""COMPUTED_VALUE"""),"")</f>
        <v/>
      </c>
      <c r="G70" s="10">
        <f>IFERROR(__xludf.DUMMYFUNCTION("""COMPUTED_VALUE"""),"")</f>
        <v/>
      </c>
      <c r="H70" s="10">
        <f>IFERROR(__xludf.DUMMYFUNCTION("""COMPUTED_VALUE"""),"")</f>
        <v/>
      </c>
      <c r="I70" s="10" t="inlineStr"/>
      <c r="L70" s="10" t="inlineStr"/>
      <c r="W70" s="10" t="n">
        <v>0</v>
      </c>
      <c r="X70" s="10" t="inlineStr"/>
      <c r="Y70" s="10">
        <f>IFERROR(__xludf.DUMMYFUNCTION("""COMPUTED_VALUE"""),"")</f>
        <v/>
      </c>
      <c r="Z70" s="10">
        <f>IFERROR(__xludf.DUMMYFUNCTION("""COMPUTED_VALUE"""),"")</f>
        <v/>
      </c>
    </row>
    <row r="71">
      <c r="A71" s="10">
        <f>IFERROR(__xludf.DUMMYFUNCTION("""COMPUTED_VALUE"""),"")</f>
        <v/>
      </c>
      <c r="B71" s="10">
        <f>IFERROR(__xludf.DUMMYFUNCTION("""COMPUTED_VALUE"""),"")</f>
        <v/>
      </c>
      <c r="C71" s="10">
        <f>IFERROR(__xludf.DUMMYFUNCTION("""COMPUTED_VALUE"""),"")</f>
        <v/>
      </c>
      <c r="D71" s="10">
        <f>IFERROR(__xludf.DUMMYFUNCTION("""COMPUTED_VALUE"""),"")</f>
        <v/>
      </c>
      <c r="E71" s="10">
        <f>IFERROR(__xludf.DUMMYFUNCTION("""COMPUTED_VALUE"""),"")</f>
        <v/>
      </c>
      <c r="F71" s="10">
        <f>IFERROR(__xludf.DUMMYFUNCTION("""COMPUTED_VALUE"""),"")</f>
        <v/>
      </c>
      <c r="G71" s="10">
        <f>IFERROR(__xludf.DUMMYFUNCTION("""COMPUTED_VALUE"""),"")</f>
        <v/>
      </c>
      <c r="H71" s="10">
        <f>IFERROR(__xludf.DUMMYFUNCTION("""COMPUTED_VALUE"""),"")</f>
        <v/>
      </c>
      <c r="I71" s="10" t="inlineStr"/>
      <c r="L71" s="10" t="inlineStr"/>
      <c r="W71" s="10" t="n">
        <v>0</v>
      </c>
      <c r="X71" s="10" t="inlineStr"/>
      <c r="Y71" s="10">
        <f>IFERROR(__xludf.DUMMYFUNCTION("""COMPUTED_VALUE"""),"")</f>
        <v/>
      </c>
      <c r="Z71" s="10">
        <f>IFERROR(__xludf.DUMMYFUNCTION("""COMPUTED_VALUE"""),"")</f>
        <v/>
      </c>
    </row>
    <row r="72">
      <c r="A72" s="10">
        <f>IFERROR(__xludf.DUMMYFUNCTION("""COMPUTED_VALUE"""),"")</f>
        <v/>
      </c>
      <c r="B72" s="10">
        <f>IFERROR(__xludf.DUMMYFUNCTION("""COMPUTED_VALUE"""),"")</f>
        <v/>
      </c>
      <c r="C72" s="10">
        <f>IFERROR(__xludf.DUMMYFUNCTION("""COMPUTED_VALUE"""),"")</f>
        <v/>
      </c>
      <c r="D72" s="10">
        <f>IFERROR(__xludf.DUMMYFUNCTION("""COMPUTED_VALUE"""),"")</f>
        <v/>
      </c>
      <c r="E72" s="10">
        <f>IFERROR(__xludf.DUMMYFUNCTION("""COMPUTED_VALUE"""),"")</f>
        <v/>
      </c>
      <c r="F72" s="10">
        <f>IFERROR(__xludf.DUMMYFUNCTION("""COMPUTED_VALUE"""),"")</f>
        <v/>
      </c>
      <c r="G72" s="10">
        <f>IFERROR(__xludf.DUMMYFUNCTION("""COMPUTED_VALUE"""),"")</f>
        <v/>
      </c>
      <c r="H72" s="10">
        <f>IFERROR(__xludf.DUMMYFUNCTION("""COMPUTED_VALUE"""),"")</f>
        <v/>
      </c>
      <c r="I72" s="10" t="inlineStr"/>
      <c r="L72" s="10" t="inlineStr"/>
      <c r="W72" s="10" t="n">
        <v>0</v>
      </c>
      <c r="X72" s="10" t="inlineStr"/>
      <c r="Y72" s="10">
        <f>IFERROR(__xludf.DUMMYFUNCTION("""COMPUTED_VALUE"""),"")</f>
        <v/>
      </c>
      <c r="Z72" s="10">
        <f>IFERROR(__xludf.DUMMYFUNCTION("""COMPUTED_VALUE"""),"")</f>
        <v/>
      </c>
    </row>
    <row r="73">
      <c r="A73" s="10">
        <f>IFERROR(__xludf.DUMMYFUNCTION("""COMPUTED_VALUE"""),"")</f>
        <v/>
      </c>
      <c r="B73" s="10">
        <f>IFERROR(__xludf.DUMMYFUNCTION("""COMPUTED_VALUE"""),"")</f>
        <v/>
      </c>
      <c r="C73" s="10">
        <f>IFERROR(__xludf.DUMMYFUNCTION("""COMPUTED_VALUE"""),"")</f>
        <v/>
      </c>
      <c r="D73" s="10">
        <f>IFERROR(__xludf.DUMMYFUNCTION("""COMPUTED_VALUE"""),"")</f>
        <v/>
      </c>
      <c r="E73" s="10">
        <f>IFERROR(__xludf.DUMMYFUNCTION("""COMPUTED_VALUE"""),"")</f>
        <v/>
      </c>
      <c r="F73" s="10">
        <f>IFERROR(__xludf.DUMMYFUNCTION("""COMPUTED_VALUE"""),"")</f>
        <v/>
      </c>
      <c r="G73" s="10">
        <f>IFERROR(__xludf.DUMMYFUNCTION("""COMPUTED_VALUE"""),"")</f>
        <v/>
      </c>
      <c r="H73" s="10">
        <f>IFERROR(__xludf.DUMMYFUNCTION("""COMPUTED_VALUE"""),"")</f>
        <v/>
      </c>
      <c r="I73" s="10" t="inlineStr"/>
      <c r="L73" s="10" t="inlineStr"/>
      <c r="W73" s="10" t="n">
        <v>0</v>
      </c>
      <c r="X73" s="10" t="inlineStr"/>
      <c r="Y73" s="10">
        <f>IFERROR(__xludf.DUMMYFUNCTION("""COMPUTED_VALUE"""),"")</f>
        <v/>
      </c>
      <c r="Z73" s="10">
        <f>IFERROR(__xludf.DUMMYFUNCTION("""COMPUTED_VALUE"""),"")</f>
        <v/>
      </c>
    </row>
    <row r="74">
      <c r="A74" s="10">
        <f>IFERROR(__xludf.DUMMYFUNCTION("""COMPUTED_VALUE"""),"")</f>
        <v/>
      </c>
      <c r="B74" s="10">
        <f>IFERROR(__xludf.DUMMYFUNCTION("""COMPUTED_VALUE"""),"")</f>
        <v/>
      </c>
      <c r="C74" s="10">
        <f>IFERROR(__xludf.DUMMYFUNCTION("""COMPUTED_VALUE"""),"")</f>
        <v/>
      </c>
      <c r="D74" s="10">
        <f>IFERROR(__xludf.DUMMYFUNCTION("""COMPUTED_VALUE"""),"")</f>
        <v/>
      </c>
      <c r="E74" s="10">
        <f>IFERROR(__xludf.DUMMYFUNCTION("""COMPUTED_VALUE"""),"")</f>
        <v/>
      </c>
      <c r="F74" s="10">
        <f>IFERROR(__xludf.DUMMYFUNCTION("""COMPUTED_VALUE"""),"")</f>
        <v/>
      </c>
      <c r="G74" s="10">
        <f>IFERROR(__xludf.DUMMYFUNCTION("""COMPUTED_VALUE"""),"")</f>
        <v/>
      </c>
      <c r="H74" s="10">
        <f>IFERROR(__xludf.DUMMYFUNCTION("""COMPUTED_VALUE"""),"")</f>
        <v/>
      </c>
      <c r="I74" s="10" t="inlineStr"/>
      <c r="L74" s="10" t="inlineStr"/>
      <c r="W74" s="10" t="n">
        <v>0</v>
      </c>
      <c r="X74" s="10" t="inlineStr"/>
      <c r="Y74" s="10">
        <f>IFERROR(__xludf.DUMMYFUNCTION("""COMPUTED_VALUE"""),"")</f>
        <v/>
      </c>
      <c r="Z74" s="10">
        <f>IFERROR(__xludf.DUMMYFUNCTION("""COMPUTED_VALUE"""),"")</f>
        <v/>
      </c>
    </row>
    <row r="75">
      <c r="A75" s="10">
        <f>IFERROR(__xludf.DUMMYFUNCTION("""COMPUTED_VALUE"""),"")</f>
        <v/>
      </c>
      <c r="B75" s="10">
        <f>IFERROR(__xludf.DUMMYFUNCTION("""COMPUTED_VALUE"""),"")</f>
        <v/>
      </c>
      <c r="C75" s="10">
        <f>IFERROR(__xludf.DUMMYFUNCTION("""COMPUTED_VALUE"""),"")</f>
        <v/>
      </c>
      <c r="D75" s="10">
        <f>IFERROR(__xludf.DUMMYFUNCTION("""COMPUTED_VALUE"""),"")</f>
        <v/>
      </c>
      <c r="E75" s="10">
        <f>IFERROR(__xludf.DUMMYFUNCTION("""COMPUTED_VALUE"""),"")</f>
        <v/>
      </c>
      <c r="F75" s="10">
        <f>IFERROR(__xludf.DUMMYFUNCTION("""COMPUTED_VALUE"""),"")</f>
        <v/>
      </c>
      <c r="G75" s="10">
        <f>IFERROR(__xludf.DUMMYFUNCTION("""COMPUTED_VALUE"""),"")</f>
        <v/>
      </c>
      <c r="H75" s="10">
        <f>IFERROR(__xludf.DUMMYFUNCTION("""COMPUTED_VALUE"""),"")</f>
        <v/>
      </c>
      <c r="I75" s="10" t="inlineStr"/>
      <c r="L75" s="10" t="inlineStr"/>
      <c r="W75" s="10" t="n">
        <v>0</v>
      </c>
      <c r="X75" s="10" t="inlineStr"/>
      <c r="Y75" s="10">
        <f>IFERROR(__xludf.DUMMYFUNCTION("""COMPUTED_VALUE"""),"")</f>
        <v/>
      </c>
      <c r="Z75" s="10">
        <f>IFERROR(__xludf.DUMMYFUNCTION("""COMPUTED_VALUE"""),"")</f>
        <v/>
      </c>
    </row>
    <row r="76">
      <c r="A76" s="10">
        <f>IFERROR(__xludf.DUMMYFUNCTION("""COMPUTED_VALUE"""),"")</f>
        <v/>
      </c>
      <c r="B76" s="10">
        <f>IFERROR(__xludf.DUMMYFUNCTION("""COMPUTED_VALUE"""),"")</f>
        <v/>
      </c>
      <c r="C76" s="10">
        <f>IFERROR(__xludf.DUMMYFUNCTION("""COMPUTED_VALUE"""),"")</f>
        <v/>
      </c>
      <c r="D76" s="10">
        <f>IFERROR(__xludf.DUMMYFUNCTION("""COMPUTED_VALUE"""),"")</f>
        <v/>
      </c>
      <c r="E76" s="10">
        <f>IFERROR(__xludf.DUMMYFUNCTION("""COMPUTED_VALUE"""),"")</f>
        <v/>
      </c>
      <c r="F76" s="10">
        <f>IFERROR(__xludf.DUMMYFUNCTION("""COMPUTED_VALUE"""),"")</f>
        <v/>
      </c>
      <c r="G76" s="10">
        <f>IFERROR(__xludf.DUMMYFUNCTION("""COMPUTED_VALUE"""),"")</f>
        <v/>
      </c>
      <c r="H76" s="10">
        <f>IFERROR(__xludf.DUMMYFUNCTION("""COMPUTED_VALUE"""),"")</f>
        <v/>
      </c>
      <c r="I76" s="10" t="inlineStr"/>
      <c r="L76" s="10" t="inlineStr"/>
      <c r="W76" s="10" t="n">
        <v>0</v>
      </c>
      <c r="X76" s="10" t="inlineStr"/>
      <c r="Y76" s="10">
        <f>IFERROR(__xludf.DUMMYFUNCTION("""COMPUTED_VALUE"""),"")</f>
        <v/>
      </c>
      <c r="Z76" s="10">
        <f>IFERROR(__xludf.DUMMYFUNCTION("""COMPUTED_VALUE"""),"")</f>
        <v/>
      </c>
    </row>
    <row r="77">
      <c r="A77" s="10">
        <f>IFERROR(__xludf.DUMMYFUNCTION("""COMPUTED_VALUE"""),"")</f>
        <v/>
      </c>
      <c r="B77" s="10">
        <f>IFERROR(__xludf.DUMMYFUNCTION("""COMPUTED_VALUE"""),"")</f>
        <v/>
      </c>
      <c r="C77" s="10">
        <f>IFERROR(__xludf.DUMMYFUNCTION("""COMPUTED_VALUE"""),"")</f>
        <v/>
      </c>
      <c r="D77" s="10">
        <f>IFERROR(__xludf.DUMMYFUNCTION("""COMPUTED_VALUE"""),"")</f>
        <v/>
      </c>
      <c r="E77" s="10">
        <f>IFERROR(__xludf.DUMMYFUNCTION("""COMPUTED_VALUE"""),"")</f>
        <v/>
      </c>
      <c r="F77" s="10">
        <f>IFERROR(__xludf.DUMMYFUNCTION("""COMPUTED_VALUE"""),"")</f>
        <v/>
      </c>
      <c r="G77" s="10">
        <f>IFERROR(__xludf.DUMMYFUNCTION("""COMPUTED_VALUE"""),"")</f>
        <v/>
      </c>
      <c r="H77" s="10">
        <f>IFERROR(__xludf.DUMMYFUNCTION("""COMPUTED_VALUE"""),"")</f>
        <v/>
      </c>
      <c r="I77" s="10" t="inlineStr"/>
      <c r="L77" s="10" t="inlineStr"/>
      <c r="W77" s="10" t="n">
        <v>0</v>
      </c>
      <c r="X77" s="10" t="inlineStr"/>
      <c r="Y77" s="10">
        <f>IFERROR(__xludf.DUMMYFUNCTION("""COMPUTED_VALUE"""),"")</f>
        <v/>
      </c>
      <c r="Z77" s="10">
        <f>IFERROR(__xludf.DUMMYFUNCTION("""COMPUTED_VALUE"""),"")</f>
        <v/>
      </c>
    </row>
    <row r="78">
      <c r="A78" s="10">
        <f>IFERROR(__xludf.DUMMYFUNCTION("""COMPUTED_VALUE"""),"")</f>
        <v/>
      </c>
      <c r="B78" s="10">
        <f>IFERROR(__xludf.DUMMYFUNCTION("""COMPUTED_VALUE"""),"")</f>
        <v/>
      </c>
      <c r="C78" s="10">
        <f>IFERROR(__xludf.DUMMYFUNCTION("""COMPUTED_VALUE"""),"")</f>
        <v/>
      </c>
      <c r="D78" s="10">
        <f>IFERROR(__xludf.DUMMYFUNCTION("""COMPUTED_VALUE"""),"")</f>
        <v/>
      </c>
      <c r="E78" s="10">
        <f>IFERROR(__xludf.DUMMYFUNCTION("""COMPUTED_VALUE"""),"")</f>
        <v/>
      </c>
      <c r="F78" s="10">
        <f>IFERROR(__xludf.DUMMYFUNCTION("""COMPUTED_VALUE"""),"")</f>
        <v/>
      </c>
      <c r="G78" s="10">
        <f>IFERROR(__xludf.DUMMYFUNCTION("""COMPUTED_VALUE"""),"")</f>
        <v/>
      </c>
      <c r="H78" s="10">
        <f>IFERROR(__xludf.DUMMYFUNCTION("""COMPUTED_VALUE"""),"")</f>
        <v/>
      </c>
      <c r="I78" s="10" t="inlineStr"/>
      <c r="L78" s="10" t="inlineStr"/>
      <c r="W78" s="10" t="n">
        <v>0</v>
      </c>
      <c r="X78" s="10" t="inlineStr"/>
      <c r="Y78" s="10">
        <f>IFERROR(__xludf.DUMMYFUNCTION("""COMPUTED_VALUE"""),"")</f>
        <v/>
      </c>
      <c r="Z78" s="10">
        <f>IFERROR(__xludf.DUMMYFUNCTION("""COMPUTED_VALUE"""),"")</f>
        <v/>
      </c>
    </row>
    <row r="79">
      <c r="A79" s="10">
        <f>IFERROR(__xludf.DUMMYFUNCTION("""COMPUTED_VALUE"""),"")</f>
        <v/>
      </c>
      <c r="B79" s="10">
        <f>IFERROR(__xludf.DUMMYFUNCTION("""COMPUTED_VALUE"""),"")</f>
        <v/>
      </c>
      <c r="C79" s="10">
        <f>IFERROR(__xludf.DUMMYFUNCTION("""COMPUTED_VALUE"""),"")</f>
        <v/>
      </c>
      <c r="D79" s="10">
        <f>IFERROR(__xludf.DUMMYFUNCTION("""COMPUTED_VALUE"""),"")</f>
        <v/>
      </c>
      <c r="E79" s="10">
        <f>IFERROR(__xludf.DUMMYFUNCTION("""COMPUTED_VALUE"""),"")</f>
        <v/>
      </c>
      <c r="F79" s="10">
        <f>IFERROR(__xludf.DUMMYFUNCTION("""COMPUTED_VALUE"""),"")</f>
        <v/>
      </c>
      <c r="G79" s="10">
        <f>IFERROR(__xludf.DUMMYFUNCTION("""COMPUTED_VALUE"""),"")</f>
        <v/>
      </c>
      <c r="H79" s="10">
        <f>IFERROR(__xludf.DUMMYFUNCTION("""COMPUTED_VALUE"""),"")</f>
        <v/>
      </c>
      <c r="I79" s="10" t="inlineStr"/>
      <c r="L79" s="10" t="inlineStr"/>
      <c r="W79" s="10" t="n">
        <v>0</v>
      </c>
      <c r="X79" s="10" t="inlineStr"/>
      <c r="Y79" s="10">
        <f>IFERROR(__xludf.DUMMYFUNCTION("""COMPUTED_VALUE"""),"")</f>
        <v/>
      </c>
      <c r="Z79" s="10">
        <f>IFERROR(__xludf.DUMMYFUNCTION("""COMPUTED_VALUE"""),"")</f>
        <v/>
      </c>
    </row>
    <row r="80">
      <c r="A80" s="10">
        <f>IFERROR(__xludf.DUMMYFUNCTION("""COMPUTED_VALUE"""),"")</f>
        <v/>
      </c>
      <c r="B80" s="10">
        <f>IFERROR(__xludf.DUMMYFUNCTION("""COMPUTED_VALUE"""),"")</f>
        <v/>
      </c>
      <c r="C80" s="10">
        <f>IFERROR(__xludf.DUMMYFUNCTION("""COMPUTED_VALUE"""),"")</f>
        <v/>
      </c>
      <c r="D80" s="10">
        <f>IFERROR(__xludf.DUMMYFUNCTION("""COMPUTED_VALUE"""),"")</f>
        <v/>
      </c>
      <c r="E80" s="10">
        <f>IFERROR(__xludf.DUMMYFUNCTION("""COMPUTED_VALUE"""),"")</f>
        <v/>
      </c>
      <c r="F80" s="10">
        <f>IFERROR(__xludf.DUMMYFUNCTION("""COMPUTED_VALUE"""),"")</f>
        <v/>
      </c>
      <c r="G80" s="10">
        <f>IFERROR(__xludf.DUMMYFUNCTION("""COMPUTED_VALUE"""),"")</f>
        <v/>
      </c>
      <c r="H80" s="10">
        <f>IFERROR(__xludf.DUMMYFUNCTION("""COMPUTED_VALUE"""),"")</f>
        <v/>
      </c>
      <c r="I80" s="10" t="inlineStr"/>
      <c r="L80" s="10" t="inlineStr"/>
      <c r="W80" s="10" t="n">
        <v>0</v>
      </c>
      <c r="X80" s="10" t="inlineStr"/>
      <c r="Y80" s="10">
        <f>IFERROR(__xludf.DUMMYFUNCTION("""COMPUTED_VALUE"""),"")</f>
        <v/>
      </c>
      <c r="Z80" s="10">
        <f>IFERROR(__xludf.DUMMYFUNCTION("""COMPUTED_VALUE"""),"")</f>
        <v/>
      </c>
    </row>
    <row r="81">
      <c r="A81" s="10">
        <f>IFERROR(__xludf.DUMMYFUNCTION("""COMPUTED_VALUE"""),"")</f>
        <v/>
      </c>
      <c r="B81" s="10">
        <f>IFERROR(__xludf.DUMMYFUNCTION("""COMPUTED_VALUE"""),"")</f>
        <v/>
      </c>
      <c r="C81" s="10">
        <f>IFERROR(__xludf.DUMMYFUNCTION("""COMPUTED_VALUE"""),"")</f>
        <v/>
      </c>
      <c r="D81" s="10">
        <f>IFERROR(__xludf.DUMMYFUNCTION("""COMPUTED_VALUE"""),"")</f>
        <v/>
      </c>
      <c r="E81" s="10">
        <f>IFERROR(__xludf.DUMMYFUNCTION("""COMPUTED_VALUE"""),"")</f>
        <v/>
      </c>
      <c r="F81" s="10">
        <f>IFERROR(__xludf.DUMMYFUNCTION("""COMPUTED_VALUE"""),"")</f>
        <v/>
      </c>
      <c r="G81" s="10">
        <f>IFERROR(__xludf.DUMMYFUNCTION("""COMPUTED_VALUE"""),"")</f>
        <v/>
      </c>
      <c r="H81" s="10">
        <f>IFERROR(__xludf.DUMMYFUNCTION("""COMPUTED_VALUE"""),"")</f>
        <v/>
      </c>
      <c r="I81" s="10" t="inlineStr"/>
      <c r="L81" s="10" t="inlineStr"/>
      <c r="W81" s="10" t="n">
        <v>0</v>
      </c>
      <c r="X81" s="10" t="inlineStr"/>
      <c r="Y81" s="10">
        <f>IFERROR(__xludf.DUMMYFUNCTION("""COMPUTED_VALUE"""),"")</f>
        <v/>
      </c>
      <c r="Z81" s="10">
        <f>IFERROR(__xludf.DUMMYFUNCTION("""COMPUTED_VALUE"""),"")</f>
        <v/>
      </c>
    </row>
    <row r="82">
      <c r="A82" s="10">
        <f>IFERROR(__xludf.DUMMYFUNCTION("""COMPUTED_VALUE"""),"")</f>
        <v/>
      </c>
      <c r="B82" s="10">
        <f>IFERROR(__xludf.DUMMYFUNCTION("""COMPUTED_VALUE"""),"")</f>
        <v/>
      </c>
      <c r="C82" s="10">
        <f>IFERROR(__xludf.DUMMYFUNCTION("""COMPUTED_VALUE"""),"")</f>
        <v/>
      </c>
      <c r="D82" s="10">
        <f>IFERROR(__xludf.DUMMYFUNCTION("""COMPUTED_VALUE"""),"")</f>
        <v/>
      </c>
      <c r="E82" s="10">
        <f>IFERROR(__xludf.DUMMYFUNCTION("""COMPUTED_VALUE"""),"")</f>
        <v/>
      </c>
      <c r="F82" s="10">
        <f>IFERROR(__xludf.DUMMYFUNCTION("""COMPUTED_VALUE"""),"")</f>
        <v/>
      </c>
      <c r="G82" s="10">
        <f>IFERROR(__xludf.DUMMYFUNCTION("""COMPUTED_VALUE"""),"")</f>
        <v/>
      </c>
      <c r="H82" s="10">
        <f>IFERROR(__xludf.DUMMYFUNCTION("""COMPUTED_VALUE"""),"")</f>
        <v/>
      </c>
      <c r="I82" s="10" t="inlineStr"/>
      <c r="L82" s="10" t="inlineStr"/>
      <c r="W82" s="10" t="n">
        <v>0</v>
      </c>
      <c r="X82" s="10" t="inlineStr"/>
      <c r="Y82" s="10">
        <f>IFERROR(__xludf.DUMMYFUNCTION("""COMPUTED_VALUE"""),"")</f>
        <v/>
      </c>
      <c r="Z82" s="10">
        <f>IFERROR(__xludf.DUMMYFUNCTION("""COMPUTED_VALUE"""),"")</f>
        <v/>
      </c>
    </row>
    <row r="83">
      <c r="A83" s="10">
        <f>IFERROR(__xludf.DUMMYFUNCTION("""COMPUTED_VALUE"""),"")</f>
        <v/>
      </c>
      <c r="B83" s="10">
        <f>IFERROR(__xludf.DUMMYFUNCTION("""COMPUTED_VALUE"""),"")</f>
        <v/>
      </c>
      <c r="C83" s="10">
        <f>IFERROR(__xludf.DUMMYFUNCTION("""COMPUTED_VALUE"""),"")</f>
        <v/>
      </c>
      <c r="D83" s="10">
        <f>IFERROR(__xludf.DUMMYFUNCTION("""COMPUTED_VALUE"""),"")</f>
        <v/>
      </c>
      <c r="E83" s="10">
        <f>IFERROR(__xludf.DUMMYFUNCTION("""COMPUTED_VALUE"""),"")</f>
        <v/>
      </c>
      <c r="F83" s="10">
        <f>IFERROR(__xludf.DUMMYFUNCTION("""COMPUTED_VALUE"""),"")</f>
        <v/>
      </c>
      <c r="G83" s="10">
        <f>IFERROR(__xludf.DUMMYFUNCTION("""COMPUTED_VALUE"""),"")</f>
        <v/>
      </c>
      <c r="H83" s="10">
        <f>IFERROR(__xludf.DUMMYFUNCTION("""COMPUTED_VALUE"""),"")</f>
        <v/>
      </c>
      <c r="I83" s="10" t="inlineStr"/>
      <c r="L83" s="10" t="inlineStr"/>
      <c r="W83" s="10" t="n">
        <v>0</v>
      </c>
      <c r="X83" s="10" t="inlineStr"/>
      <c r="Y83" s="10">
        <f>IFERROR(__xludf.DUMMYFUNCTION("""COMPUTED_VALUE"""),"")</f>
        <v/>
      </c>
      <c r="Z83" s="10">
        <f>IFERROR(__xludf.DUMMYFUNCTION("""COMPUTED_VALUE"""),"")</f>
        <v/>
      </c>
    </row>
    <row r="84">
      <c r="A84" s="10">
        <f>IFERROR(__xludf.DUMMYFUNCTION("""COMPUTED_VALUE"""),"")</f>
        <v/>
      </c>
      <c r="B84" s="10">
        <f>IFERROR(__xludf.DUMMYFUNCTION("""COMPUTED_VALUE"""),"")</f>
        <v/>
      </c>
      <c r="C84" s="10">
        <f>IFERROR(__xludf.DUMMYFUNCTION("""COMPUTED_VALUE"""),"")</f>
        <v/>
      </c>
      <c r="D84" s="10">
        <f>IFERROR(__xludf.DUMMYFUNCTION("""COMPUTED_VALUE"""),"")</f>
        <v/>
      </c>
      <c r="E84" s="10">
        <f>IFERROR(__xludf.DUMMYFUNCTION("""COMPUTED_VALUE"""),"")</f>
        <v/>
      </c>
      <c r="F84" s="10">
        <f>IFERROR(__xludf.DUMMYFUNCTION("""COMPUTED_VALUE"""),"")</f>
        <v/>
      </c>
      <c r="G84" s="10">
        <f>IFERROR(__xludf.DUMMYFUNCTION("""COMPUTED_VALUE"""),"")</f>
        <v/>
      </c>
      <c r="H84" s="10">
        <f>IFERROR(__xludf.DUMMYFUNCTION("""COMPUTED_VALUE"""),"")</f>
        <v/>
      </c>
      <c r="I84" s="10" t="inlineStr"/>
      <c r="L84" s="10" t="inlineStr"/>
      <c r="W84" s="10" t="n">
        <v>0</v>
      </c>
      <c r="X84" s="10" t="inlineStr"/>
      <c r="Y84" s="10">
        <f>IFERROR(__xludf.DUMMYFUNCTION("""COMPUTED_VALUE"""),"")</f>
        <v/>
      </c>
      <c r="Z84" s="10">
        <f>IFERROR(__xludf.DUMMYFUNCTION("""COMPUTED_VALUE"""),"")</f>
        <v/>
      </c>
    </row>
    <row r="85">
      <c r="A85" s="10">
        <f>IFERROR(__xludf.DUMMYFUNCTION("""COMPUTED_VALUE"""),"")</f>
        <v/>
      </c>
      <c r="B85" s="10">
        <f>IFERROR(__xludf.DUMMYFUNCTION("""COMPUTED_VALUE"""),"")</f>
        <v/>
      </c>
      <c r="C85" s="10">
        <f>IFERROR(__xludf.DUMMYFUNCTION("""COMPUTED_VALUE"""),"")</f>
        <v/>
      </c>
      <c r="D85" s="10">
        <f>IFERROR(__xludf.DUMMYFUNCTION("""COMPUTED_VALUE"""),"")</f>
        <v/>
      </c>
      <c r="E85" s="10">
        <f>IFERROR(__xludf.DUMMYFUNCTION("""COMPUTED_VALUE"""),"")</f>
        <v/>
      </c>
      <c r="F85" s="10">
        <f>IFERROR(__xludf.DUMMYFUNCTION("""COMPUTED_VALUE"""),"")</f>
        <v/>
      </c>
      <c r="G85" s="10">
        <f>IFERROR(__xludf.DUMMYFUNCTION("""COMPUTED_VALUE"""),"")</f>
        <v/>
      </c>
      <c r="H85" s="10">
        <f>IFERROR(__xludf.DUMMYFUNCTION("""COMPUTED_VALUE"""),"")</f>
        <v/>
      </c>
      <c r="I85" s="10" t="inlineStr"/>
      <c r="L85" s="10" t="inlineStr"/>
      <c r="W85" s="10" t="n">
        <v>0</v>
      </c>
      <c r="X85" s="10" t="inlineStr"/>
      <c r="Y85" s="10">
        <f>IFERROR(__xludf.DUMMYFUNCTION("""COMPUTED_VALUE"""),"")</f>
        <v/>
      </c>
      <c r="Z85" s="10">
        <f>IFERROR(__xludf.DUMMYFUNCTION("""COMPUTED_VALUE"""),"")</f>
        <v/>
      </c>
    </row>
    <row r="86">
      <c r="A86" s="10">
        <f>IFERROR(__xludf.DUMMYFUNCTION("""COMPUTED_VALUE"""),"")</f>
        <v/>
      </c>
      <c r="B86" s="10">
        <f>IFERROR(__xludf.DUMMYFUNCTION("""COMPUTED_VALUE"""),"")</f>
        <v/>
      </c>
      <c r="C86" s="10">
        <f>IFERROR(__xludf.DUMMYFUNCTION("""COMPUTED_VALUE"""),"")</f>
        <v/>
      </c>
      <c r="D86" s="10">
        <f>IFERROR(__xludf.DUMMYFUNCTION("""COMPUTED_VALUE"""),"")</f>
        <v/>
      </c>
      <c r="E86" s="10">
        <f>IFERROR(__xludf.DUMMYFUNCTION("""COMPUTED_VALUE"""),"")</f>
        <v/>
      </c>
      <c r="F86" s="10">
        <f>IFERROR(__xludf.DUMMYFUNCTION("""COMPUTED_VALUE"""),"")</f>
        <v/>
      </c>
      <c r="G86" s="10">
        <f>IFERROR(__xludf.DUMMYFUNCTION("""COMPUTED_VALUE"""),"")</f>
        <v/>
      </c>
      <c r="H86" s="10">
        <f>IFERROR(__xludf.DUMMYFUNCTION("""COMPUTED_VALUE"""),"")</f>
        <v/>
      </c>
      <c r="I86" s="10" t="inlineStr"/>
      <c r="L86" s="10" t="inlineStr"/>
      <c r="W86" s="10" t="n">
        <v>0</v>
      </c>
      <c r="X86" s="10" t="inlineStr"/>
      <c r="Y86" s="10">
        <f>IFERROR(__xludf.DUMMYFUNCTION("""COMPUTED_VALUE"""),"")</f>
        <v/>
      </c>
      <c r="Z86" s="10">
        <f>IFERROR(__xludf.DUMMYFUNCTION("""COMPUTED_VALUE"""),"")</f>
        <v/>
      </c>
    </row>
    <row r="87">
      <c r="A87" s="10">
        <f>IFERROR(__xludf.DUMMYFUNCTION("""COMPUTED_VALUE"""),"")</f>
        <v/>
      </c>
      <c r="B87" s="10">
        <f>IFERROR(__xludf.DUMMYFUNCTION("""COMPUTED_VALUE"""),"")</f>
        <v/>
      </c>
      <c r="C87" s="10">
        <f>IFERROR(__xludf.DUMMYFUNCTION("""COMPUTED_VALUE"""),"")</f>
        <v/>
      </c>
      <c r="D87" s="10">
        <f>IFERROR(__xludf.DUMMYFUNCTION("""COMPUTED_VALUE"""),"")</f>
        <v/>
      </c>
      <c r="E87" s="10">
        <f>IFERROR(__xludf.DUMMYFUNCTION("""COMPUTED_VALUE"""),"")</f>
        <v/>
      </c>
      <c r="F87" s="10">
        <f>IFERROR(__xludf.DUMMYFUNCTION("""COMPUTED_VALUE"""),"")</f>
        <v/>
      </c>
      <c r="G87" s="10">
        <f>IFERROR(__xludf.DUMMYFUNCTION("""COMPUTED_VALUE"""),"")</f>
        <v/>
      </c>
      <c r="H87" s="10">
        <f>IFERROR(__xludf.DUMMYFUNCTION("""COMPUTED_VALUE"""),"")</f>
        <v/>
      </c>
      <c r="I87" s="10" t="inlineStr"/>
      <c r="L87" s="10" t="inlineStr"/>
      <c r="W87" s="10" t="n">
        <v>0</v>
      </c>
      <c r="X87" s="10" t="inlineStr"/>
      <c r="Y87" s="10">
        <f>IFERROR(__xludf.DUMMYFUNCTION("""COMPUTED_VALUE"""),"")</f>
        <v/>
      </c>
      <c r="Z87" s="10">
        <f>IFERROR(__xludf.DUMMYFUNCTION("""COMPUTED_VALUE"""),"")</f>
        <v/>
      </c>
    </row>
    <row r="88">
      <c r="A88" s="10">
        <f>IFERROR(__xludf.DUMMYFUNCTION("""COMPUTED_VALUE"""),"")</f>
        <v/>
      </c>
      <c r="B88" s="10">
        <f>IFERROR(__xludf.DUMMYFUNCTION("""COMPUTED_VALUE"""),"")</f>
        <v/>
      </c>
      <c r="C88" s="10">
        <f>IFERROR(__xludf.DUMMYFUNCTION("""COMPUTED_VALUE"""),"")</f>
        <v/>
      </c>
      <c r="D88" s="10">
        <f>IFERROR(__xludf.DUMMYFUNCTION("""COMPUTED_VALUE"""),"")</f>
        <v/>
      </c>
      <c r="E88" s="10">
        <f>IFERROR(__xludf.DUMMYFUNCTION("""COMPUTED_VALUE"""),"")</f>
        <v/>
      </c>
      <c r="F88" s="10">
        <f>IFERROR(__xludf.DUMMYFUNCTION("""COMPUTED_VALUE"""),"")</f>
        <v/>
      </c>
      <c r="G88" s="10">
        <f>IFERROR(__xludf.DUMMYFUNCTION("""COMPUTED_VALUE"""),"")</f>
        <v/>
      </c>
      <c r="H88" s="10">
        <f>IFERROR(__xludf.DUMMYFUNCTION("""COMPUTED_VALUE"""),"")</f>
        <v/>
      </c>
      <c r="I88" s="10" t="inlineStr"/>
      <c r="L88" s="10" t="inlineStr"/>
      <c r="W88" s="10" t="n">
        <v>0</v>
      </c>
      <c r="X88" s="10" t="inlineStr"/>
      <c r="Y88" s="10">
        <f>IFERROR(__xludf.DUMMYFUNCTION("""COMPUTED_VALUE"""),"")</f>
        <v/>
      </c>
      <c r="Z88" s="10">
        <f>IFERROR(__xludf.DUMMYFUNCTION("""COMPUTED_VALUE"""),"")</f>
        <v/>
      </c>
    </row>
    <row r="89">
      <c r="A89" s="10">
        <f>IFERROR(__xludf.DUMMYFUNCTION("""COMPUTED_VALUE"""),"")</f>
        <v/>
      </c>
      <c r="B89" s="10">
        <f>IFERROR(__xludf.DUMMYFUNCTION("""COMPUTED_VALUE"""),"")</f>
        <v/>
      </c>
      <c r="C89" s="10">
        <f>IFERROR(__xludf.DUMMYFUNCTION("""COMPUTED_VALUE"""),"")</f>
        <v/>
      </c>
      <c r="D89" s="10">
        <f>IFERROR(__xludf.DUMMYFUNCTION("""COMPUTED_VALUE"""),"")</f>
        <v/>
      </c>
      <c r="E89" s="10">
        <f>IFERROR(__xludf.DUMMYFUNCTION("""COMPUTED_VALUE"""),"")</f>
        <v/>
      </c>
      <c r="F89" s="10">
        <f>IFERROR(__xludf.DUMMYFUNCTION("""COMPUTED_VALUE"""),"")</f>
        <v/>
      </c>
      <c r="G89" s="10">
        <f>IFERROR(__xludf.DUMMYFUNCTION("""COMPUTED_VALUE"""),"")</f>
        <v/>
      </c>
      <c r="H89" s="10">
        <f>IFERROR(__xludf.DUMMYFUNCTION("""COMPUTED_VALUE"""),"")</f>
        <v/>
      </c>
      <c r="I89" s="10" t="inlineStr"/>
      <c r="L89" s="10" t="inlineStr"/>
      <c r="W89" s="10" t="n">
        <v>0</v>
      </c>
      <c r="X89" s="10" t="inlineStr"/>
      <c r="Y89" s="10">
        <f>IFERROR(__xludf.DUMMYFUNCTION("""COMPUTED_VALUE"""),"")</f>
        <v/>
      </c>
      <c r="Z89" s="10">
        <f>IFERROR(__xludf.DUMMYFUNCTION("""COMPUTED_VALUE"""),"")</f>
        <v/>
      </c>
    </row>
    <row r="90">
      <c r="A90" s="10">
        <f>IFERROR(__xludf.DUMMYFUNCTION("""COMPUTED_VALUE"""),"")</f>
        <v/>
      </c>
      <c r="B90" s="10">
        <f>IFERROR(__xludf.DUMMYFUNCTION("""COMPUTED_VALUE"""),"")</f>
        <v/>
      </c>
      <c r="C90" s="10">
        <f>IFERROR(__xludf.DUMMYFUNCTION("""COMPUTED_VALUE"""),"")</f>
        <v/>
      </c>
      <c r="D90" s="10">
        <f>IFERROR(__xludf.DUMMYFUNCTION("""COMPUTED_VALUE"""),"")</f>
        <v/>
      </c>
      <c r="E90" s="10">
        <f>IFERROR(__xludf.DUMMYFUNCTION("""COMPUTED_VALUE"""),"")</f>
        <v/>
      </c>
      <c r="F90" s="10">
        <f>IFERROR(__xludf.DUMMYFUNCTION("""COMPUTED_VALUE"""),"")</f>
        <v/>
      </c>
      <c r="G90" s="10">
        <f>IFERROR(__xludf.DUMMYFUNCTION("""COMPUTED_VALUE"""),"")</f>
        <v/>
      </c>
      <c r="H90" s="10">
        <f>IFERROR(__xludf.DUMMYFUNCTION("""COMPUTED_VALUE"""),"")</f>
        <v/>
      </c>
      <c r="I90" s="10" t="inlineStr"/>
      <c r="L90" s="10" t="inlineStr"/>
      <c r="W90" s="10" t="n">
        <v>0</v>
      </c>
      <c r="X90" s="10" t="inlineStr"/>
      <c r="Y90" s="10">
        <f>IFERROR(__xludf.DUMMYFUNCTION("""COMPUTED_VALUE"""),"")</f>
        <v/>
      </c>
      <c r="Z90" s="10">
        <f>IFERROR(__xludf.DUMMYFUNCTION("""COMPUTED_VALUE"""),"")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style="19" min="1" max="1"/>
    <col width="26" customWidth="1" style="19" min="2" max="2"/>
    <col width="16" customWidth="1" style="19" min="3" max="3"/>
    <col width="30" customWidth="1" style="19" min="4" max="4"/>
    <col width="12" customWidth="1" style="19" min="5" max="5"/>
    <col width="12" customWidth="1" style="19" min="6" max="6"/>
    <col width="15" customWidth="1" style="19" min="7" max="7"/>
    <col width="6" customWidth="1" style="19" min="8" max="8"/>
    <col width="6" customWidth="1" style="19" min="9" max="9"/>
    <col width="6" customWidth="1" style="19" min="10" max="10"/>
    <col width="9" customWidth="1" style="19" min="11" max="11"/>
    <col width="12" customWidth="1" style="19" min="12" max="12"/>
    <col width="20" customWidth="1" style="19" min="13" max="13"/>
    <col width="17" customWidth="1" style="19" min="14" max="14"/>
    <col width="16" customWidth="1" style="19" min="15" max="15"/>
    <col width="18" customWidth="1" style="19" min="16" max="16"/>
    <col width="10" customWidth="1" style="19" min="17" max="17"/>
    <col width="10" customWidth="1" style="19" min="18" max="18"/>
    <col width="10" customWidth="1" style="19" min="19" max="19"/>
    <col width="24" customWidth="1" style="19" min="20" max="20"/>
    <col width="50" customWidth="1" style="19" min="21" max="21"/>
    <col width="60" customWidth="1" style="19" min="23" max="23"/>
  </cols>
  <sheetData>
    <row r="1">
      <c r="A1" s="20" t="inlineStr">
        <is>
          <t>#</t>
        </is>
      </c>
      <c r="B1" s="20" t="inlineStr">
        <is>
          <t>Address</t>
        </is>
      </c>
      <c r="C1" s="20" t="inlineStr">
        <is>
          <t>Suburb</t>
        </is>
      </c>
      <c r="D1" s="20" t="inlineStr">
        <is>
          <t>Price guide (as listed)</t>
        </is>
      </c>
      <c r="E1" s="20" t="inlineStr">
        <is>
          <t>Guide low ($)</t>
        </is>
      </c>
      <c r="F1" s="20" t="inlineStr">
        <is>
          <t>Guide high ($)</t>
        </is>
      </c>
      <c r="G1" s="20" t="inlineStr">
        <is>
          <t>Budget check (vs Filters!B2)</t>
        </is>
      </c>
      <c r="H1" s="20" t="inlineStr">
        <is>
          <t>Beds</t>
        </is>
      </c>
      <c r="I1" s="20" t="inlineStr">
        <is>
          <t>Baths</t>
        </is>
      </c>
      <c r="J1" s="20" t="inlineStr">
        <is>
          <t>Cars</t>
        </is>
      </c>
      <c r="K1" s="20" t="inlineStr">
        <is>
          <t>Land (m²)</t>
        </is>
      </c>
      <c r="L1" s="20" t="inlineStr">
        <is>
          <t>Listing status</t>
        </is>
      </c>
      <c r="M1" s="20" t="inlineStr">
        <is>
          <t>Next inspection (as of 27 Oct)</t>
        </is>
      </c>
      <c r="N1" s="20" t="inlineStr">
        <is>
          <t>Agent</t>
        </is>
      </c>
      <c r="O1" s="20" t="inlineStr">
        <is>
          <t>Scorecard suburb (lookup key)</t>
        </is>
      </c>
      <c r="P1" s="20" t="inlineStr">
        <is>
          <t>Scorecard shortlist status</t>
        </is>
      </c>
      <c r="Q1" s="20" t="inlineStr">
        <is>
          <t>Drive to GW (min, suburb)</t>
        </is>
      </c>
      <c r="R1" s="20" t="inlineStr">
        <is>
          <t>Drive to ED (min, suburb)</t>
        </is>
      </c>
      <c r="S1" s="20" t="inlineStr">
        <is>
          <t>Train (suburb)</t>
        </is>
      </c>
      <c r="T1" s="20" t="inlineStr">
        <is>
          <t>Overall check</t>
        </is>
      </c>
      <c r="U1" s="20" t="inlineStr">
        <is>
          <t>Notes</t>
        </is>
      </c>
      <c r="W1" s="21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>
      <c r="A2" t="n">
        <v>1</v>
      </c>
      <c r="B2" t="inlineStr">
        <is>
          <t>6 Beales Street</t>
        </is>
      </c>
      <c r="C2" t="inlineStr">
        <is>
          <t>Torquay</t>
        </is>
      </c>
      <c r="D2" t="inlineStr">
        <is>
          <t>$1,475,000-$1,575,000</t>
        </is>
      </c>
      <c r="E2" s="17" t="n">
        <v>1475000</v>
      </c>
      <c r="F2" s="17" t="n">
        <v>1575000</v>
      </c>
      <c r="G2">
        <f>IF(E2="","Needs data",IF(F2&lt;=Filters!$B$2,"Within cap",IF(E2&lt;=Filters!$B$2,"Straddles cap","Over cap")))</f>
        <v/>
      </c>
      <c r="H2" t="n">
        <v>4</v>
      </c>
      <c r="I2" t="n">
        <v>2</v>
      </c>
      <c r="J2" t="n">
        <v>2</v>
      </c>
      <c r="K2" t="n">
        <v>411</v>
      </c>
      <c r="L2" t="inlineStr">
        <is>
          <t>Active</t>
        </is>
      </c>
      <c r="M2" t="inlineStr">
        <is>
          <t>Tue 27 Oct 5:00pm</t>
        </is>
      </c>
      <c r="N2" t="inlineStr">
        <is>
          <t>Chris Henson</t>
        </is>
      </c>
      <c r="O2" t="inlineStr">
        <is>
          <t>Torquay</t>
        </is>
      </c>
      <c r="P2">
        <f>IFERROR(INDEX(SuburbScorecard!$C:$C,MATCH($O2,SuburbScorecard!$A:$A,0)),"Not on scorecard")</f>
        <v/>
      </c>
      <c r="Q2">
        <f>IFERROR(IF(INDEX(SuburbScorecard!$J:$J,MATCH($O2,SuburbScorecard!$A:$A,0))="","",INDEX(SuburbScorecard!$J:$J,MATCH($O2,SuburbScorecard!$A:$A,0))),"")</f>
        <v/>
      </c>
      <c r="R2">
        <f>IFERROR(IF(INDEX(SuburbScorecard!$K:$K,MATCH($O2,SuburbScorecard!$A:$A,0))="","",INDEX(SuburbScorecard!$K:$K,MATCH($O2,SuburbScorecard!$A:$A,0))),"")</f>
        <v/>
      </c>
      <c r="S2">
        <f>IFERROR(IF(INDEX(SuburbScorecard!$AB:$AB,MATCH($O2,SuburbScorecard!$A:$A,0))="","Needs data",INDEX(SuburbScorecard!$AB:$AB,MATCH($O2,SuburbScorecard!$A:$A,0))),"Needs data")</f>
        <v/>
      </c>
      <c r="T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</row>
    <row r="3">
      <c r="A3" t="n">
        <v>2</v>
      </c>
      <c r="B3" t="inlineStr">
        <is>
          <t>1/1 Bruce Street</t>
        </is>
      </c>
      <c r="C3" t="inlineStr">
        <is>
          <t>West Footscray</t>
        </is>
      </c>
      <c r="D3" t="inlineStr">
        <is>
          <t>$1,200,000-$1,300,000</t>
        </is>
      </c>
      <c r="E3" s="17" t="n">
        <v>1200000</v>
      </c>
      <c r="F3" s="17" t="n">
        <v>1300000</v>
      </c>
      <c r="G3">
        <f>IF(E3="","Needs data",IF(F3&lt;=Filters!$B$2,"Within cap",IF(E3&lt;=Filters!$B$2,"Straddles cap","Over cap")))</f>
        <v/>
      </c>
      <c r="H3" t="n">
        <v>3</v>
      </c>
      <c r="I3" t="n">
        <v>2</v>
      </c>
      <c r="J3" t="n">
        <v>2</v>
      </c>
      <c r="L3" t="inlineStr">
        <is>
          <t>Active</t>
        </is>
      </c>
      <c r="M3" t="inlineStr">
        <is>
          <t>Thu 29 Oct 5:15pm</t>
        </is>
      </c>
      <c r="N3" t="inlineStr">
        <is>
          <t>Huss Saad</t>
        </is>
      </c>
      <c r="O3" t="inlineStr">
        <is>
          <t>West Footscray</t>
        </is>
      </c>
      <c r="P3">
        <f>IFERROR(INDEX(SuburbScorecard!$C:$C,MATCH($O3,SuburbScorecard!$A:$A,0)),"Not on scorecard")</f>
        <v/>
      </c>
      <c r="Q3">
        <f>IFERROR(IF(INDEX(SuburbScorecard!$J:$J,MATCH($O3,SuburbScorecard!$A:$A,0))="","",INDEX(SuburbScorecard!$J:$J,MATCH($O3,SuburbScorecard!$A:$A,0))),"")</f>
        <v/>
      </c>
      <c r="R3">
        <f>IFERROR(IF(INDEX(SuburbScorecard!$K:$K,MATCH($O3,SuburbScorecard!$A:$A,0))="","",INDEX(SuburbScorecard!$K:$K,MATCH($O3,SuburbScorecard!$A:$A,0))),"")</f>
        <v/>
      </c>
      <c r="S3">
        <f>IFERROR(IF(INDEX(SuburbScorecard!$AB:$AB,MATCH($O3,SuburbScorecard!$A:$A,0))="","Needs data",INDEX(SuburbScorecard!$AB:$AB,MATCH($O3,SuburbScorecard!$A:$A,0))),"Needs data")</f>
        <v/>
      </c>
      <c r="T3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t="inlineStr">
        <is>
          <t>Suburb not on scorecard</t>
        </is>
      </c>
    </row>
    <row r="4">
      <c r="A4" t="n">
        <v>3</v>
      </c>
      <c r="B4" t="inlineStr">
        <is>
          <t>67 Donna Buang Road</t>
        </is>
      </c>
      <c r="C4" t="inlineStr">
        <is>
          <t>Warburton</t>
        </is>
      </c>
      <c r="D4" t="inlineStr">
        <is>
          <t>$900,000-$990,000</t>
        </is>
      </c>
      <c r="E4" s="17" t="n">
        <v>900000</v>
      </c>
      <c r="F4" s="17" t="n">
        <v>990000</v>
      </c>
      <c r="G4">
        <f>IF(E4="","Needs data",IF(F4&lt;=Filters!$B$2,"Within cap",IF(E4&lt;=Filters!$B$2,"Straddles cap","Over cap")))</f>
        <v/>
      </c>
      <c r="H4" t="n">
        <v>5</v>
      </c>
      <c r="I4" t="n">
        <v>3</v>
      </c>
      <c r="J4" t="n">
        <v>4</v>
      </c>
      <c r="K4" t="n">
        <v>3235</v>
      </c>
      <c r="L4" t="inlineStr">
        <is>
          <t>Active</t>
        </is>
      </c>
      <c r="M4" t="inlineStr">
        <is>
          <t>None listed</t>
        </is>
      </c>
      <c r="N4" t="inlineStr">
        <is>
          <t>Suzie Brannelly</t>
        </is>
      </c>
      <c r="O4" t="inlineStr">
        <is>
          <t>Warburton</t>
        </is>
      </c>
      <c r="P4">
        <f>IFERROR(INDEX(SuburbScorecard!$C:$C,MATCH($O4,SuburbScorecard!$A:$A,0)),"Not on scorecard")</f>
        <v/>
      </c>
      <c r="Q4">
        <f>IFERROR(IF(INDEX(SuburbScorecard!$J:$J,MATCH($O4,SuburbScorecard!$A:$A,0))="","",INDEX(SuburbScorecard!$J:$J,MATCH($O4,SuburbScorecard!$A:$A,0))),"")</f>
        <v/>
      </c>
      <c r="R4">
        <f>IFERROR(IF(INDEX(SuburbScorecard!$K:$K,MATCH($O4,SuburbScorecard!$A:$A,0))="","",INDEX(SuburbScorecard!$K:$K,MATCH($O4,SuburbScorecard!$A:$A,0))),"")</f>
        <v/>
      </c>
      <c r="S4">
        <f>IFERROR(IF(INDEX(SuburbScorecard!$AB:$AB,MATCH($O4,SuburbScorecard!$A:$A,0))="","Needs data",INDEX(SuburbScorecard!$AB:$AB,MATCH($O4,SuburbScorecard!$A:$A,0))),"Needs data")</f>
        <v/>
      </c>
      <c r="T4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t="inlineStr">
        <is>
          <t>Drive times added 27 Oct (suburb centre). 3,235 m² block; check winter, fire and slope</t>
        </is>
      </c>
    </row>
    <row r="5">
      <c r="A5" t="n">
        <v>4</v>
      </c>
      <c r="B5" t="inlineStr">
        <is>
          <t>8 Williams Bay Grove</t>
        </is>
      </c>
      <c r="C5" t="inlineStr">
        <is>
          <t>Williamstown</t>
        </is>
      </c>
      <c r="D5" t="inlineStr">
        <is>
          <t>$1,700,000</t>
        </is>
      </c>
      <c r="E5" s="17" t="n">
        <v>1700000</v>
      </c>
      <c r="F5" s="17" t="n">
        <v>1700000</v>
      </c>
      <c r="G5">
        <f>IF(E5="","Needs data",IF(F5&lt;=Filters!$B$2,"Within cap",IF(E5&lt;=Filters!$B$2,"Straddles cap","Over cap")))</f>
        <v/>
      </c>
      <c r="H5" t="n">
        <v>3</v>
      </c>
      <c r="I5" t="n">
        <v>2</v>
      </c>
      <c r="J5" t="n">
        <v>2</v>
      </c>
      <c r="L5" t="inlineStr">
        <is>
          <t>Active</t>
        </is>
      </c>
      <c r="M5" t="inlineStr">
        <is>
          <t>Sat 31 Oct 11:15am</t>
        </is>
      </c>
      <c r="N5" t="inlineStr">
        <is>
          <t>Katie Smith</t>
        </is>
      </c>
      <c r="O5" t="inlineStr">
        <is>
          <t>Williamstown</t>
        </is>
      </c>
      <c r="P5">
        <f>IFERROR(INDEX(SuburbScorecard!$C:$C,MATCH($O5,SuburbScorecard!$A:$A,0)),"Not on scorecard")</f>
        <v/>
      </c>
      <c r="Q5">
        <f>IFERROR(IF(INDEX(SuburbScorecard!$J:$J,MATCH($O5,SuburbScorecard!$A:$A,0))="","",INDEX(SuburbScorecard!$J:$J,MATCH($O5,SuburbScorecard!$A:$A,0))),"")</f>
        <v/>
      </c>
      <c r="R5">
        <f>IFERROR(IF(INDEX(SuburbScorecard!$K:$K,MATCH($O5,SuburbScorecard!$A:$A,0))="","",INDEX(SuburbScorecard!$K:$K,MATCH($O5,SuburbScorecard!$A:$A,0))),"")</f>
        <v/>
      </c>
      <c r="S5">
        <f>IFERROR(IF(INDEX(SuburbScorecard!$AB:$AB,MATCH($O5,SuburbScorecard!$A:$A,0))="","Needs data",INDEX(SuburbScorecard!$AB:$AB,MATCH($O5,SuburbScorecard!$A:$A,0))),"Needs data")</f>
        <v/>
      </c>
      <c r="T5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</row>
    <row r="6">
      <c r="A6" t="n">
        <v>5</v>
      </c>
      <c r="B6" t="inlineStr">
        <is>
          <t>25 Phillips Crescent</t>
        </is>
      </c>
      <c r="C6" t="inlineStr">
        <is>
          <t>Rosanna</t>
        </is>
      </c>
      <c r="D6" t="inlineStr">
        <is>
          <t>ESR $1,450,000-$1,550,000</t>
        </is>
      </c>
      <c r="E6" s="17" t="n">
        <v>1450000</v>
      </c>
      <c r="F6" s="17" t="n">
        <v>1550000</v>
      </c>
      <c r="G6">
        <f>IF(E6="","Needs data",IF(F6&lt;=Filters!$B$2,"Within cap",IF(E6&lt;=Filters!$B$2,"Straddles cap","Over cap")))</f>
        <v/>
      </c>
      <c r="H6" t="n">
        <v>4</v>
      </c>
      <c r="I6" t="n">
        <v>3</v>
      </c>
      <c r="J6" t="n">
        <v>2</v>
      </c>
      <c r="K6" t="n">
        <v>655</v>
      </c>
      <c r="L6" t="inlineStr">
        <is>
          <t>Active</t>
        </is>
      </c>
      <c r="M6" t="inlineStr">
        <is>
          <t>Tue 27 Oct 5:00pm</t>
        </is>
      </c>
      <c r="N6" t="inlineStr">
        <is>
          <t>Ashlee Jade</t>
        </is>
      </c>
      <c r="O6" t="inlineStr">
        <is>
          <t>Rosanna</t>
        </is>
      </c>
      <c r="P6">
        <f>IFERROR(INDEX(SuburbScorecard!$C:$C,MATCH($O6,SuburbScorecard!$A:$A,0)),"Not on scorecard")</f>
        <v/>
      </c>
      <c r="Q6">
        <f>IFERROR(IF(INDEX(SuburbScorecard!$J:$J,MATCH($O6,SuburbScorecard!$A:$A,0))="","",INDEX(SuburbScorecard!$J:$J,MATCH($O6,SuburbScorecard!$A:$A,0))),"")</f>
        <v/>
      </c>
      <c r="R6">
        <f>IFERROR(IF(INDEX(SuburbScorecard!$K:$K,MATCH($O6,SuburbScorecard!$A:$A,0))="","",INDEX(SuburbScorecard!$K:$K,MATCH($O6,SuburbScorecard!$A:$A,0))),"")</f>
        <v/>
      </c>
      <c r="S6">
        <f>IFERROR(IF(INDEX(SuburbScorecard!$AB:$AB,MATCH($O6,SuburbScorecard!$A:$A,0))="","Needs data",INDEX(SuburbScorecard!$AB:$AB,MATCH($O6,SuburbScorecard!$A:$A,0))),"Needs data")</f>
        <v/>
      </c>
      <c r="T6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t="inlineStr">
        <is>
          <t>Suburb not on scorecard</t>
        </is>
      </c>
    </row>
    <row r="7">
      <c r="A7" t="n">
        <v>6</v>
      </c>
      <c r="B7" t="inlineStr">
        <is>
          <t>29 Campbell Street</t>
        </is>
      </c>
      <c r="C7" t="inlineStr">
        <is>
          <t>Diamond Creek</t>
        </is>
      </c>
      <c r="D7" t="inlineStr">
        <is>
          <t>New price $1.25m</t>
        </is>
      </c>
      <c r="E7" s="17" t="n">
        <v>1250000</v>
      </c>
      <c r="F7" s="17" t="n">
        <v>1250000</v>
      </c>
      <c r="G7">
        <f>IF(E7="","Needs data",IF(F7&lt;=Filters!$B$2,"Within cap",IF(E7&lt;=Filters!$B$2,"Straddles cap","Over cap")))</f>
        <v/>
      </c>
      <c r="H7" t="n">
        <v>4</v>
      </c>
      <c r="I7" t="n">
        <v>2</v>
      </c>
      <c r="J7" t="n">
        <v>2</v>
      </c>
      <c r="K7" t="n">
        <v>884</v>
      </c>
      <c r="L7" t="inlineStr">
        <is>
          <t>Active</t>
        </is>
      </c>
      <c r="M7" t="inlineStr">
        <is>
          <t>Tue 27 Oct 6:00pm</t>
        </is>
      </c>
      <c r="N7" t="inlineStr">
        <is>
          <t>Sheryl Emerson</t>
        </is>
      </c>
      <c r="O7" t="inlineStr">
        <is>
          <t>Diamond Creek</t>
        </is>
      </c>
      <c r="P7">
        <f>IFERROR(INDEX(SuburbScorecard!$C:$C,MATCH($O7,SuburbScorecard!$A:$A,0)),"Not on scorecard")</f>
        <v/>
      </c>
      <c r="Q7">
        <f>IFERROR(IF(INDEX(SuburbScorecard!$J:$J,MATCH($O7,SuburbScorecard!$A:$A,0))="","",INDEX(SuburbScorecard!$J:$J,MATCH($O7,SuburbScorecard!$A:$A,0))),"")</f>
        <v/>
      </c>
      <c r="R7">
        <f>IFERROR(IF(INDEX(SuburbScorecard!$K:$K,MATCH($O7,SuburbScorecard!$A:$A,0))="","",INDEX(SuburbScorecard!$K:$K,MATCH($O7,SuburbScorecard!$A:$A,0))),"")</f>
        <v/>
      </c>
      <c r="S7">
        <f>IFERROR(IF(INDEX(SuburbScorecard!$AB:$AB,MATCH($O7,SuburbScorecard!$A:$A,0))="","Needs data",INDEX(SuburbScorecard!$AB:$AB,MATCH($O7,SuburbScorecard!$A:$A,0))),"Needs data")</f>
        <v/>
      </c>
      <c r="T7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</row>
    <row r="8">
      <c r="A8" t="n">
        <v>7</v>
      </c>
      <c r="B8" t="inlineStr">
        <is>
          <t>23 Park Street</t>
        </is>
      </c>
      <c r="C8" t="inlineStr">
        <is>
          <t>Mordialloc</t>
        </is>
      </c>
      <c r="D8" t="inlineStr">
        <is>
          <t>$1,750,000-$1,900,000</t>
        </is>
      </c>
      <c r="E8" s="17" t="n">
        <v>1750000</v>
      </c>
      <c r="F8" s="17" t="n">
        <v>1900000</v>
      </c>
      <c r="G8">
        <f>IF(E8="","Needs data",IF(F8&lt;=Filters!$B$2,"Within cap",IF(E8&lt;=Filters!$B$2,"Straddles cap","Over cap")))</f>
        <v/>
      </c>
      <c r="H8" t="n">
        <v>4</v>
      </c>
      <c r="I8" t="n">
        <v>2</v>
      </c>
      <c r="J8" t="n">
        <v>2</v>
      </c>
      <c r="K8" t="n">
        <v>613</v>
      </c>
      <c r="L8" t="inlineStr">
        <is>
          <t>Active</t>
        </is>
      </c>
      <c r="M8" t="inlineStr">
        <is>
          <t>Tue 27 Oct 3:30pm</t>
        </is>
      </c>
      <c r="N8" t="inlineStr">
        <is>
          <t>Lou Colella</t>
        </is>
      </c>
      <c r="O8" t="inlineStr">
        <is>
          <t>Mordialloc</t>
        </is>
      </c>
      <c r="P8">
        <f>IFERROR(INDEX(SuburbScorecard!$C:$C,MATCH($O8,SuburbScorecard!$A:$A,0)),"Not on scorecard")</f>
        <v/>
      </c>
      <c r="Q8">
        <f>IFERROR(IF(INDEX(SuburbScorecard!$J:$J,MATCH($O8,SuburbScorecard!$A:$A,0))="","",INDEX(SuburbScorecard!$J:$J,MATCH($O8,SuburbScorecard!$A:$A,0))),"")</f>
        <v/>
      </c>
      <c r="R8">
        <f>IFERROR(IF(INDEX(SuburbScorecard!$K:$K,MATCH($O8,SuburbScorecard!$A:$A,0))="","",INDEX(SuburbScorecard!$K:$K,MATCH($O8,SuburbScorecard!$A:$A,0))),"")</f>
        <v/>
      </c>
      <c r="S8">
        <f>IFERROR(IF(INDEX(SuburbScorecard!$AB:$AB,MATCH($O8,SuburbScorecard!$A:$A,0))="","Needs data",INDEX(SuburbScorecard!$AB:$AB,MATCH($O8,SuburbScorecard!$A:$A,0))),"Needs data")</f>
        <v/>
      </c>
      <c r="T8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t="inlineStr">
        <is>
          <t>Suburb not on scorecard</t>
        </is>
      </c>
    </row>
    <row r="9">
      <c r="A9" t="n">
        <v>8</v>
      </c>
      <c r="B9" t="inlineStr">
        <is>
          <t>156A Nepean Highway</t>
        </is>
      </c>
      <c r="C9" t="inlineStr">
        <is>
          <t>Seaford</t>
        </is>
      </c>
      <c r="D9" t="inlineStr">
        <is>
          <t>$1,690,000-$1,850,000</t>
        </is>
      </c>
      <c r="E9" s="17" t="n">
        <v>1690000</v>
      </c>
      <c r="F9" s="17" t="n">
        <v>1850000</v>
      </c>
      <c r="G9">
        <f>IF(E9="","Needs data",IF(F9&lt;=Filters!$B$2,"Within cap",IF(E9&lt;=Filters!$B$2,"Straddles cap","Over cap")))</f>
        <v/>
      </c>
      <c r="H9" t="n">
        <v>4</v>
      </c>
      <c r="I9" t="n">
        <v>2</v>
      </c>
      <c r="J9" t="n">
        <v>4</v>
      </c>
      <c r="K9" t="n">
        <v>319</v>
      </c>
      <c r="L9" t="inlineStr">
        <is>
          <t>Under offer</t>
        </is>
      </c>
      <c r="M9" t="inlineStr">
        <is>
          <t>None listed</t>
        </is>
      </c>
      <c r="N9" t="inlineStr">
        <is>
          <t>Dean Bozunovic</t>
        </is>
      </c>
      <c r="O9" t="inlineStr">
        <is>
          <t>Seaford</t>
        </is>
      </c>
      <c r="P9">
        <f>IFERROR(INDEX(SuburbScorecard!$C:$C,MATCH($O9,SuburbScorecard!$A:$A,0)),"Not on scorecard")</f>
        <v/>
      </c>
      <c r="Q9">
        <f>IFERROR(IF(INDEX(SuburbScorecard!$J:$J,MATCH($O9,SuburbScorecard!$A:$A,0))="","",INDEX(SuburbScorecard!$J:$J,MATCH($O9,SuburbScorecard!$A:$A,0))),"")</f>
        <v/>
      </c>
      <c r="R9">
        <f>IFERROR(IF(INDEX(SuburbScorecard!$K:$K,MATCH($O9,SuburbScorecard!$A:$A,0))="","",INDEX(SuburbScorecard!$K:$K,MATCH($O9,SuburbScorecard!$A:$A,0))),"")</f>
        <v/>
      </c>
      <c r="S9">
        <f>IFERROR(IF(INDEX(SuburbScorecard!$AB:$AB,MATCH($O9,SuburbScorecard!$A:$A,0))="","Needs data",INDEX(SuburbScorecard!$AB:$AB,MATCH($O9,SuburbScorecard!$A:$A,0))),"Needs data")</f>
        <v/>
      </c>
      <c r="T9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t="inlineStr">
        <is>
          <t>Suburb not on scorecard</t>
        </is>
      </c>
    </row>
    <row r="10">
      <c r="A10" t="n">
        <v>9</v>
      </c>
      <c r="B10" t="inlineStr">
        <is>
          <t>1/192 Nepean Highway</t>
        </is>
      </c>
      <c r="C10" t="inlineStr">
        <is>
          <t>Seaford</t>
        </is>
      </c>
      <c r="D10" t="inlineStr">
        <is>
          <t>$1,450,000-$1,595,000</t>
        </is>
      </c>
      <c r="E10" s="17" t="n">
        <v>1450000</v>
      </c>
      <c r="F10" s="17" t="n">
        <v>1595000</v>
      </c>
      <c r="G10">
        <f>IF(E10="","Needs data",IF(F10&lt;=Filters!$B$2,"Within cap",IF(E10&lt;=Filters!$B$2,"Straddles cap","Over cap")))</f>
        <v/>
      </c>
      <c r="H10" t="n">
        <v>3</v>
      </c>
      <c r="I10" t="n">
        <v>2</v>
      </c>
      <c r="J10" t="n">
        <v>2</v>
      </c>
      <c r="K10" t="n">
        <v>1019</v>
      </c>
      <c r="L10" t="inlineStr">
        <is>
          <t>Active</t>
        </is>
      </c>
      <c r="M10" t="inlineStr">
        <is>
          <t>Sat 31 Oct 1:00pm</t>
        </is>
      </c>
      <c r="N10" t="inlineStr">
        <is>
          <t>Luke Magree</t>
        </is>
      </c>
      <c r="O10" t="inlineStr">
        <is>
          <t>Seaford</t>
        </is>
      </c>
      <c r="P10">
        <f>IFERROR(INDEX(SuburbScorecard!$C:$C,MATCH($O10,SuburbScorecard!$A:$A,0)),"Not on scorecard")</f>
        <v/>
      </c>
      <c r="Q10">
        <f>IFERROR(IF(INDEX(SuburbScorecard!$J:$J,MATCH($O10,SuburbScorecard!$A:$A,0))="","",INDEX(SuburbScorecard!$J:$J,MATCH($O10,SuburbScorecard!$A:$A,0))),"")</f>
        <v/>
      </c>
      <c r="R10">
        <f>IFERROR(IF(INDEX(SuburbScorecard!$K:$K,MATCH($O10,SuburbScorecard!$A:$A,0))="","",INDEX(SuburbScorecard!$K:$K,MATCH($O10,SuburbScorecard!$A:$A,0))),"")</f>
        <v/>
      </c>
      <c r="S10">
        <f>IFERROR(IF(INDEX(SuburbScorecard!$AB:$AB,MATCH($O10,SuburbScorecard!$A:$A,0))="","Needs data",INDEX(SuburbScorecard!$AB:$AB,MATCH($O10,SuburbScorecard!$A:$A,0))),"Needs data")</f>
        <v/>
      </c>
      <c r="T10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t="inlineStr">
        <is>
          <t>Suburb not on scorecard</t>
        </is>
      </c>
    </row>
    <row r="11">
      <c r="A11" t="n">
        <v>10</v>
      </c>
      <c r="B11" t="inlineStr">
        <is>
          <t>51 Granya Grove</t>
        </is>
      </c>
      <c r="C11" t="inlineStr">
        <is>
          <t>Mount Eliza</t>
        </is>
      </c>
      <c r="D11" t="inlineStr">
        <is>
          <t>$1,799,000-$1,978,000</t>
        </is>
      </c>
      <c r="E11" s="17" t="n">
        <v>1799000</v>
      </c>
      <c r="F11" s="17" t="n">
        <v>1978000</v>
      </c>
      <c r="G11">
        <f>IF(E11="","Needs data",IF(F11&lt;=Filters!$B$2,"Within cap",IF(E11&lt;=Filters!$B$2,"Straddles cap","Over cap")))</f>
        <v/>
      </c>
      <c r="H11" t="n">
        <v>5</v>
      </c>
      <c r="I11" t="n">
        <v>2</v>
      </c>
      <c r="J11" t="n">
        <v>2</v>
      </c>
      <c r="K11" t="n">
        <v>976</v>
      </c>
      <c r="L11" t="inlineStr">
        <is>
          <t>Active</t>
        </is>
      </c>
      <c r="M11" t="inlineStr">
        <is>
          <t>Sat 31 Oct 1:00pm</t>
        </is>
      </c>
      <c r="N11" t="inlineStr">
        <is>
          <t>Bailey White</t>
        </is>
      </c>
      <c r="O11" t="inlineStr">
        <is>
          <t>Mount Eliza</t>
        </is>
      </c>
      <c r="P11">
        <f>IFERROR(INDEX(SuburbScorecard!$C:$C,MATCH($O11,SuburbScorecard!$A:$A,0)),"Not on scorecard")</f>
        <v/>
      </c>
      <c r="Q11">
        <f>IFERROR(IF(INDEX(SuburbScorecard!$J:$J,MATCH($O11,SuburbScorecard!$A:$A,0))="","",INDEX(SuburbScorecard!$J:$J,MATCH($O11,SuburbScorecard!$A:$A,0))),"")</f>
        <v/>
      </c>
      <c r="R11">
        <f>IFERROR(IF(INDEX(SuburbScorecard!$K:$K,MATCH($O11,SuburbScorecard!$A:$A,0))="","",INDEX(SuburbScorecard!$K:$K,MATCH($O11,SuburbScorecard!$A:$A,0))),"")</f>
        <v/>
      </c>
      <c r="S11">
        <f>IFERROR(IF(INDEX(SuburbScorecard!$AB:$AB,MATCH($O11,SuburbScorecard!$A:$A,0))="","Needs data",INDEX(SuburbScorecard!$AB:$AB,MATCH($O11,SuburbScorecard!$A:$A,0))),"Needs data")</f>
        <v/>
      </c>
      <c r="T11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</row>
    <row r="12">
      <c r="A12" t="n">
        <v>11</v>
      </c>
      <c r="B12" t="inlineStr">
        <is>
          <t>54 Granya Grove</t>
        </is>
      </c>
      <c r="C12" t="inlineStr">
        <is>
          <t>Mount Eliza</t>
        </is>
      </c>
      <c r="D12" t="inlineStr">
        <is>
          <t>$1,275,000-$1,375,000</t>
        </is>
      </c>
      <c r="E12" s="17" t="n">
        <v>1275000</v>
      </c>
      <c r="F12" s="17" t="n">
        <v>1375000</v>
      </c>
      <c r="G12">
        <f>IF(E12="","Needs data",IF(F12&lt;=Filters!$B$2,"Within cap",IF(E12&lt;=Filters!$B$2,"Straddles cap","Over cap")))</f>
        <v/>
      </c>
      <c r="H12" t="n">
        <v>3</v>
      </c>
      <c r="I12" t="n">
        <v>2</v>
      </c>
      <c r="J12" t="n">
        <v>2</v>
      </c>
      <c r="K12" t="n">
        <v>985</v>
      </c>
      <c r="L12" t="inlineStr">
        <is>
          <t>Active</t>
        </is>
      </c>
      <c r="M12" t="inlineStr">
        <is>
          <t>Sat 31 Oct 12:30pm</t>
        </is>
      </c>
      <c r="N12" t="inlineStr">
        <is>
          <t>Candice Blanch</t>
        </is>
      </c>
      <c r="O12" t="inlineStr">
        <is>
          <t>Mount Eliza</t>
        </is>
      </c>
      <c r="P12">
        <f>IFERROR(INDEX(SuburbScorecard!$C:$C,MATCH($O12,SuburbScorecard!$A:$A,0)),"Not on scorecard")</f>
        <v/>
      </c>
      <c r="Q12">
        <f>IFERROR(IF(INDEX(SuburbScorecard!$J:$J,MATCH($O12,SuburbScorecard!$A:$A,0))="","",INDEX(SuburbScorecard!$J:$J,MATCH($O12,SuburbScorecard!$A:$A,0))),"")</f>
        <v/>
      </c>
      <c r="R12">
        <f>IFERROR(IF(INDEX(SuburbScorecard!$K:$K,MATCH($O12,SuburbScorecard!$A:$A,0))="","",INDEX(SuburbScorecard!$K:$K,MATCH($O12,SuburbScorecard!$A:$A,0))),"")</f>
        <v/>
      </c>
      <c r="S12">
        <f>IFERROR(IF(INDEX(SuburbScorecard!$AB:$AB,MATCH($O12,SuburbScorecard!$A:$A,0))="","Needs data",INDEX(SuburbScorecard!$AB:$AB,MATCH($O12,SuburbScorecard!$A:$A,0))),"Needs data")</f>
        <v/>
      </c>
      <c r="T1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</row>
    <row r="13">
      <c r="A13" t="n">
        <v>12</v>
      </c>
      <c r="B13" t="inlineStr">
        <is>
          <t>110 Koornalla Crescent</t>
        </is>
      </c>
      <c r="C13" t="inlineStr">
        <is>
          <t>Mount Eliza</t>
        </is>
      </c>
      <c r="D13" t="inlineStr">
        <is>
          <t>$1,300,000-$1,430,000</t>
        </is>
      </c>
      <c r="E13" s="17" t="n">
        <v>1300000</v>
      </c>
      <c r="F13" s="17" t="n">
        <v>1430000</v>
      </c>
      <c r="G13">
        <f>IF(E13="","Needs data",IF(F13&lt;=Filters!$B$2,"Within cap",IF(E13&lt;=Filters!$B$2,"Straddles cap","Over cap")))</f>
        <v/>
      </c>
      <c r="H13" t="n">
        <v>4</v>
      </c>
      <c r="I13" t="n">
        <v>2</v>
      </c>
      <c r="J13" t="n">
        <v>2</v>
      </c>
      <c r="K13" t="n">
        <v>981</v>
      </c>
      <c r="L13" t="inlineStr">
        <is>
          <t>Active</t>
        </is>
      </c>
      <c r="M13" t="inlineStr">
        <is>
          <t>None listed</t>
        </is>
      </c>
      <c r="N13" t="inlineStr">
        <is>
          <t>Will Crowder</t>
        </is>
      </c>
      <c r="O13" t="inlineStr">
        <is>
          <t>Mount Eliza</t>
        </is>
      </c>
      <c r="P13">
        <f>IFERROR(INDEX(SuburbScorecard!$C:$C,MATCH($O13,SuburbScorecard!$A:$A,0)),"Not on scorecard")</f>
        <v/>
      </c>
      <c r="Q13">
        <f>IFERROR(IF(INDEX(SuburbScorecard!$J:$J,MATCH($O13,SuburbScorecard!$A:$A,0))="","",INDEX(SuburbScorecard!$J:$J,MATCH($O13,SuburbScorecard!$A:$A,0))),"")</f>
        <v/>
      </c>
      <c r="R13">
        <f>IFERROR(IF(INDEX(SuburbScorecard!$K:$K,MATCH($O13,SuburbScorecard!$A:$A,0))="","",INDEX(SuburbScorecard!$K:$K,MATCH($O13,SuburbScorecard!$A:$A,0))),"")</f>
        <v/>
      </c>
      <c r="S13">
        <f>IFERROR(IF(INDEX(SuburbScorecard!$AB:$AB,MATCH($O13,SuburbScorecard!$A:$A,0))="","Needs data",INDEX(SuburbScorecard!$AB:$AB,MATCH($O13,SuburbScorecard!$A:$A,0))),"Needs data")</f>
        <v/>
      </c>
      <c r="T13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</row>
    <row r="14">
      <c r="A14" t="n">
        <v>13</v>
      </c>
      <c r="B14" t="inlineStr">
        <is>
          <t>1374 Nepean Highway</t>
        </is>
      </c>
      <c r="C14" t="inlineStr">
        <is>
          <t>Mount Eliza</t>
        </is>
      </c>
      <c r="D14" t="inlineStr">
        <is>
          <t>$890,000-$970,000</t>
        </is>
      </c>
      <c r="E14" s="17" t="n">
        <v>890000</v>
      </c>
      <c r="F14" s="17" t="n">
        <v>970000</v>
      </c>
      <c r="G14">
        <f>IF(E14="","Needs data",IF(F14&lt;=Filters!$B$2,"Within cap",IF(E14&lt;=Filters!$B$2,"Straddles cap","Over cap")))</f>
        <v/>
      </c>
      <c r="H14" t="n">
        <v>4</v>
      </c>
      <c r="I14" t="n">
        <v>2</v>
      </c>
      <c r="J14" t="n">
        <v>2</v>
      </c>
      <c r="K14" t="n">
        <v>790</v>
      </c>
      <c r="L14" t="inlineStr">
        <is>
          <t>Active</t>
        </is>
      </c>
      <c r="M14" t="inlineStr">
        <is>
          <t>Sat 31 Oct 2:00pm</t>
        </is>
      </c>
      <c r="N14" t="inlineStr">
        <is>
          <t>Danae Eden</t>
        </is>
      </c>
      <c r="O14" t="inlineStr">
        <is>
          <t>Mount Eliza</t>
        </is>
      </c>
      <c r="P14">
        <f>IFERROR(INDEX(SuburbScorecard!$C:$C,MATCH($O14,SuburbScorecard!$A:$A,0)),"Not on scorecard")</f>
        <v/>
      </c>
      <c r="Q14">
        <f>IFERROR(IF(INDEX(SuburbScorecard!$J:$J,MATCH($O14,SuburbScorecard!$A:$A,0))="","",INDEX(SuburbScorecard!$J:$J,MATCH($O14,SuburbScorecard!$A:$A,0))),"")</f>
        <v/>
      </c>
      <c r="R14">
        <f>IFERROR(IF(INDEX(SuburbScorecard!$K:$K,MATCH($O14,SuburbScorecard!$A:$A,0))="","",INDEX(SuburbScorecard!$K:$K,MATCH($O14,SuburbScorecard!$A:$A,0))),"")</f>
        <v/>
      </c>
      <c r="S14">
        <f>IFERROR(IF(INDEX(SuburbScorecard!$AB:$AB,MATCH($O14,SuburbScorecard!$A:$A,0))="","Needs data",INDEX(SuburbScorecard!$AB:$AB,MATCH($O14,SuburbScorecard!$A:$A,0))),"Needs data")</f>
        <v/>
      </c>
      <c r="T14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</row>
    <row r="15">
      <c r="A15" t="n">
        <v>14</v>
      </c>
      <c r="B15" t="inlineStr">
        <is>
          <t>45 Seahaze Street</t>
        </is>
      </c>
      <c r="C15" t="inlineStr">
        <is>
          <t>Arthurs Seat</t>
        </is>
      </c>
      <c r="D15" t="inlineStr">
        <is>
          <t>Private sale $1,650,000-$1,750,000</t>
        </is>
      </c>
      <c r="E15" s="17" t="n">
        <v>1650000</v>
      </c>
      <c r="F15" s="17" t="n">
        <v>1750000</v>
      </c>
      <c r="G15">
        <f>IF(E15="","Needs data",IF(F15&lt;=Filters!$B$2,"Within cap",IF(E15&lt;=Filters!$B$2,"Straddles cap","Over cap")))</f>
        <v/>
      </c>
      <c r="H15" t="n">
        <v>4</v>
      </c>
      <c r="I15" t="n">
        <v>2</v>
      </c>
      <c r="J15" t="n">
        <v>4</v>
      </c>
      <c r="K15" t="n">
        <v>819</v>
      </c>
      <c r="L15" t="inlineStr">
        <is>
          <t>Active</t>
        </is>
      </c>
      <c r="M15" t="inlineStr">
        <is>
          <t>None listed</t>
        </is>
      </c>
      <c r="N15" t="inlineStr">
        <is>
          <t>Tom Barr Smith</t>
        </is>
      </c>
      <c r="O15" t="inlineStr">
        <is>
          <t>Arthurs Seat</t>
        </is>
      </c>
      <c r="P15">
        <f>IFERROR(INDEX(SuburbScorecard!$C:$C,MATCH($O15,SuburbScorecard!$A:$A,0)),"Not on scorecard")</f>
        <v/>
      </c>
      <c r="Q15">
        <f>IFERROR(IF(INDEX(SuburbScorecard!$J:$J,MATCH($O15,SuburbScorecard!$A:$A,0))="","",INDEX(SuburbScorecard!$J:$J,MATCH($O15,SuburbScorecard!$A:$A,0))),"")</f>
        <v/>
      </c>
      <c r="R15">
        <f>IFERROR(IF(INDEX(SuburbScorecard!$K:$K,MATCH($O15,SuburbScorecard!$A:$A,0))="","",INDEX(SuburbScorecard!$K:$K,MATCH($O15,SuburbScorecard!$A:$A,0))),"")</f>
        <v/>
      </c>
      <c r="S15">
        <f>IFERROR(IF(INDEX(SuburbScorecard!$AB:$AB,MATCH($O15,SuburbScorecard!$A:$A,0))="","Needs data",INDEX(SuburbScorecard!$AB:$AB,MATCH($O15,SuburbScorecard!$A:$A,0))),"Needs data")</f>
        <v/>
      </c>
      <c r="T15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t="inlineStr">
        <is>
          <t>Suburb not on scorecard (nearest scorecard suburb: Dromana, not substituted)</t>
        </is>
      </c>
    </row>
    <row r="16">
      <c r="A16" t="n">
        <v>15</v>
      </c>
      <c r="B16" t="inlineStr">
        <is>
          <t>4 McArthur Street</t>
        </is>
      </c>
      <c r="C16" t="inlineStr">
        <is>
          <t>Dromana</t>
        </is>
      </c>
      <c r="D16" t="inlineStr">
        <is>
          <t>$1,349,000</t>
        </is>
      </c>
      <c r="E16" s="17" t="n">
        <v>1349000</v>
      </c>
      <c r="F16" s="17" t="n">
        <v>1349000</v>
      </c>
      <c r="G16">
        <f>IF(E16="","Needs data",IF(F16&lt;=Filters!$B$2,"Within cap",IF(E16&lt;=Filters!$B$2,"Straddles cap","Over cap")))</f>
        <v/>
      </c>
      <c r="H16" t="n">
        <v>3</v>
      </c>
      <c r="I16" t="n">
        <v>2</v>
      </c>
      <c r="J16" t="n">
        <v>2</v>
      </c>
      <c r="K16" t="n">
        <v>675</v>
      </c>
      <c r="L16" t="inlineStr">
        <is>
          <t>Active</t>
        </is>
      </c>
      <c r="M16" t="inlineStr">
        <is>
          <t>None listed</t>
        </is>
      </c>
      <c r="N16" t="inlineStr">
        <is>
          <t>Scott Joyce</t>
        </is>
      </c>
      <c r="O16" t="inlineStr">
        <is>
          <t>Dromana</t>
        </is>
      </c>
      <c r="P16">
        <f>IFERROR(INDEX(SuburbScorecard!$C:$C,MATCH($O16,SuburbScorecard!$A:$A,0)),"Not on scorecard")</f>
        <v/>
      </c>
      <c r="Q16">
        <f>IFERROR(IF(INDEX(SuburbScorecard!$J:$J,MATCH($O16,SuburbScorecard!$A:$A,0))="","",INDEX(SuburbScorecard!$J:$J,MATCH($O16,SuburbScorecard!$A:$A,0))),"")</f>
        <v/>
      </c>
      <c r="R16">
        <f>IFERROR(IF(INDEX(SuburbScorecard!$K:$K,MATCH($O16,SuburbScorecard!$A:$A,0))="","",INDEX(SuburbScorecard!$K:$K,MATCH($O16,SuburbScorecard!$A:$A,0))),"")</f>
        <v/>
      </c>
      <c r="S16">
        <f>IFERROR(IF(INDEX(SuburbScorecard!$AB:$AB,MATCH($O16,SuburbScorecard!$A:$A,0))="","Needs data",INDEX(SuburbScorecard!$AB:$AB,MATCH($O16,SuburbScorecard!$A:$A,0))),"Needs data")</f>
        <v/>
      </c>
      <c r="T16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t="inlineStr">
        <is>
          <t>Scorecard has no drive times for Dromana</t>
        </is>
      </c>
    </row>
    <row r="17">
      <c r="A17" t="n">
        <v>16</v>
      </c>
      <c r="B17" t="inlineStr">
        <is>
          <t>3-5 Bonavista Way</t>
        </is>
      </c>
      <c r="C17" t="inlineStr">
        <is>
          <t>Curlewis</t>
        </is>
      </c>
      <c r="D17" t="inlineStr">
        <is>
          <t>$1,350,000-$1,450,000</t>
        </is>
      </c>
      <c r="E17" s="17" t="n">
        <v>1350000</v>
      </c>
      <c r="F17" s="17" t="n">
        <v>1450000</v>
      </c>
      <c r="G17">
        <f>IF(E17="","Needs data",IF(F17&lt;=Filters!$B$2,"Within cap",IF(E17&lt;=Filters!$B$2,"Straddles cap","Over cap")))</f>
        <v/>
      </c>
      <c r="H17" t="n">
        <v>5</v>
      </c>
      <c r="I17" t="n">
        <v>3</v>
      </c>
      <c r="J17" t="n">
        <v>5</v>
      </c>
      <c r="K17" t="n">
        <v>580</v>
      </c>
      <c r="L17" t="inlineStr">
        <is>
          <t>Active</t>
        </is>
      </c>
      <c r="M17" t="inlineStr">
        <is>
          <t>Sat 31 Oct 11:50am</t>
        </is>
      </c>
      <c r="N17" t="inlineStr">
        <is>
          <t>Harley Lewis</t>
        </is>
      </c>
      <c r="O17" t="inlineStr">
        <is>
          <t>Curlewis</t>
        </is>
      </c>
      <c r="P17">
        <f>IFERROR(INDEX(SuburbScorecard!$C:$C,MATCH($O17,SuburbScorecard!$A:$A,0)),"Not on scorecard")</f>
        <v/>
      </c>
      <c r="Q17">
        <f>IFERROR(IF(INDEX(SuburbScorecard!$J:$J,MATCH($O17,SuburbScorecard!$A:$A,0))="","",INDEX(SuburbScorecard!$J:$J,MATCH($O17,SuburbScorecard!$A:$A,0))),"")</f>
        <v/>
      </c>
      <c r="R17">
        <f>IFERROR(IF(INDEX(SuburbScorecard!$K:$K,MATCH($O17,SuburbScorecard!$A:$A,0))="","",INDEX(SuburbScorecard!$K:$K,MATCH($O17,SuburbScorecard!$A:$A,0))),"")</f>
        <v/>
      </c>
      <c r="S17">
        <f>IFERROR(IF(INDEX(SuburbScorecard!$AB:$AB,MATCH($O17,SuburbScorecard!$A:$A,0))="","Needs data",INDEX(SuburbScorecard!$AB:$AB,MATCH($O17,SuburbScorecard!$A:$A,0))),"Needs data")</f>
        <v/>
      </c>
      <c r="T17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t="inlineStr">
        <is>
          <t>Suburb not on scorecard</t>
        </is>
      </c>
    </row>
    <row r="18">
      <c r="A18" t="n">
        <v>17</v>
      </c>
      <c r="B18" t="inlineStr">
        <is>
          <t>36 Arthurs Avenue</t>
        </is>
      </c>
      <c r="C18" t="inlineStr">
        <is>
          <t>McCrae</t>
        </is>
      </c>
      <c r="D18" t="inlineStr">
        <is>
          <t>New price $1,500,000-$1,650,000</t>
        </is>
      </c>
      <c r="E18" s="17" t="n">
        <v>1500000</v>
      </c>
      <c r="F18" s="17" t="n">
        <v>1650000</v>
      </c>
      <c r="G18">
        <f>IF(E18="","Needs data",IF(F18&lt;=Filters!$B$2,"Within cap",IF(E18&lt;=Filters!$B$2,"Straddles cap","Over cap")))</f>
        <v/>
      </c>
      <c r="H18" t="n">
        <v>5</v>
      </c>
      <c r="I18" t="n">
        <v>3</v>
      </c>
      <c r="J18" t="n">
        <v>6</v>
      </c>
      <c r="K18" t="n">
        <v>913</v>
      </c>
      <c r="L18" t="inlineStr">
        <is>
          <t>Active</t>
        </is>
      </c>
      <c r="M18" t="inlineStr">
        <is>
          <t>Sat 31 Oct 2:00pm</t>
        </is>
      </c>
      <c r="N18" t="inlineStr">
        <is>
          <t>Sam Austen</t>
        </is>
      </c>
      <c r="O18" t="inlineStr">
        <is>
          <t>McCrae</t>
        </is>
      </c>
      <c r="P18">
        <f>IFERROR(INDEX(SuburbScorecard!$C:$C,MATCH($O18,SuburbScorecard!$A:$A,0)),"Not on scorecard")</f>
        <v/>
      </c>
      <c r="Q18">
        <f>IFERROR(IF(INDEX(SuburbScorecard!$J:$J,MATCH($O18,SuburbScorecard!$A:$A,0))="","",INDEX(SuburbScorecard!$J:$J,MATCH($O18,SuburbScorecard!$A:$A,0))),"")</f>
        <v/>
      </c>
      <c r="R18">
        <f>IFERROR(IF(INDEX(SuburbScorecard!$K:$K,MATCH($O18,SuburbScorecard!$A:$A,0))="","",INDEX(SuburbScorecard!$K:$K,MATCH($O18,SuburbScorecard!$A:$A,0))),"")</f>
        <v/>
      </c>
      <c r="S18">
        <f>IFERROR(IF(INDEX(SuburbScorecard!$AB:$AB,MATCH($O18,SuburbScorecard!$A:$A,0))="","Needs data",INDEX(SuburbScorecard!$AB:$AB,MATCH($O18,SuburbScorecard!$A:$A,0))),"Needs data")</f>
        <v/>
      </c>
      <c r="T18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t="inlineStr">
        <is>
          <t>Suburb not on scorecard</t>
        </is>
      </c>
    </row>
    <row r="19">
      <c r="A19" t="n">
        <v>18</v>
      </c>
      <c r="B19" t="inlineStr">
        <is>
          <t>2B Fowler Street</t>
        </is>
      </c>
      <c r="C19" t="inlineStr">
        <is>
          <t>Chelsea</t>
        </is>
      </c>
      <c r="D19" t="inlineStr">
        <is>
          <t>$1,400,000-$1,540,000</t>
        </is>
      </c>
      <c r="E19" s="17" t="n">
        <v>1400000</v>
      </c>
      <c r="F19" s="17" t="n">
        <v>1540000</v>
      </c>
      <c r="G19">
        <f>IF(E19="","Needs data",IF(F19&lt;=Filters!$B$2,"Within cap",IF(E19&lt;=Filters!$B$2,"Straddles cap","Over cap")))</f>
        <v/>
      </c>
      <c r="H19" t="n">
        <v>5</v>
      </c>
      <c r="I19" t="n">
        <v>3</v>
      </c>
      <c r="J19" t="n">
        <v>3</v>
      </c>
      <c r="K19" t="n">
        <v>688</v>
      </c>
      <c r="L19" t="inlineStr">
        <is>
          <t>Active</t>
        </is>
      </c>
      <c r="M19" t="inlineStr">
        <is>
          <t>Wed 28 Oct 3:50pm</t>
        </is>
      </c>
      <c r="N19" t="inlineStr">
        <is>
          <t>Daniel Wright</t>
        </is>
      </c>
      <c r="O19" t="inlineStr">
        <is>
          <t>Chelsea</t>
        </is>
      </c>
      <c r="P19">
        <f>IFERROR(INDEX(SuburbScorecard!$C:$C,MATCH($O19,SuburbScorecard!$A:$A,0)),"Not on scorecard")</f>
        <v/>
      </c>
      <c r="Q19">
        <f>IFERROR(IF(INDEX(SuburbScorecard!$J:$J,MATCH($O19,SuburbScorecard!$A:$A,0))="","",INDEX(SuburbScorecard!$J:$J,MATCH($O19,SuburbScorecard!$A:$A,0))),"")</f>
        <v/>
      </c>
      <c r="R19">
        <f>IFERROR(IF(INDEX(SuburbScorecard!$K:$K,MATCH($O19,SuburbScorecard!$A:$A,0))="","",INDEX(SuburbScorecard!$K:$K,MATCH($O19,SuburbScorecard!$A:$A,0))),"")</f>
        <v/>
      </c>
      <c r="S19">
        <f>IFERROR(IF(INDEX(SuburbScorecard!$AB:$AB,MATCH($O19,SuburbScorecard!$A:$A,0))="","Needs data",INDEX(SuburbScorecard!$AB:$AB,MATCH($O19,SuburbScorecard!$A:$A,0))),"Needs data")</f>
        <v/>
      </c>
      <c r="T19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t="inlineStr">
        <is>
          <t>Suburb not on scorecard</t>
        </is>
      </c>
    </row>
    <row r="20">
      <c r="A20" t="n">
        <v>19</v>
      </c>
      <c r="B20" t="inlineStr">
        <is>
          <t>13 Harcombe Crescent</t>
        </is>
      </c>
      <c r="C20" t="inlineStr">
        <is>
          <t>Torquay</t>
        </is>
      </c>
      <c r="D20" t="inlineStr">
        <is>
          <t>$1,200,000-$1,300,000</t>
        </is>
      </c>
      <c r="E20" s="17" t="n">
        <v>1200000</v>
      </c>
      <c r="F20" s="17" t="n">
        <v>1300000</v>
      </c>
      <c r="G20">
        <f>IF(E20="","Needs data",IF(F20&lt;=Filters!$B$2,"Within cap",IF(E20&lt;=Filters!$B$2,"Straddles cap","Over cap")))</f>
        <v/>
      </c>
      <c r="H20" t="n">
        <v>4</v>
      </c>
      <c r="I20" t="n">
        <v>2</v>
      </c>
      <c r="J20" t="n">
        <v>2</v>
      </c>
      <c r="K20" t="n">
        <v>392</v>
      </c>
      <c r="L20" t="inlineStr">
        <is>
          <t>Active</t>
        </is>
      </c>
      <c r="M20" t="inlineStr">
        <is>
          <t>None listed</t>
        </is>
      </c>
      <c r="N20" t="inlineStr">
        <is>
          <t>Chris Henson</t>
        </is>
      </c>
      <c r="O20" t="inlineStr">
        <is>
          <t>Torquay</t>
        </is>
      </c>
      <c r="P20">
        <f>IFERROR(INDEX(SuburbScorecard!$C:$C,MATCH($O20,SuburbScorecard!$A:$A,0)),"Not on scorecard")</f>
        <v/>
      </c>
      <c r="Q20">
        <f>IFERROR(IF(INDEX(SuburbScorecard!$J:$J,MATCH($O20,SuburbScorecard!$A:$A,0))="","",INDEX(SuburbScorecard!$J:$J,MATCH($O20,SuburbScorecard!$A:$A,0))),"")</f>
        <v/>
      </c>
      <c r="R20">
        <f>IFERROR(IF(INDEX(SuburbScorecard!$K:$K,MATCH($O20,SuburbScorecard!$A:$A,0))="","",INDEX(SuburbScorecard!$K:$K,MATCH($O20,SuburbScorecard!$A:$A,0))),"")</f>
        <v/>
      </c>
      <c r="S20">
        <f>IFERROR(IF(INDEX(SuburbScorecard!$AB:$AB,MATCH($O20,SuburbScorecard!$A:$A,0))="","Needs data",INDEX(SuburbScorecard!$AB:$AB,MATCH($O20,SuburbScorecard!$A:$A,0))),"Needs data")</f>
        <v/>
      </c>
      <c r="T20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</row>
    <row r="21">
      <c r="A21" t="n">
        <v>20</v>
      </c>
      <c r="B21" t="inlineStr">
        <is>
          <t>6 Dowman Street</t>
        </is>
      </c>
      <c r="C21" t="inlineStr">
        <is>
          <t>Newport</t>
        </is>
      </c>
      <c r="D21" t="inlineStr">
        <is>
          <t>$1,790,000</t>
        </is>
      </c>
      <c r="E21" s="17" t="n">
        <v>1790000</v>
      </c>
      <c r="F21" s="17" t="n">
        <v>1790000</v>
      </c>
      <c r="G21">
        <f>IF(E21="","Needs data",IF(F21&lt;=Filters!$B$2,"Within cap",IF(E21&lt;=Filters!$B$2,"Straddles cap","Over cap")))</f>
        <v/>
      </c>
      <c r="H21" t="n">
        <v>4</v>
      </c>
      <c r="I21" t="n">
        <v>2</v>
      </c>
      <c r="J21" t="n">
        <v>4</v>
      </c>
      <c r="K21" t="n">
        <v>417</v>
      </c>
      <c r="L21" t="inlineStr">
        <is>
          <t>Active</t>
        </is>
      </c>
      <c r="M21" t="inlineStr">
        <is>
          <t>Tue 27 Oct 5:00pm</t>
        </is>
      </c>
      <c r="N21" t="inlineStr">
        <is>
          <t>Nathan Smith</t>
        </is>
      </c>
      <c r="O21" t="inlineStr">
        <is>
          <t>Newport</t>
        </is>
      </c>
      <c r="P21">
        <f>IFERROR(INDEX(SuburbScorecard!$C:$C,MATCH($O21,SuburbScorecard!$A:$A,0)),"Not on scorecard")</f>
        <v/>
      </c>
      <c r="Q21">
        <f>IFERROR(IF(INDEX(SuburbScorecard!$J:$J,MATCH($O21,SuburbScorecard!$A:$A,0))="","",INDEX(SuburbScorecard!$J:$J,MATCH($O21,SuburbScorecard!$A:$A,0))),"")</f>
        <v/>
      </c>
      <c r="R21">
        <f>IFERROR(IF(INDEX(SuburbScorecard!$K:$K,MATCH($O21,SuburbScorecard!$A:$A,0))="","",INDEX(SuburbScorecard!$K:$K,MATCH($O21,SuburbScorecard!$A:$A,0))),"")</f>
        <v/>
      </c>
      <c r="S21">
        <f>IFERROR(IF(INDEX(SuburbScorecard!$AB:$AB,MATCH($O21,SuburbScorecard!$A:$A,0))="","Needs data",INDEX(SuburbScorecard!$AB:$AB,MATCH($O21,SuburbScorecard!$A:$A,0))),"Needs data")</f>
        <v/>
      </c>
      <c r="T21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t="inlineStr">
        <is>
          <t>Suburb not on scorecard</t>
        </is>
      </c>
    </row>
    <row r="22">
      <c r="A22" t="n">
        <v>21</v>
      </c>
      <c r="B22" t="inlineStr">
        <is>
          <t>28 Stradbroke Avenue</t>
        </is>
      </c>
      <c r="C22" t="inlineStr">
        <is>
          <t>Frankston South</t>
        </is>
      </c>
      <c r="D22" t="inlineStr">
        <is>
          <t>Reserve $940,000</t>
        </is>
      </c>
      <c r="E22" s="17" t="n">
        <v>940000</v>
      </c>
      <c r="F22" s="17" t="n">
        <v>940000</v>
      </c>
      <c r="G22">
        <f>IF(E22="","Needs data",IF(F22&lt;=Filters!$B$2,"Within cap",IF(E22&lt;=Filters!$B$2,"Straddles cap","Over cap")))</f>
        <v/>
      </c>
      <c r="H22" t="n">
        <v>4</v>
      </c>
      <c r="I22" t="n">
        <v>2</v>
      </c>
      <c r="J22" t="n">
        <v>1</v>
      </c>
      <c r="K22" t="n">
        <v>551</v>
      </c>
      <c r="L22" t="inlineStr">
        <is>
          <t>Active</t>
        </is>
      </c>
      <c r="M22" t="inlineStr">
        <is>
          <t>Sat 31 Oct 9:30am</t>
        </is>
      </c>
      <c r="N22" t="inlineStr">
        <is>
          <t>Brooke Wegener</t>
        </is>
      </c>
      <c r="O22" t="inlineStr">
        <is>
          <t>Frankston South</t>
        </is>
      </c>
      <c r="P22">
        <f>IFERROR(INDEX(SuburbScorecard!$C:$C,MATCH($O22,SuburbScorecard!$A:$A,0)),"Not on scorecard")</f>
        <v/>
      </c>
      <c r="Q22">
        <f>IFERROR(IF(INDEX(SuburbScorecard!$J:$J,MATCH($O22,SuburbScorecard!$A:$A,0))="","",INDEX(SuburbScorecard!$J:$J,MATCH($O22,SuburbScorecard!$A:$A,0))),"")</f>
        <v/>
      </c>
      <c r="R22">
        <f>IFERROR(IF(INDEX(SuburbScorecard!$K:$K,MATCH($O22,SuburbScorecard!$A:$A,0))="","",INDEX(SuburbScorecard!$K:$K,MATCH($O22,SuburbScorecard!$A:$A,0))),"")</f>
        <v/>
      </c>
      <c r="S22">
        <f>IFERROR(IF(INDEX(SuburbScorecard!$AB:$AB,MATCH($O22,SuburbScorecard!$A:$A,0))="","Needs data",INDEX(SuburbScorecard!$AB:$AB,MATCH($O22,SuburbScorecard!$A:$A,0))),"Needs data")</f>
        <v/>
      </c>
      <c r="T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t="inlineStr">
        <is>
          <t>Reserve price (auction); final price likely higher</t>
        </is>
      </c>
    </row>
    <row r="23">
      <c r="A23" t="n">
        <v>22</v>
      </c>
      <c r="B23" t="inlineStr">
        <is>
          <t>7 Gordon Avenue</t>
        </is>
      </c>
      <c r="C23" t="inlineStr">
        <is>
          <t>Tecoma</t>
        </is>
      </c>
      <c r="D23" t="inlineStr">
        <is>
          <t>$1,300,000-$1,400,000</t>
        </is>
      </c>
      <c r="E23" s="17" t="n">
        <v>1300000</v>
      </c>
      <c r="F23" s="17" t="n">
        <v>1400000</v>
      </c>
      <c r="G23">
        <f>IF(E23="","Needs data",IF(F23&lt;=Filters!$B$2,"Within cap",IF(E23&lt;=Filters!$B$2,"Straddles cap","Over cap")))</f>
        <v/>
      </c>
      <c r="H23" t="n">
        <v>4</v>
      </c>
      <c r="I23" t="n">
        <v>2</v>
      </c>
      <c r="J23" t="n">
        <v>2</v>
      </c>
      <c r="K23" t="n">
        <v>1120</v>
      </c>
      <c r="L23" t="inlineStr">
        <is>
          <t>Under offer</t>
        </is>
      </c>
      <c r="M23" t="inlineStr">
        <is>
          <t>None listed</t>
        </is>
      </c>
      <c r="N23" t="inlineStr">
        <is>
          <t>Bree Roberts</t>
        </is>
      </c>
      <c r="O23" t="inlineStr">
        <is>
          <t>Tecoma</t>
        </is>
      </c>
      <c r="P23">
        <f>IFERROR(INDEX(SuburbScorecard!$C:$C,MATCH($O23,SuburbScorecard!$A:$A,0)),"Not on scorecard")</f>
        <v/>
      </c>
      <c r="Q23">
        <f>IFERROR(IF(INDEX(SuburbScorecard!$J:$J,MATCH($O23,SuburbScorecard!$A:$A,0))="","",INDEX(SuburbScorecard!$J:$J,MATCH($O23,SuburbScorecard!$A:$A,0))),"")</f>
        <v/>
      </c>
      <c r="R23">
        <f>IFERROR(IF(INDEX(SuburbScorecard!$K:$K,MATCH($O23,SuburbScorecard!$A:$A,0))="","",INDEX(SuburbScorecard!$K:$K,MATCH($O23,SuburbScorecard!$A:$A,0))),"")</f>
        <v/>
      </c>
      <c r="S23">
        <f>IFERROR(IF(INDEX(SuburbScorecard!$AB:$AB,MATCH($O23,SuburbScorecard!$A:$A,0))="","Needs data",INDEX(SuburbScorecard!$AB:$AB,MATCH($O23,SuburbScorecard!$A:$A,0))),"Needs data")</f>
        <v/>
      </c>
      <c r="T23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</row>
    <row r="24">
      <c r="A24" t="n">
        <v>23</v>
      </c>
      <c r="B24" t="inlineStr">
        <is>
          <t>24 Monbulk Road</t>
        </is>
      </c>
      <c r="C24" t="inlineStr">
        <is>
          <t>Belgrave</t>
        </is>
      </c>
      <c r="D24" t="inlineStr">
        <is>
          <t>Auction $850,000-$920,000</t>
        </is>
      </c>
      <c r="E24" s="17" t="n">
        <v>850000</v>
      </c>
      <c r="F24" s="17" t="n">
        <v>920000</v>
      </c>
      <c r="G24">
        <f>IF(E24="","Needs data",IF(F24&lt;=Filters!$B$2,"Within cap",IF(E24&lt;=Filters!$B$2,"Straddles cap","Over cap")))</f>
        <v/>
      </c>
      <c r="H24" t="n">
        <v>4</v>
      </c>
      <c r="I24" t="n">
        <v>2</v>
      </c>
      <c r="J24" t="n">
        <v>4</v>
      </c>
      <c r="K24" t="n">
        <v>3492</v>
      </c>
      <c r="L24" t="inlineStr">
        <is>
          <t>Active</t>
        </is>
      </c>
      <c r="M24" t="inlineStr">
        <is>
          <t>Wed 28 Oct 4:00pm</t>
        </is>
      </c>
      <c r="N24" t="inlineStr">
        <is>
          <t>Cristine Jones</t>
        </is>
      </c>
      <c r="O24" t="inlineStr">
        <is>
          <t>Belgrave</t>
        </is>
      </c>
      <c r="P24">
        <f>IFERROR(INDEX(SuburbScorecard!$C:$C,MATCH($O24,SuburbScorecard!$A:$A,0)),"Not on scorecard")</f>
        <v/>
      </c>
      <c r="Q24">
        <f>IFERROR(IF(INDEX(SuburbScorecard!$J:$J,MATCH($O24,SuburbScorecard!$A:$A,0))="","",INDEX(SuburbScorecard!$J:$J,MATCH($O24,SuburbScorecard!$A:$A,0))),"")</f>
        <v/>
      </c>
      <c r="R24">
        <f>IFERROR(IF(INDEX(SuburbScorecard!$K:$K,MATCH($O24,SuburbScorecard!$A:$A,0))="","",INDEX(SuburbScorecard!$K:$K,MATCH($O24,SuburbScorecard!$A:$A,0))),"")</f>
        <v/>
      </c>
      <c r="S24">
        <f>IFERROR(IF(INDEX(SuburbScorecard!$AB:$AB,MATCH($O24,SuburbScorecard!$A:$A,0))="","Needs data",INDEX(SuburbScorecard!$AB:$AB,MATCH($O24,SuburbScorecard!$A:$A,0))),"Needs data")</f>
        <v/>
      </c>
      <c r="T24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t="inlineStr">
        <is>
          <t>Auction guide</t>
        </is>
      </c>
    </row>
    <row r="25">
      <c r="A25" t="n">
        <v>24</v>
      </c>
      <c r="B25" t="inlineStr">
        <is>
          <t>16 Forest Road</t>
        </is>
      </c>
      <c r="C25" t="inlineStr">
        <is>
          <t>Belgrave</t>
        </is>
      </c>
      <c r="D25" t="inlineStr">
        <is>
          <t>Reserve $1,035,000</t>
        </is>
      </c>
      <c r="E25" s="17" t="n">
        <v>1035000</v>
      </c>
      <c r="F25" s="17" t="n">
        <v>1035000</v>
      </c>
      <c r="G25">
        <f>IF(E25="","Needs data",IF(F25&lt;=Filters!$B$2,"Within cap",IF(E25&lt;=Filters!$B$2,"Straddles cap","Over cap")))</f>
        <v/>
      </c>
      <c r="H25" t="n">
        <v>4</v>
      </c>
      <c r="I25" t="n">
        <v>2</v>
      </c>
      <c r="K25" t="n">
        <v>2070</v>
      </c>
      <c r="L25" t="inlineStr">
        <is>
          <t>Active</t>
        </is>
      </c>
      <c r="M25" t="inlineStr">
        <is>
          <t>Thu 29 Oct 6:00pm</t>
        </is>
      </c>
      <c r="N25" t="inlineStr">
        <is>
          <t>Austen Kosasih</t>
        </is>
      </c>
      <c r="O25" t="inlineStr">
        <is>
          <t>Belgrave</t>
        </is>
      </c>
      <c r="P25">
        <f>IFERROR(INDEX(SuburbScorecard!$C:$C,MATCH($O25,SuburbScorecard!$A:$A,0)),"Not on scorecard")</f>
        <v/>
      </c>
      <c r="Q25">
        <f>IFERROR(IF(INDEX(SuburbScorecard!$J:$J,MATCH($O25,SuburbScorecard!$A:$A,0))="","",INDEX(SuburbScorecard!$J:$J,MATCH($O25,SuburbScorecard!$A:$A,0))),"")</f>
        <v/>
      </c>
      <c r="R25">
        <f>IFERROR(IF(INDEX(SuburbScorecard!$K:$K,MATCH($O25,SuburbScorecard!$A:$A,0))="","",INDEX(SuburbScorecard!$K:$K,MATCH($O25,SuburbScorecard!$A:$A,0))),"")</f>
        <v/>
      </c>
      <c r="S25">
        <f>IFERROR(IF(INDEX(SuburbScorecard!$AB:$AB,MATCH($O25,SuburbScorecard!$A:$A,0))="","Needs data",INDEX(SuburbScorecard!$AB:$AB,MATCH($O25,SuburbScorecard!$A:$A,0))),"Needs data")</f>
        <v/>
      </c>
      <c r="T25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t="inlineStr">
        <is>
          <t>Car spaces not shown on card; check listing. Reserve price (auction)</t>
        </is>
      </c>
    </row>
    <row r="26">
      <c r="A26" t="n">
        <v>25</v>
      </c>
      <c r="B26" t="inlineStr">
        <is>
          <t>3 Forest Road</t>
        </is>
      </c>
      <c r="C26" t="inlineStr">
        <is>
          <t>Belgrave</t>
        </is>
      </c>
      <c r="D26" t="inlineStr">
        <is>
          <t>$1,150,000-$1,250,000</t>
        </is>
      </c>
      <c r="E26" s="17" t="n">
        <v>1150000</v>
      </c>
      <c r="F26" s="17" t="n">
        <v>1250000</v>
      </c>
      <c r="G26">
        <f>IF(E26="","Needs data",IF(F26&lt;=Filters!$B$2,"Within cap",IF(E26&lt;=Filters!$B$2,"Straddles cap","Over cap")))</f>
        <v/>
      </c>
      <c r="H26" t="n">
        <v>4</v>
      </c>
      <c r="I26" t="n">
        <v>2</v>
      </c>
      <c r="J26" t="n">
        <v>2</v>
      </c>
      <c r="K26" t="n">
        <v>1432</v>
      </c>
      <c r="L26" t="inlineStr">
        <is>
          <t>Active</t>
        </is>
      </c>
      <c r="M26" t="inlineStr">
        <is>
          <t>None listed</t>
        </is>
      </c>
      <c r="N26" t="inlineStr">
        <is>
          <t>Sam Skolnick</t>
        </is>
      </c>
      <c r="O26" t="inlineStr">
        <is>
          <t>Belgrave</t>
        </is>
      </c>
      <c r="P26">
        <f>IFERROR(INDEX(SuburbScorecard!$C:$C,MATCH($O26,SuburbScorecard!$A:$A,0)),"Not on scorecard")</f>
        <v/>
      </c>
      <c r="Q26">
        <f>IFERROR(IF(INDEX(SuburbScorecard!$J:$J,MATCH($O26,SuburbScorecard!$A:$A,0))="","",INDEX(SuburbScorecard!$J:$J,MATCH($O26,SuburbScorecard!$A:$A,0))),"")</f>
        <v/>
      </c>
      <c r="R26">
        <f>IFERROR(IF(INDEX(SuburbScorecard!$K:$K,MATCH($O26,SuburbScorecard!$A:$A,0))="","",INDEX(SuburbScorecard!$K:$K,MATCH($O26,SuburbScorecard!$A:$A,0))),"")</f>
        <v/>
      </c>
      <c r="S26">
        <f>IFERROR(IF(INDEX(SuburbScorecard!$AB:$AB,MATCH($O26,SuburbScorecard!$A:$A,0))="","Needs data",INDEX(SuburbScorecard!$AB:$AB,MATCH($O26,SuburbScorecard!$A:$A,0))),"Needs data")</f>
        <v/>
      </c>
      <c r="T26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</row>
    <row r="27">
      <c r="A27" t="n">
        <v>26</v>
      </c>
      <c r="B27" t="inlineStr">
        <is>
          <t>11 Dalkeith Crescent</t>
        </is>
      </c>
      <c r="C27" t="inlineStr">
        <is>
          <t>Belgrave</t>
        </is>
      </c>
      <c r="D27" t="inlineStr">
        <is>
          <t>$870,000-$946,000</t>
        </is>
      </c>
      <c r="E27" s="17" t="n">
        <v>870000</v>
      </c>
      <c r="F27" s="17" t="n">
        <v>946000</v>
      </c>
      <c r="G27">
        <f>IF(E27="","Needs data",IF(F27&lt;=Filters!$B$2,"Within cap",IF(E27&lt;=Filters!$B$2,"Straddles cap","Over cap")))</f>
        <v/>
      </c>
      <c r="H27" t="n">
        <v>5</v>
      </c>
      <c r="I27" t="n">
        <v>2</v>
      </c>
      <c r="J27" t="n">
        <v>2</v>
      </c>
      <c r="K27" t="n">
        <v>1066</v>
      </c>
      <c r="L27" t="inlineStr">
        <is>
          <t>Active</t>
        </is>
      </c>
      <c r="M27" t="inlineStr">
        <is>
          <t>Tue 27 Oct 5:00pm</t>
        </is>
      </c>
      <c r="N27" t="inlineStr">
        <is>
          <t>Mick Dolphin</t>
        </is>
      </c>
      <c r="O27" t="inlineStr">
        <is>
          <t>Belgrave</t>
        </is>
      </c>
      <c r="P27">
        <f>IFERROR(INDEX(SuburbScorecard!$C:$C,MATCH($O27,SuburbScorecard!$A:$A,0)),"Not on scorecard")</f>
        <v/>
      </c>
      <c r="Q27">
        <f>IFERROR(IF(INDEX(SuburbScorecard!$J:$J,MATCH($O27,SuburbScorecard!$A:$A,0))="","",INDEX(SuburbScorecard!$J:$J,MATCH($O27,SuburbScorecard!$A:$A,0))),"")</f>
        <v/>
      </c>
      <c r="R27">
        <f>IFERROR(IF(INDEX(SuburbScorecard!$K:$K,MATCH($O27,SuburbScorecard!$A:$A,0))="","",INDEX(SuburbScorecard!$K:$K,MATCH($O27,SuburbScorecard!$A:$A,0))),"")</f>
        <v/>
      </c>
      <c r="S27">
        <f>IFERROR(IF(INDEX(SuburbScorecard!$AB:$AB,MATCH($O27,SuburbScorecard!$A:$A,0))="","Needs data",INDEX(SuburbScorecard!$AB:$AB,MATCH($O27,SuburbScorecard!$A:$A,0))),"Needs data")</f>
        <v/>
      </c>
      <c r="T27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</row>
    <row r="28">
      <c r="A28" t="n">
        <v>27</v>
      </c>
      <c r="B28" t="inlineStr">
        <is>
          <t>23 Sherwood Crescent</t>
        </is>
      </c>
      <c r="C28" t="inlineStr">
        <is>
          <t>Mount Martha</t>
        </is>
      </c>
      <c r="D28" t="inlineStr">
        <is>
          <t>$1,390,000-$1,490,000</t>
        </is>
      </c>
      <c r="E28" s="17" t="n">
        <v>1390000</v>
      </c>
      <c r="F28" s="17" t="n">
        <v>1490000</v>
      </c>
      <c r="G28">
        <f>IF(E28="","Needs data",IF(F28&lt;=Filters!$B$2,"Within cap",IF(E28&lt;=Filters!$B$2,"Straddles cap","Over cap")))</f>
        <v/>
      </c>
      <c r="H28" t="n">
        <v>5</v>
      </c>
      <c r="I28" t="n">
        <v>3</v>
      </c>
      <c r="J28" t="n">
        <v>2</v>
      </c>
      <c r="K28" t="n">
        <v>920</v>
      </c>
      <c r="L28" t="inlineStr">
        <is>
          <t>Active</t>
        </is>
      </c>
      <c r="M28" t="inlineStr">
        <is>
          <t>None listed</t>
        </is>
      </c>
      <c r="N28" t="inlineStr">
        <is>
          <t>Brendan Collopy</t>
        </is>
      </c>
      <c r="O28" t="inlineStr">
        <is>
          <t>Mount Martha</t>
        </is>
      </c>
      <c r="P28">
        <f>IFERROR(INDEX(SuburbScorecard!$C:$C,MATCH($O28,SuburbScorecard!$A:$A,0)),"Not on scorecard")</f>
        <v/>
      </c>
      <c r="Q28">
        <f>IFERROR(IF(INDEX(SuburbScorecard!$J:$J,MATCH($O28,SuburbScorecard!$A:$A,0))="","",INDEX(SuburbScorecard!$J:$J,MATCH($O28,SuburbScorecard!$A:$A,0))),"")</f>
        <v/>
      </c>
      <c r="R28">
        <f>IFERROR(IF(INDEX(SuburbScorecard!$K:$K,MATCH($O28,SuburbScorecard!$A:$A,0))="","",INDEX(SuburbScorecard!$K:$K,MATCH($O28,SuburbScorecard!$A:$A,0))),"")</f>
        <v/>
      </c>
      <c r="S28">
        <f>IFERROR(IF(INDEX(SuburbScorecard!$AB:$AB,MATCH($O28,SuburbScorecard!$A:$A,0))="","Needs data",INDEX(SuburbScorecard!$AB:$AB,MATCH($O28,SuburbScorecard!$A:$A,0))),"Needs data")</f>
        <v/>
      </c>
      <c r="T28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t="inlineStr">
        <is>
          <t>Suburb not on scorecard</t>
        </is>
      </c>
    </row>
    <row r="29">
      <c r="A29" t="n">
        <v>28</v>
      </c>
      <c r="B29" t="inlineStr">
        <is>
          <t>85 Terrys Avenue</t>
        </is>
      </c>
      <c r="C29" t="inlineStr">
        <is>
          <t>Tecoma</t>
        </is>
      </c>
      <c r="D29" t="inlineStr">
        <is>
          <t>$1,250,000-$1,340,000</t>
        </is>
      </c>
      <c r="E29" s="17" t="n">
        <v>1250000</v>
      </c>
      <c r="F29" s="17" t="n">
        <v>1340000</v>
      </c>
      <c r="G29">
        <f>IF(E29="","Needs data",IF(F29&lt;=Filters!$B$2,"Within cap",IF(E29&lt;=Filters!$B$2,"Straddles cap","Over cap")))</f>
        <v/>
      </c>
      <c r="H29" t="n">
        <v>5</v>
      </c>
      <c r="I29" t="n">
        <v>2</v>
      </c>
      <c r="J29" t="n">
        <v>4</v>
      </c>
      <c r="K29" t="n">
        <v>1354</v>
      </c>
      <c r="L29" t="inlineStr">
        <is>
          <t>Active</t>
        </is>
      </c>
      <c r="M29" t="inlineStr">
        <is>
          <t>Tue 27 Oct 5:15pm</t>
        </is>
      </c>
      <c r="N29" t="inlineStr">
        <is>
          <t>Brad Conder</t>
        </is>
      </c>
      <c r="O29" t="inlineStr">
        <is>
          <t>Tecoma</t>
        </is>
      </c>
      <c r="P29">
        <f>IFERROR(INDEX(SuburbScorecard!$C:$C,MATCH($O29,SuburbScorecard!$A:$A,0)),"Not on scorecard")</f>
        <v/>
      </c>
      <c r="Q29">
        <f>IFERROR(IF(INDEX(SuburbScorecard!$J:$J,MATCH($O29,SuburbScorecard!$A:$A,0))="","",INDEX(SuburbScorecard!$J:$J,MATCH($O29,SuburbScorecard!$A:$A,0))),"")</f>
        <v/>
      </c>
      <c r="R29">
        <f>IFERROR(IF(INDEX(SuburbScorecard!$K:$K,MATCH($O29,SuburbScorecard!$A:$A,0))="","",INDEX(SuburbScorecard!$K:$K,MATCH($O29,SuburbScorecard!$A:$A,0))),"")</f>
        <v/>
      </c>
      <c r="S29">
        <f>IFERROR(IF(INDEX(SuburbScorecard!$AB:$AB,MATCH($O29,SuburbScorecard!$A:$A,0))="","Needs data",INDEX(SuburbScorecard!$AB:$AB,MATCH($O29,SuburbScorecard!$A:$A,0))),"Needs data")</f>
        <v/>
      </c>
      <c r="T29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</row>
    <row r="30">
      <c r="A30" t="n">
        <v>29</v>
      </c>
      <c r="B30" t="inlineStr">
        <is>
          <t>84 Belgrave Gembrook Road</t>
        </is>
      </c>
      <c r="C30" t="inlineStr">
        <is>
          <t>Belgrave</t>
        </is>
      </c>
      <c r="D30" t="inlineStr">
        <is>
          <t>$945,000-$1,035,000</t>
        </is>
      </c>
      <c r="E30" s="17" t="n">
        <v>945000</v>
      </c>
      <c r="F30" s="17" t="n">
        <v>1035000</v>
      </c>
      <c r="G30">
        <f>IF(E30="","Needs data",IF(F30&lt;=Filters!$B$2,"Within cap",IF(E30&lt;=Filters!$B$2,"Straddles cap","Over cap")))</f>
        <v/>
      </c>
      <c r="H30" t="n">
        <v>5</v>
      </c>
      <c r="I30" t="n">
        <v>2</v>
      </c>
      <c r="J30" t="n">
        <v>2</v>
      </c>
      <c r="K30" t="n">
        <v>4089</v>
      </c>
      <c r="L30" t="inlineStr">
        <is>
          <t>Active</t>
        </is>
      </c>
      <c r="M30" t="inlineStr">
        <is>
          <t>Thu 29 Oct 1:30pm</t>
        </is>
      </c>
      <c r="N30" t="inlineStr">
        <is>
          <t>Jarrod Peterson</t>
        </is>
      </c>
      <c r="O30" t="inlineStr">
        <is>
          <t>Belgrave</t>
        </is>
      </c>
      <c r="P30">
        <f>IFERROR(INDEX(SuburbScorecard!$C:$C,MATCH($O30,SuburbScorecard!$A:$A,0)),"Not on scorecard")</f>
        <v/>
      </c>
      <c r="Q30">
        <f>IFERROR(IF(INDEX(SuburbScorecard!$J:$J,MATCH($O30,SuburbScorecard!$A:$A,0))="","",INDEX(SuburbScorecard!$J:$J,MATCH($O30,SuburbScorecard!$A:$A,0))),"")</f>
        <v/>
      </c>
      <c r="R30">
        <f>IFERROR(IF(INDEX(SuburbScorecard!$K:$K,MATCH($O30,SuburbScorecard!$A:$A,0))="","",INDEX(SuburbScorecard!$K:$K,MATCH($O30,SuburbScorecard!$A:$A,0))),"")</f>
        <v/>
      </c>
      <c r="S30">
        <f>IFERROR(IF(INDEX(SuburbScorecard!$AB:$AB,MATCH($O30,SuburbScorecard!$A:$A,0))="","Needs data",INDEX(SuburbScorecard!$AB:$AB,MATCH($O30,SuburbScorecard!$A:$A,0))),"Needs data")</f>
        <v/>
      </c>
      <c r="T30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</row>
    <row r="31">
      <c r="A31" t="n">
        <v>30</v>
      </c>
      <c r="B31" t="inlineStr">
        <is>
          <t>3 Fiocchi Avenue</t>
        </is>
      </c>
      <c r="C31" t="inlineStr">
        <is>
          <t>Frankston</t>
        </is>
      </c>
      <c r="D31" t="inlineStr">
        <is>
          <t>$1,350,000-$1,450,000</t>
        </is>
      </c>
      <c r="E31" s="17" t="n">
        <v>1350000</v>
      </c>
      <c r="F31" s="17" t="n">
        <v>1450000</v>
      </c>
      <c r="G31">
        <f>IF(E31="","Needs data",IF(F31&lt;=Filters!$B$2,"Within cap",IF(E31&lt;=Filters!$B$2,"Straddles cap","Over cap")))</f>
        <v/>
      </c>
      <c r="H31" t="n">
        <v>4</v>
      </c>
      <c r="I31" t="n">
        <v>3</v>
      </c>
      <c r="J31" t="n">
        <v>2</v>
      </c>
      <c r="K31" t="n">
        <v>781</v>
      </c>
      <c r="L31" t="inlineStr">
        <is>
          <t>Active</t>
        </is>
      </c>
      <c r="M31" t="inlineStr">
        <is>
          <t>None listed</t>
        </is>
      </c>
      <c r="N31" t="inlineStr">
        <is>
          <t>Not shown</t>
        </is>
      </c>
      <c r="O31" t="inlineStr">
        <is>
          <t>Frankston</t>
        </is>
      </c>
      <c r="P31">
        <f>IFERROR(INDEX(SuburbScorecard!$C:$C,MATCH($O31,SuburbScorecard!$A:$A,0)),"Not on scorecard")</f>
        <v/>
      </c>
      <c r="Q31">
        <f>IFERROR(IF(INDEX(SuburbScorecard!$J:$J,MATCH($O31,SuburbScorecard!$A:$A,0))="","",INDEX(SuburbScorecard!$J:$J,MATCH($O31,SuburbScorecard!$A:$A,0))),"")</f>
        <v/>
      </c>
      <c r="R31">
        <f>IFERROR(IF(INDEX(SuburbScorecard!$K:$K,MATCH($O31,SuburbScorecard!$A:$A,0))="","",INDEX(SuburbScorecard!$K:$K,MATCH($O31,SuburbScorecard!$A:$A,0))),"")</f>
        <v/>
      </c>
      <c r="S31">
        <f>IFERROR(IF(INDEX(SuburbScorecard!$AB:$AB,MATCH($O31,SuburbScorecard!$A:$A,0))="","Needs data",INDEX(SuburbScorecard!$AB:$AB,MATCH($O31,SuburbScorecard!$A:$A,0))),"Needs data")</f>
        <v/>
      </c>
      <c r="T31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t="inlineStr">
        <is>
          <t>Agent name not shown on card</t>
        </is>
      </c>
    </row>
    <row r="32">
      <c r="A32" t="n">
        <v>31</v>
      </c>
      <c r="B32" t="inlineStr">
        <is>
          <t>2 Bader Court</t>
        </is>
      </c>
      <c r="C32" t="inlineStr">
        <is>
          <t>Frankston South</t>
        </is>
      </c>
      <c r="D32" t="inlineStr">
        <is>
          <t>$1,500,000-$1,650,000</t>
        </is>
      </c>
      <c r="E32" s="17" t="n">
        <v>1500000</v>
      </c>
      <c r="F32" s="17" t="n">
        <v>1650000</v>
      </c>
      <c r="G32">
        <f>IF(E32="","Needs data",IF(F32&lt;=Filters!$B$2,"Within cap",IF(E32&lt;=Filters!$B$2,"Straddles cap","Over cap")))</f>
        <v/>
      </c>
      <c r="H32" t="n">
        <v>4</v>
      </c>
      <c r="I32" t="n">
        <v>2</v>
      </c>
      <c r="J32" t="n">
        <v>4</v>
      </c>
      <c r="K32" t="n">
        <v>430</v>
      </c>
      <c r="L32" t="inlineStr">
        <is>
          <t>Active</t>
        </is>
      </c>
      <c r="M32" t="inlineStr">
        <is>
          <t>Thu 29 Oct 5:30pm</t>
        </is>
      </c>
      <c r="N32" t="inlineStr">
        <is>
          <t>Geoff Oxford</t>
        </is>
      </c>
      <c r="O32" t="inlineStr">
        <is>
          <t>Frankston South</t>
        </is>
      </c>
      <c r="P32">
        <f>IFERROR(INDEX(SuburbScorecard!$C:$C,MATCH($O32,SuburbScorecard!$A:$A,0)),"Not on scorecard")</f>
        <v/>
      </c>
      <c r="Q32">
        <f>IFERROR(IF(INDEX(SuburbScorecard!$J:$J,MATCH($O32,SuburbScorecard!$A:$A,0))="","",INDEX(SuburbScorecard!$J:$J,MATCH($O32,SuburbScorecard!$A:$A,0))),"")</f>
        <v/>
      </c>
      <c r="R32">
        <f>IFERROR(IF(INDEX(SuburbScorecard!$K:$K,MATCH($O32,SuburbScorecard!$A:$A,0))="","",INDEX(SuburbScorecard!$K:$K,MATCH($O32,SuburbScorecard!$A:$A,0))),"")</f>
        <v/>
      </c>
      <c r="S32">
        <f>IFERROR(IF(INDEX(SuburbScorecard!$AB:$AB,MATCH($O32,SuburbScorecard!$A:$A,0))="","Needs data",INDEX(SuburbScorecard!$AB:$AB,MATCH($O32,SuburbScorecard!$A:$A,0))),"Needs data")</f>
        <v/>
      </c>
      <c r="T3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</row>
    <row r="33">
      <c r="A33" t="n">
        <v>32</v>
      </c>
      <c r="B33" t="inlineStr">
        <is>
          <t>35 Mountain Avenue</t>
        </is>
      </c>
      <c r="C33" t="inlineStr">
        <is>
          <t>Frankston South</t>
        </is>
      </c>
      <c r="D33" t="inlineStr">
        <is>
          <t>$1,150,000-$1,250,000</t>
        </is>
      </c>
      <c r="E33" s="17" t="n">
        <v>1150000</v>
      </c>
      <c r="F33" s="17" t="n">
        <v>1250000</v>
      </c>
      <c r="G33">
        <f>IF(E33="","Needs data",IF(F33&lt;=Filters!$B$2,"Within cap",IF(E33&lt;=Filters!$B$2,"Straddles cap","Over cap")))</f>
        <v/>
      </c>
      <c r="H33" t="n">
        <v>3</v>
      </c>
      <c r="I33" t="n">
        <v>2</v>
      </c>
      <c r="J33" t="n">
        <v>6</v>
      </c>
      <c r="K33" t="n">
        <v>2502</v>
      </c>
      <c r="L33" t="inlineStr">
        <is>
          <t>Active</t>
        </is>
      </c>
      <c r="M33" t="inlineStr">
        <is>
          <t>Sat 31 Oct 11:00am</t>
        </is>
      </c>
      <c r="N33" t="inlineStr">
        <is>
          <t>Ashley Weston</t>
        </is>
      </c>
      <c r="O33" t="inlineStr">
        <is>
          <t>Frankston South</t>
        </is>
      </c>
      <c r="P33">
        <f>IFERROR(INDEX(SuburbScorecard!$C:$C,MATCH($O33,SuburbScorecard!$A:$A,0)),"Not on scorecard")</f>
        <v/>
      </c>
      <c r="Q33">
        <f>IFERROR(IF(INDEX(SuburbScorecard!$J:$J,MATCH($O33,SuburbScorecard!$A:$A,0))="","",INDEX(SuburbScorecard!$J:$J,MATCH($O33,SuburbScorecard!$A:$A,0))),"")</f>
        <v/>
      </c>
      <c r="R33">
        <f>IFERROR(IF(INDEX(SuburbScorecard!$K:$K,MATCH($O33,SuburbScorecard!$A:$A,0))="","",INDEX(SuburbScorecard!$K:$K,MATCH($O33,SuburbScorecard!$A:$A,0))),"")</f>
        <v/>
      </c>
      <c r="S33">
        <f>IFERROR(IF(INDEX(SuburbScorecard!$AB:$AB,MATCH($O33,SuburbScorecard!$A:$A,0))="","Needs data",INDEX(SuburbScorecard!$AB:$AB,MATCH($O33,SuburbScorecard!$A:$A,0))),"Needs data")</f>
        <v/>
      </c>
      <c r="T33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</row>
  </sheetData>
  <autoFilter ref="A1:U33"/>
  <conditionalFormatting sqref="T2:T33">
    <cfRule type="expression" priority="1" dxfId="4">
      <formula>LEFT($T2,4)="Pass"</formula>
    </cfRule>
    <cfRule type="expression" priority="2" dxfId="5">
      <formula>LEFT($T2,5)="Fails"</formula>
    </cfRule>
    <cfRule type="expression" priority="3" dxfId="6">
      <formula>$T2="Needs data"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1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Executive Dashboard</t>
        </is>
      </c>
    </row>
    <row r="3">
      <c r="A3" s="10" t="inlineStr">
        <is>
          <t>Respondent Status</t>
        </is>
      </c>
      <c r="D3" s="10" t="inlineStr">
        <is>
          <t>Priority Weights (Before vs After)</t>
        </is>
      </c>
    </row>
    <row r="4">
      <c r="A4" s="10" t="inlineStr">
        <is>
          <t>Mum</t>
        </is>
      </c>
      <c r="B4" s="10">
        <f>CleanedAnswers!B2</f>
        <v/>
      </c>
      <c r="D4" s="10" t="inlineStr">
        <is>
          <t>Priority</t>
        </is>
      </c>
      <c r="E4" s="10" t="inlineStr">
        <is>
          <t>Draft Baseline</t>
        </is>
      </c>
      <c r="F4" s="10" t="inlineStr">
        <is>
          <t>Final Weight</t>
        </is>
      </c>
    </row>
    <row r="5">
      <c r="A5" s="10" t="inlineStr">
        <is>
          <t>Dad</t>
        </is>
      </c>
      <c r="B5" s="10">
        <f>CleanedAnswers!B3</f>
        <v/>
      </c>
      <c r="D5" s="10" t="inlineStr">
        <is>
          <t>Near family in GW</t>
        </is>
      </c>
      <c r="E5" s="14" t="n">
        <v>0</v>
      </c>
      <c r="F5" s="15" t="n">
        <v>0.153</v>
      </c>
    </row>
    <row r="6">
      <c r="A6" s="10" t="inlineStr">
        <is>
          <t>Me</t>
        </is>
      </c>
      <c r="B6" s="10">
        <f>CleanedAnswers!B4</f>
        <v/>
      </c>
      <c r="D6" s="10" t="inlineStr">
        <is>
          <t>Nature</t>
        </is>
      </c>
      <c r="E6" s="14" t="n">
        <v>0.18</v>
      </c>
      <c r="F6" s="15" t="n">
        <v>0.133</v>
      </c>
    </row>
    <row r="7">
      <c r="D7" s="10" t="inlineStr">
        <is>
          <t>Hospital</t>
        </is>
      </c>
      <c r="E7" s="14" t="n">
        <v>0.15</v>
      </c>
      <c r="F7" s="15" t="n">
        <v>0.133</v>
      </c>
    </row>
    <row r="8">
      <c r="A8" s="10" t="inlineStr">
        <is>
          <t>Active Hard Filters</t>
        </is>
      </c>
      <c r="D8" s="10" t="inlineStr">
        <is>
          <t>Indian community</t>
        </is>
      </c>
      <c r="E8" s="14" t="n">
        <v>0.18</v>
      </c>
      <c r="F8" s="15" t="n">
        <v>0.117</v>
      </c>
    </row>
    <row r="9">
      <c r="A9" s="10" t="inlineStr">
        <is>
          <t>Budget Cap</t>
        </is>
      </c>
      <c r="B9" s="18" t="n">
        <v>1500000</v>
      </c>
      <c r="D9" s="10" t="inlineStr">
        <is>
          <t>Shops &amp; doctor</t>
        </is>
      </c>
      <c r="E9" s="14" t="n">
        <v>0.09</v>
      </c>
      <c r="F9" s="15" t="n">
        <v>0.108</v>
      </c>
    </row>
    <row r="10">
      <c r="A10" s="10" t="inlineStr">
        <is>
          <t>Max GW Drive</t>
        </is>
      </c>
      <c r="B10" s="10">
        <f>Filters!B4</f>
        <v/>
      </c>
      <c r="D10" s="10" t="inlineStr">
        <is>
          <t>Village character</t>
        </is>
      </c>
      <c r="E10" s="14" t="n">
        <v>0.07000000000000001</v>
      </c>
      <c r="F10" s="15" t="n">
        <v>0.08799999999999999</v>
      </c>
    </row>
    <row r="11">
      <c r="A11" s="10" t="inlineStr">
        <is>
          <t>Max ED Drive</t>
        </is>
      </c>
      <c r="B11" s="10">
        <f>Filters!B5</f>
        <v/>
      </c>
      <c r="D11" s="10" t="inlineStr">
        <is>
          <t>Train/bus</t>
        </is>
      </c>
      <c r="E11" s="14" t="n">
        <v>0.15</v>
      </c>
      <c r="F11" s="15" t="n">
        <v>0.081</v>
      </c>
    </row>
    <row r="12">
      <c r="A12" s="10" t="inlineStr">
        <is>
          <t>Stairs</t>
        </is>
      </c>
      <c r="B12" s="10">
        <f>Filters!B6</f>
        <v/>
      </c>
      <c r="D12" s="10" t="inlineStr">
        <is>
          <t>Price</t>
        </is>
      </c>
      <c r="E12" s="14" t="n">
        <v>0.08</v>
      </c>
      <c r="F12" s="15" t="n">
        <v>0.081</v>
      </c>
    </row>
    <row r="13">
      <c r="D13" s="10" t="inlineStr">
        <is>
          <t>Beach</t>
        </is>
      </c>
      <c r="E13" s="14" t="n">
        <v>0.1</v>
      </c>
      <c r="F13" s="15" t="n">
        <v>0.061</v>
      </c>
    </row>
    <row r="14">
      <c r="A14" s="10" t="inlineStr">
        <is>
          <t>Suburb Counts</t>
        </is>
      </c>
      <c r="D14" s="10" t="inlineStr">
        <is>
          <t>City trip</t>
        </is>
      </c>
      <c r="E14" s="14" t="n">
        <v>0</v>
      </c>
      <c r="F14" s="15" t="n">
        <v>0.045</v>
      </c>
    </row>
    <row r="15">
      <c r="A15" s="10" t="inlineStr">
        <is>
          <t>Passing / Provisional Pass</t>
        </is>
      </c>
      <c r="B15" s="10">
        <f>COUNTIF(SuburbScorecard!L:L, "*Pass*")</f>
        <v/>
      </c>
    </row>
    <row r="16">
      <c r="A16" s="10" t="inlineStr">
        <is>
          <t>Needs Data</t>
        </is>
      </c>
      <c r="B16" s="10">
        <f>COUNTIF(SuburbScorecard!L:L, "*Needs data*")</f>
        <v/>
      </c>
      <c r="D16" s="10" t="inlineStr">
        <is>
          <t>Trade-off Disagreements</t>
        </is>
      </c>
    </row>
    <row r="17">
      <c r="A17" s="10" t="inlineStr">
        <is>
          <t>Fails: budget</t>
        </is>
      </c>
      <c r="B17" s="10">
        <f>COUNTIF(SuburbScorecard!L:L, "Fails: budget")</f>
        <v/>
      </c>
      <c r="D17" s="10" t="inlineStr">
        <is>
          <t>Q7a/Q7b Living arrangement</t>
        </is>
      </c>
      <c r="E17" s="10" t="inlineStr">
        <is>
          <t>Needs discussion (Living arrangement undecided): D — Self-contained space</t>
        </is>
      </c>
    </row>
    <row r="18">
      <c r="A18" s="10" t="inlineStr">
        <is>
          <t>Fails: GW drive</t>
        </is>
      </c>
      <c r="B18" s="10">
        <f>COUNTIF(SuburbScorecard!L:L, "Fails: GW drive")</f>
        <v/>
      </c>
      <c r="D18" s="10" t="inlineStr">
        <is>
          <t>Q7 Garden</t>
        </is>
      </c>
      <c r="E18" s="10" t="inlineStr">
        <is>
          <t>Needs discussion (Depends — see notes)</t>
        </is>
      </c>
    </row>
    <row r="19">
      <c r="A19" s="10" t="inlineStr">
        <is>
          <t>Fails: ED drive</t>
        </is>
      </c>
      <c r="B19" s="10">
        <f>COUNTIF(SuburbScorecard!L:L, "Fails: ED drive")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2026-10-27T01:44:00Z</dcterms:modified>
</cp:coreProperties>
</file>