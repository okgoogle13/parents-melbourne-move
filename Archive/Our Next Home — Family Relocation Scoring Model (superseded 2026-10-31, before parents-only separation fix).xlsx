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tartHere" sheetId="1" state="visible" r:id="rId1"/>
    <sheet name="Settings" sheetId="2" state="visible" r:id="rId2"/>
    <sheet name="RawResponses" sheetId="3" state="visible" r:id="rId3"/>
    <sheet name="CleanedAnswers" sheetId="4" state="visible" r:id="rId4"/>
    <sheet name="Filters" sheetId="5" state="visible" r:id="rId5"/>
    <sheet name="PriorityWeights" sheetId="6" state="visible" r:id="rId6"/>
    <sheet name="ForcedChoiceCorrections" sheetId="7" state="visible" r:id="rId7"/>
    <sheet name="SuburbScorecard" sheetId="8" state="visible" r:id="rId8"/>
    <sheet name="Listings" sheetId="9" state="visible" r:id="rId9"/>
    <sheet name="DiscussionSummary" sheetId="10" state="visible" r:id="rId10"/>
  </sheets>
  <definedNames>
    <definedName name="_xlnm._FilterDatabase" localSheetId="8" hidden="1">'Listings'!$A$1:$U$33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hh:mm"/>
    <numFmt numFmtId="165" formatCode="\$#,##0"/>
    <numFmt numFmtId="166" formatCode="yyyy-mm-dd hh:mm"/>
    <numFmt numFmtId="167" formatCode="0.0%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Montserrat"/>
      <charset val="1"/>
      <family val="0"/>
      <b val="1"/>
      <color rgb="FFFFFFFF"/>
      <sz val="11"/>
    </font>
    <font>
      <name val="Roboto"/>
      <charset val="1"/>
      <family val="0"/>
      <color rgb="FF1A1B1F"/>
      <sz val="10"/>
    </font>
    <font>
      <name val="Calibri"/>
      <charset val="1"/>
      <family val="0"/>
      <b val="1"/>
      <color rgb="FFFFFFFF"/>
      <sz val="11"/>
    </font>
    <font>
      <name val="Arial"/>
      <family val="2"/>
      <sz val="10"/>
    </font>
    <font>
      <name val="Cambria"/>
      <charset val="1"/>
      <family val="0"/>
      <b val="1"/>
      <sz val="11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FF425D90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425D90"/>
      </patternFill>
    </fill>
    <fill>
      <patternFill patternType="solid">
        <fgColor rgb="FFE6EDF7"/>
        <bgColor rgb="FFD9F0D3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6" fontId="4" fillId="0" borderId="0" applyAlignment="1" pivotButton="0" quotePrefix="0" xfId="0">
      <alignment horizontal="general" vertical="bottom"/>
    </xf>
    <xf numFmtId="0" fontId="10" fillId="0" borderId="0" pivotButton="0" quotePrefix="0" xfId="0"/>
    <xf numFmtId="0" fontId="11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425D9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B1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E6ED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F0D3"/>
          <bgColor rgb="FF000000"/>
        </patternFill>
      </fill>
    </dxf>
    <dxf>
      <fill>
        <patternFill patternType="solid">
          <fgColor rgb="FFF5D6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9F0D3"/>
        </patternFill>
      </fill>
    </dxf>
    <dxf>
      <fill>
        <patternFill>
          <bgColor rgb="FFF5D6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6ED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0D3"/>
      <rgbColor rgb="FFFFFF99"/>
      <rgbColor rgb="FF99CCFF"/>
      <rgbColor rgb="FFFF99CC"/>
      <rgbColor rgb="FFCC99FF"/>
      <rgbColor rgb="FFF5D6D6"/>
      <rgbColor rgb="FF3366FF"/>
      <rgbColor rgb="FF33CCCC"/>
      <rgbColor rgb="FF99CC00"/>
      <rgbColor rgb="FFFFCC00"/>
      <rgbColor rgb="FFFF9900"/>
      <rgbColor rgb="FFFF6600"/>
      <rgbColor rgb="FF425D9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B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Claude</author>
  </authors>
  <commentList>
    <comment ref="AN1" authorId="0" shapeId="0">
      <text>
        <t>Q13d (Round 4, reference-only; feeds no weight, ForcedChoiceCorrections or PriorityWeights). "If both options were within 30 minutes of family, which would you prefer for everyday living?" A = very green, peaceful village or bushland-edge suburb; Indian groceries, a Hindu temple and churches about 30 min away. B = more multicultural neighbourhood; Indian groceries, temples and churches close by, fewer trees and trails. Scale: A strongly / A slightly / No strong preference / B slightly / B strongly.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40" authorId="0" shapeId="0">
      <text>
        <t>Q13d (Round 4, reference-only; feeds no weight, ForcedChoiceCorrections or PriorityWeights). "If both options were within 30 minutes of family, which would you prefer for everyday living?" A = very green, peaceful village or bushland-edge suburb; Indian groceries, a Hindu temple and churches about 30 min away. B = more multicultural neighbourhood; Indian groceries, temples and churches close by, fewer trees and trails. Scale: A strongly / A slightly / No strong preference / B slightly / B strongly.</t>
      </text>
    </comment>
  </commentList>
</comments>
</file>

<file path=xl/comments/comment3.xml><?xml version="1.0" encoding="utf-8"?>
<comments xmlns="http://schemas.openxmlformats.org/spreadsheetml/2006/main">
  <authors>
    <author>Unknown Author</author>
    <author>Claude</author>
  </authors>
  <commentList>
    <comment ref="A1" authorId="0" shapeId="0">
      <text>
        <t>27 Oct 2026: columns A–H and Z were Google-only formulas splitting column AA. Converted to plain values so they can be edited in Excel. Blank price (G) = not yet researched (was shown as 0).</t>
      </text>
    </comment>
    <comment ref="AO1" authorId="1" shapeId="0">
      <text>
        <t>Born overseas / all people (ABS G01 Birthplace_Elsewhere_P / Tot_P). Not the same as 100 minus Australia-born: that also counts people who did not state a birthplace (see next column). This fixes foundation-report item 11.</t>
      </text>
    </comment>
    <comment ref="AP1" authorId="1" shapeId="0">
      <text>
        <t>All people minus Australia-born minus overseas-born, as a share of all people.</t>
      </text>
    </comment>
    <comment ref="AR1" authorId="1" shapeId="0">
      <text>
        <t>Indian ancestry responses / all people (ABS G08). People can give two ancestries.</t>
      </text>
    </comment>
    <comment ref="AV1" authorId="1" shapeId="0">
      <text>
        <t>From ABS GCP table G13 (about 45 named languages). Languages ABS groups as "other" there (e.g. Telugu, Burmese, Zomi) cannot appear; QuickStats top-responses may differ.</t>
      </text>
    </comment>
    <comment ref="AX1" authorId="1" shapeId="0">
      <text>
        <t>Comparison band, not a liveability score. Display-only: not used in X, Y or any weight, and does not change P. High: other language at home (AU) &gt;= 50% or born in India (AQ) &gt;= 8%. Medium: AU 30-49% or AQ 4-7.9%. Low: otherwise. Interim thresholds, family to confirm.</t>
      </text>
    </comment>
  </commentList>
</comments>
</file>

<file path=xl/tables/table1.xml><?xml version="1.0" encoding="utf-8"?>
<table xmlns="http://schemas.openxmlformats.org/spreadsheetml/2006/main" id="1" name="Table_1" displayName="Table_1" ref="A1:C25" headerRowCount="1" totalsRowCount="0" totalsRowShown="0">
  <tableColumns count="3">
    <tableColumn id="1" name="Parameter"/>
    <tableColumn id="2" name="Value"/>
    <tableColumn id="3" name="Notes"/>
  </tableColumns>
</table>
</file>

<file path=xl/tables/table2.xml><?xml version="1.0" encoding="utf-8"?>
<table xmlns="http://schemas.openxmlformats.org/spreadsheetml/2006/main" id="2" name="Table_2" displayName="Table_2" ref="A1:Z50" headerRowCount="1" totalsRowCount="0" totalsRowShown="0">
  <tableColumns count="26">
    <tableColumn id="1" name="Location"/>
    <tableColumn id="2" name="Region"/>
    <tableColumn id="3" name="Shortlist Status"/>
    <tableColumn id="4" name="Parents Inland/Bush Fit (P)"/>
    <tableColumn id="5" name="My Coastal-Nature Fit (Y)"/>
    <tableColumn id="6" name="Primary Investigation Lens"/>
    <tableColumn id="7" name="Published House Price"/>
    <tableColumn id="8" name="Price Basis"/>
    <tableColumn id="9" name="Price + Est. 6% Costs"/>
    <tableColumn id="10" name="Drive to GW (min)"/>
    <tableColumn id="11" name="Drive to 24-Hr Public ED (min)"/>
    <tableColumn id="12" name="Hard Filter Status"/>
    <tableColumn id="13" name="Score: Near family in GW"/>
    <tableColumn id="14" name="Score: Nature"/>
    <tableColumn id="15" name="Score: Hospital"/>
    <tableColumn id="16" name="Score: Indian community"/>
    <tableColumn id="17" name="Score: Shops &amp; doctor"/>
    <tableColumn id="18" name="Score: Village character"/>
    <tableColumn id="19" name="Score: Train/bus"/>
    <tableColumn id="20" name="Score: Price"/>
    <tableColumn id="21" name="Score: Beach"/>
    <tableColumn id="22" name="Score: City trip"/>
    <tableColumn id="23" name="Scores Entered"/>
    <tableColumn id="24" name="Weighted Score (0-10)"/>
    <tableColumn id="25" name="Rank (Passing Only)"/>
    <tableColumn id="26" name="Healthcare &amp; ABS Verification Not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realestate.com.au/property-house-vic-torquay-152666740" TargetMode="External" Id="rId1" /><Relationship Type="http://schemas.openxmlformats.org/officeDocument/2006/relationships/hyperlink" Target="https://www.realestate.com.au/property-house-vic-torquay-152666740" TargetMode="External" Id="rId2" /><Relationship Type="http://schemas.openxmlformats.org/officeDocument/2006/relationships/hyperlink" Target="https://www.realestate.com.au/property-house-vic-west+footscray-152623144" TargetMode="External" Id="rId3" /><Relationship Type="http://schemas.openxmlformats.org/officeDocument/2006/relationships/hyperlink" Target="https://www.realestate.com.au/property-house-vic-west+footscray-152623144" TargetMode="External" Id="rId4" /><Relationship Type="http://schemas.openxmlformats.org/officeDocument/2006/relationships/hyperlink" Target="https://www.realestate.com.au/property-house-vic-warburton-150763740" TargetMode="External" Id="rId5" /><Relationship Type="http://schemas.openxmlformats.org/officeDocument/2006/relationships/hyperlink" Target="https://www.realestate.com.au/property-house-vic-warburton-150763740" TargetMode="External" Id="rId6" /><Relationship Type="http://schemas.openxmlformats.org/officeDocument/2006/relationships/hyperlink" Target="https://www.realestate.com.au/property-house-vic-williamstown-152686328" TargetMode="External" Id="rId7" /><Relationship Type="http://schemas.openxmlformats.org/officeDocument/2006/relationships/hyperlink" Target="https://www.realestate.com.au/property-house-vic-williamstown-152686328" TargetMode="External" Id="rId8" /><Relationship Type="http://schemas.openxmlformats.org/officeDocument/2006/relationships/hyperlink" Target="https://www.realestate.com.au/property-house-vic-rosanna-152574468" TargetMode="External" Id="rId9" /><Relationship Type="http://schemas.openxmlformats.org/officeDocument/2006/relationships/hyperlink" Target="https://www.realestate.com.au/property-house-vic-rosanna-152574468" TargetMode="External" Id="rId10" /><Relationship Type="http://schemas.openxmlformats.org/officeDocument/2006/relationships/hyperlink" Target="https://www.realestate.com.au/property-house-vic-diamond+creek-152290624" TargetMode="External" Id="rId11" /><Relationship Type="http://schemas.openxmlformats.org/officeDocument/2006/relationships/hyperlink" Target="https://www.realestate.com.au/property-house-vic-diamond+creek-152290624" TargetMode="External" Id="rId12" /><Relationship Type="http://schemas.openxmlformats.org/officeDocument/2006/relationships/hyperlink" Target="https://www.realestate.com.au/property-house-vic-mordialloc-152622844" TargetMode="External" Id="rId13" /><Relationship Type="http://schemas.openxmlformats.org/officeDocument/2006/relationships/hyperlink" Target="https://www.realestate.com.au/property-house-vic-mordialloc-152622844" TargetMode="External" Id="rId14" /><Relationship Type="http://schemas.openxmlformats.org/officeDocument/2006/relationships/hyperlink" Target="https://www.realestate.com.au/property-house-vic-seaford-152011424" TargetMode="External" Id="rId15" /><Relationship Type="http://schemas.openxmlformats.org/officeDocument/2006/relationships/hyperlink" Target="https://www.realestate.com.au/property-house-vic-seaford-152011424" TargetMode="External" Id="rId16" /><Relationship Type="http://schemas.openxmlformats.org/officeDocument/2006/relationships/hyperlink" Target="https://www.realestate.com.au/property-house-vic-seaford-151815440" TargetMode="External" Id="rId17" /><Relationship Type="http://schemas.openxmlformats.org/officeDocument/2006/relationships/hyperlink" Target="https://www.realestate.com.au/property-house-vic-seaford-151815440" TargetMode="External" Id="rId18" /><Relationship Type="http://schemas.openxmlformats.org/officeDocument/2006/relationships/hyperlink" Target="https://www.realestate.com.au/property-house-vic-mount+eliza-151176748" TargetMode="External" Id="rId19" /><Relationship Type="http://schemas.openxmlformats.org/officeDocument/2006/relationships/hyperlink" Target="https://www.realestate.com.au/property-house-vic-mount+eliza-151176748" TargetMode="External" Id="rId20" /><Relationship Type="http://schemas.openxmlformats.org/officeDocument/2006/relationships/hyperlink" Target="https://www.realestate.com.au/property-house-vic-mount+eliza-152450032" TargetMode="External" Id="rId21" /><Relationship Type="http://schemas.openxmlformats.org/officeDocument/2006/relationships/hyperlink" Target="https://www.realestate.com.au/property-house-vic-mount+eliza-152450032" TargetMode="External" Id="rId22" /><Relationship Type="http://schemas.openxmlformats.org/officeDocument/2006/relationships/hyperlink" Target="https://www.realestate.com.au/property-house-vic-mount+eliza-152376824" TargetMode="External" Id="rId23" /><Relationship Type="http://schemas.openxmlformats.org/officeDocument/2006/relationships/hyperlink" Target="https://www.realestate.com.au/property-house-vic-mount+eliza-152376824" TargetMode="External" Id="rId24" /><Relationship Type="http://schemas.openxmlformats.org/officeDocument/2006/relationships/hyperlink" Target="https://www.realestate.com.au/property-house-vic-mount+eliza-151903892" TargetMode="External" Id="rId25" /><Relationship Type="http://schemas.openxmlformats.org/officeDocument/2006/relationships/hyperlink" Target="https://www.realestate.com.au/property-house-vic-mount+eliza-151903892" TargetMode="External" Id="rId26" /><Relationship Type="http://schemas.openxmlformats.org/officeDocument/2006/relationships/hyperlink" Target="https://www.realestate.com.au/property-house-vic-arthurs+seat-146680920" TargetMode="External" Id="rId27" /><Relationship Type="http://schemas.openxmlformats.org/officeDocument/2006/relationships/hyperlink" Target="https://www.realestate.com.au/property-house-vic-arthurs+seat-146680920" TargetMode="External" Id="rId28" /><Relationship Type="http://schemas.openxmlformats.org/officeDocument/2006/relationships/hyperlink" Target="https://www.realestate.com.au/property-house-vic-dromana-152005848" TargetMode="External" Id="rId29" /><Relationship Type="http://schemas.openxmlformats.org/officeDocument/2006/relationships/hyperlink" Target="https://www.realestate.com.au/property-house-vic-dromana-152005848" TargetMode="External" Id="rId30" /><Relationship Type="http://schemas.openxmlformats.org/officeDocument/2006/relationships/hyperlink" Target="https://www.realestate.com.au/property-house-vic-curlewis-152352192" TargetMode="External" Id="rId31" /><Relationship Type="http://schemas.openxmlformats.org/officeDocument/2006/relationships/hyperlink" Target="https://www.realestate.com.au/property-house-vic-curlewis-152352192" TargetMode="External" Id="rId32" /><Relationship Type="http://schemas.openxmlformats.org/officeDocument/2006/relationships/hyperlink" Target="https://www.realestate.com.au/property-house-vic-mccrae-151835348" TargetMode="External" Id="rId33" /><Relationship Type="http://schemas.openxmlformats.org/officeDocument/2006/relationships/hyperlink" Target="https://www.realestate.com.au/property-house-vic-mccrae-151835348" TargetMode="External" Id="rId34" /><Relationship Type="http://schemas.openxmlformats.org/officeDocument/2006/relationships/hyperlink" Target="https://www.realestate.com.au/property-house-vic-chelsea-152626264" TargetMode="External" Id="rId35" /><Relationship Type="http://schemas.openxmlformats.org/officeDocument/2006/relationships/hyperlink" Target="https://www.realestate.com.au/property-house-vic-chelsea-152626264" TargetMode="External" Id="rId36" /><Relationship Type="http://schemas.openxmlformats.org/officeDocument/2006/relationships/hyperlink" Target="https://www.realestate.com.au/property-house-vic-torquay-152670688" TargetMode="External" Id="rId37" /><Relationship Type="http://schemas.openxmlformats.org/officeDocument/2006/relationships/hyperlink" Target="https://www.realestate.com.au/property-house-vic-torquay-152670688" TargetMode="External" Id="rId38" /><Relationship Type="http://schemas.openxmlformats.org/officeDocument/2006/relationships/hyperlink" Target="https://www.realestate.com.au/property-house-vic-newport-152302080" TargetMode="External" Id="rId39" /><Relationship Type="http://schemas.openxmlformats.org/officeDocument/2006/relationships/hyperlink" Target="https://www.realestate.com.au/property-house-vic-newport-152302080" TargetMode="External" Id="rId40" /><Relationship Type="http://schemas.openxmlformats.org/officeDocument/2006/relationships/hyperlink" Target="https://www.realestate.com.au/property-house-vic-frankston+south-152212372" TargetMode="External" Id="rId41" /><Relationship Type="http://schemas.openxmlformats.org/officeDocument/2006/relationships/hyperlink" Target="https://www.realestate.com.au/property-house-vic-frankston+south-152212372" TargetMode="External" Id="rId42" /><Relationship Type="http://schemas.openxmlformats.org/officeDocument/2006/relationships/hyperlink" Target="https://www.realestate.com.au/property-house-vic-tecoma-152652276" TargetMode="External" Id="rId43" /><Relationship Type="http://schemas.openxmlformats.org/officeDocument/2006/relationships/hyperlink" Target="https://www.realestate.com.au/property-house-vic-tecoma-152652276" TargetMode="External" Id="rId44" /><Relationship Type="http://schemas.openxmlformats.org/officeDocument/2006/relationships/hyperlink" Target="https://www.realestate.com.au/property-house-vic-belgrave-152722196" TargetMode="External" Id="rId45" /><Relationship Type="http://schemas.openxmlformats.org/officeDocument/2006/relationships/hyperlink" Target="https://www.realestate.com.au/property-house-vic-belgrave-152722196" TargetMode="External" Id="rId46" /><Relationship Type="http://schemas.openxmlformats.org/officeDocument/2006/relationships/hyperlink" Target="https://www.realestate.com.au/property-house-vic-belgrave-152535704" TargetMode="External" Id="rId47" /><Relationship Type="http://schemas.openxmlformats.org/officeDocument/2006/relationships/hyperlink" Target="https://www.realestate.com.au/property-house-vic-belgrave-152535704" TargetMode="External" Id="rId48" /><Relationship Type="http://schemas.openxmlformats.org/officeDocument/2006/relationships/hyperlink" Target="https://www.realestate.com.au/property-house-vic-belgrave-152654296" TargetMode="External" Id="rId49" /><Relationship Type="http://schemas.openxmlformats.org/officeDocument/2006/relationships/hyperlink" Target="https://www.realestate.com.au/property-house-vic-belgrave-152654296" TargetMode="External" Id="rId50" /><Relationship Type="http://schemas.openxmlformats.org/officeDocument/2006/relationships/hyperlink" Target="https://www.realestate.com.au/property-house-vic-belgrave-152729140" TargetMode="External" Id="rId51" /><Relationship Type="http://schemas.openxmlformats.org/officeDocument/2006/relationships/hyperlink" Target="https://www.realestate.com.au/property-house-vic-belgrave-152729140" TargetMode="External" Id="rId52" /><Relationship Type="http://schemas.openxmlformats.org/officeDocument/2006/relationships/hyperlink" Target="https://www.realestate.com.au/property-house-vic-mount+martha-152575492" TargetMode="External" Id="rId53" /><Relationship Type="http://schemas.openxmlformats.org/officeDocument/2006/relationships/hyperlink" Target="https://www.realestate.com.au/property-house-vic-mount+martha-152575492" TargetMode="External" Id="rId54" /><Relationship Type="http://schemas.openxmlformats.org/officeDocument/2006/relationships/hyperlink" Target="https://www.realestate.com.au/property-house-vic-tecoma-152712080" TargetMode="External" Id="rId55" /><Relationship Type="http://schemas.openxmlformats.org/officeDocument/2006/relationships/hyperlink" Target="https://www.realestate.com.au/property-house-vic-tecoma-152712080" TargetMode="External" Id="rId56" /><Relationship Type="http://schemas.openxmlformats.org/officeDocument/2006/relationships/hyperlink" Target="https://www.realestate.com.au/property-house-vic-belgrave-152583472" TargetMode="External" Id="rId57" /><Relationship Type="http://schemas.openxmlformats.org/officeDocument/2006/relationships/hyperlink" Target="https://www.realestate.com.au/property-house-vic-belgrave-152583472" TargetMode="External" Id="rId58" /><Relationship Type="http://schemas.openxmlformats.org/officeDocument/2006/relationships/hyperlink" Target="https://www.realestate.com.au/property-house-vic-frankston-151132640" TargetMode="External" Id="rId59" /><Relationship Type="http://schemas.openxmlformats.org/officeDocument/2006/relationships/hyperlink" Target="https://www.realestate.com.au/property-house-vic-frankston-151132640" TargetMode="External" Id="rId60" /><Relationship Type="http://schemas.openxmlformats.org/officeDocument/2006/relationships/hyperlink" Target="https://www.realestate.com.au/property-house-vic-frankston+south-152593596" TargetMode="External" Id="rId61" /><Relationship Type="http://schemas.openxmlformats.org/officeDocument/2006/relationships/hyperlink" Target="https://www.realestate.com.au/property-house-vic-frankston+south-152593596" TargetMode="External" Id="rId62" /><Relationship Type="http://schemas.openxmlformats.org/officeDocument/2006/relationships/hyperlink" Target="https://www.realestate.com.au/property-house-vic-frankston+south-152448552" TargetMode="External" Id="rId63" /><Relationship Type="http://schemas.openxmlformats.org/officeDocument/2006/relationships/hyperlink" Target="https://www.realestate.com.au/property-house-vic-frankston+south-152448552" TargetMode="External" Id="rId64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Workflow Steps</t>
        </is>
      </c>
    </row>
    <row r="2" ht="15.75" customHeight="1" s="15">
      <c r="A2" s="16" t="inlineStr">
        <is>
          <t>1. Complete 'Me' first</t>
        </is>
      </c>
    </row>
    <row r="3" ht="15.75" customHeight="1" s="15">
      <c r="A3" s="16" t="inlineStr">
        <is>
          <t>2. Interview Mum &amp; Dad separately</t>
        </is>
      </c>
    </row>
    <row r="4" ht="15.75" customHeight="1" s="15">
      <c r="A4" s="16" t="inlineStr">
        <is>
          <t>3. Enforce Max-2-Essential rule</t>
        </is>
      </c>
    </row>
    <row r="5" ht="15.75" customHeight="1" s="15">
      <c r="A5" s="16" t="inlineStr">
        <is>
          <t>4. Review DiscussionSummary</t>
        </is>
      </c>
    </row>
    <row r="6" ht="15.75" customHeight="1" s="15">
      <c r="A6" s="16" t="inlineStr">
        <is>
          <t>5. Verify suburb data</t>
        </is>
      </c>
    </row>
    <row r="8" ht="15.75" customHeight="1" s="15">
      <c r="A8" s="16" t="inlineStr">
        <is>
          <t>Boundaries Table</t>
        </is>
      </c>
    </row>
    <row r="9" ht="15.75" customHeight="1" s="15">
      <c r="A9" s="16" t="inlineStr">
        <is>
          <t>Type</t>
        </is>
      </c>
      <c r="B9" s="16" t="inlineStr">
        <is>
          <t>Description</t>
        </is>
      </c>
    </row>
    <row r="10" ht="15.75" customHeight="1" s="15">
      <c r="A10" s="16" t="inlineStr">
        <is>
          <t>Manual</t>
        </is>
      </c>
      <c r="B10" s="16" t="inlineStr">
        <is>
          <t>Editable input cells in yellow</t>
        </is>
      </c>
    </row>
    <row r="11" ht="15.75" customHeight="1" s="15">
      <c r="A11" s="16" t="inlineStr">
        <is>
          <t>Automatic</t>
        </is>
      </c>
      <c r="B11" s="16" t="inlineStr">
        <is>
          <t>Calculated outputs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7" t="inlineStr">
        <is>
          <t>Parameter</t>
        </is>
      </c>
      <c r="B1" s="17" t="inlineStr">
        <is>
          <t>Value</t>
        </is>
      </c>
      <c r="C1" s="17" t="inlineStr">
        <is>
          <t>Notes</t>
        </is>
      </c>
    </row>
    <row r="2" ht="15.75" customHeight="1" s="15">
      <c r="A2" s="18" t="inlineStr">
        <is>
          <t>Say in the decision: Mum</t>
        </is>
      </c>
      <c r="B2" s="19" t="n">
        <v>1</v>
      </c>
      <c r="C2" s="18" t="n"/>
    </row>
    <row r="3" ht="15.75" customHeight="1" s="15">
      <c r="A3" s="18" t="inlineStr">
        <is>
          <t>Say in the decision: Dad</t>
        </is>
      </c>
      <c r="B3" s="19" t="n">
        <v>1</v>
      </c>
      <c r="C3" s="18" t="n"/>
    </row>
    <row r="4" ht="15.75" customHeight="1" s="15">
      <c r="A4" s="18" t="inlineStr">
        <is>
          <t>Say in the decision: Me</t>
        </is>
      </c>
      <c r="B4" s="19" t="n">
        <v>1</v>
      </c>
      <c r="C4" s="18" t="n"/>
    </row>
    <row r="5" ht="15.75" customHeight="1" s="15">
      <c r="A5" s="18" t="inlineStr">
        <is>
          <t>Max D (Essential) answers per person</t>
        </is>
      </c>
      <c r="B5" s="19" t="n">
        <v>2</v>
      </c>
      <c r="C5" s="18" t="n"/>
    </row>
    <row r="6" ht="15.75" customHeight="1" s="15">
      <c r="A6" s="18" t="inlineStr">
        <is>
          <t>Purchase costs allowance (% of price)</t>
        </is>
      </c>
      <c r="B6" s="19" t="n">
        <v>0.06</v>
      </c>
      <c r="C6" s="18" t="inlineStr">
        <is>
          <t>(provisional estimate, not SRO calculation)</t>
        </is>
      </c>
    </row>
    <row r="7" ht="15.75" customHeight="1" s="15">
      <c r="A7" s="18" t="inlineStr">
        <is>
          <t>Forced-choice override margin</t>
        </is>
      </c>
      <c r="B7" s="19" t="n">
        <v>0.02</v>
      </c>
      <c r="C7" s="18" t="n"/>
    </row>
    <row r="8" ht="15.75" customHeight="1" s="15">
      <c r="A8" s="18" t="n"/>
      <c r="B8" s="18" t="n"/>
      <c r="C8" s="18" t="n"/>
    </row>
    <row r="9" ht="15.75" customHeight="1" s="15">
      <c r="A9" s="18" t="inlineStr">
        <is>
          <t>Priority Rating Scale</t>
        </is>
      </c>
      <c r="B9" s="18" t="inlineStr">
        <is>
          <t>Level</t>
        </is>
      </c>
      <c r="C9" s="18" t="inlineStr">
        <is>
          <t>Score</t>
        </is>
      </c>
    </row>
    <row r="10" ht="15.75" customHeight="1" s="15">
      <c r="A10" s="18" t="inlineStr">
        <is>
          <t>A</t>
        </is>
      </c>
      <c r="B10" s="18" t="inlineStr">
        <is>
          <t>Level 1, Not needed</t>
        </is>
      </c>
      <c r="C10" s="18" t="n">
        <v>0</v>
      </c>
    </row>
    <row r="11" ht="15.75" customHeight="1" s="15">
      <c r="A11" s="18" t="inlineStr">
        <is>
          <t>B</t>
        </is>
      </c>
      <c r="B11" s="18" t="inlineStr">
        <is>
          <t>Level 2, Nice to have</t>
        </is>
      </c>
      <c r="C11" s="18" t="n">
        <v>1</v>
      </c>
    </row>
    <row r="12" ht="15.75" customHeight="1" s="15">
      <c r="A12" s="18" t="inlineStr">
        <is>
          <t>C</t>
        </is>
      </c>
      <c r="B12" s="18" t="inlineStr">
        <is>
          <t>Level 3, Important</t>
        </is>
      </c>
      <c r="C12" s="18" t="n">
        <v>2</v>
      </c>
    </row>
    <row r="13" ht="15.75" customHeight="1" s="15">
      <c r="A13" s="18" t="inlineStr">
        <is>
          <t>D</t>
        </is>
      </c>
      <c r="B13" s="18" t="inlineStr">
        <is>
          <t>Level 4, Essential</t>
        </is>
      </c>
      <c r="C13" s="18" t="n">
        <v>4</v>
      </c>
    </row>
    <row r="14" ht="15.75" customHeight="1" s="15">
      <c r="A14" s="18" t="n"/>
      <c r="B14" s="18" t="n"/>
      <c r="C14" s="18" t="n"/>
    </row>
    <row r="15" ht="15.75" customHeight="1" s="15">
      <c r="A15" s="18" t="inlineStr">
        <is>
          <t>Draft Baseline Weights</t>
        </is>
      </c>
      <c r="B15" s="18" t="inlineStr">
        <is>
          <t>Weight</t>
        </is>
      </c>
      <c r="C15" s="18" t="n"/>
    </row>
    <row r="16" ht="15.75" customHeight="1" s="15">
      <c r="A16" s="18" t="inlineStr">
        <is>
          <t>Q15.1 Nature</t>
        </is>
      </c>
      <c r="B16" s="19" t="n">
        <v>0.18</v>
      </c>
      <c r="C16" s="18" t="n"/>
    </row>
    <row r="17" ht="15.75" customHeight="1" s="15">
      <c r="A17" s="18" t="inlineStr">
        <is>
          <t>Q15.2 Near family in GW</t>
        </is>
      </c>
      <c r="B17" s="19" t="n">
        <v>0</v>
      </c>
      <c r="C17" s="18" t="n"/>
    </row>
    <row r="18" ht="15.75" customHeight="1" s="15">
      <c r="A18" s="18" t="inlineStr">
        <is>
          <t>Q15.3 Indian community</t>
        </is>
      </c>
      <c r="B18" s="19" t="n">
        <v>0.18</v>
      </c>
      <c r="C18" s="18" t="n"/>
    </row>
    <row r="19" ht="15.75" customHeight="1" s="15">
      <c r="A19" s="18" t="inlineStr">
        <is>
          <t>Q15.4 Beach</t>
        </is>
      </c>
      <c r="B19" s="19" t="n">
        <v>0.1</v>
      </c>
      <c r="C19" s="18" t="n"/>
    </row>
    <row r="20" ht="15.75" customHeight="1" s="15">
      <c r="A20" s="18" t="inlineStr">
        <is>
          <t>Q15.5 Hospital</t>
        </is>
      </c>
      <c r="B20" s="19" t="n">
        <v>0.15</v>
      </c>
      <c r="C20" s="18" t="n"/>
    </row>
    <row r="21" ht="15.75" customHeight="1" s="15">
      <c r="A21" s="18" t="inlineStr">
        <is>
          <t>Q15.6 Train/bus</t>
        </is>
      </c>
      <c r="B21" s="19" t="n">
        <v>0.15</v>
      </c>
      <c r="C21" s="18" t="n"/>
    </row>
    <row r="22" ht="15.75" customHeight="1" s="15">
      <c r="A22" s="18" t="inlineStr">
        <is>
          <t>Q15.7 Shops/doctor</t>
        </is>
      </c>
      <c r="B22" s="19" t="n">
        <v>0.09</v>
      </c>
      <c r="C22" s="18" t="n"/>
    </row>
    <row r="23" ht="15.75" customHeight="1" s="15">
      <c r="A23" s="18" t="inlineStr">
        <is>
          <t>Q15.8 Village character</t>
        </is>
      </c>
      <c r="B23" s="19" t="n">
        <v>0.07000000000000001</v>
      </c>
      <c r="C23" s="18" t="n"/>
    </row>
    <row r="24" ht="15.75" customHeight="1" s="15">
      <c r="A24" s="18" t="inlineStr">
        <is>
          <t>Q15.9 Price</t>
        </is>
      </c>
      <c r="B24" s="19" t="n">
        <v>0.08</v>
      </c>
      <c r="C24" s="18" t="n"/>
    </row>
    <row r="25" ht="15.75" customHeight="1" s="15">
      <c r="A25" s="18" t="inlineStr">
        <is>
          <t>Q15.10 Easy city trip</t>
        </is>
      </c>
      <c r="B25" s="19" t="n">
        <v>0</v>
      </c>
      <c r="C25" s="18" t="n"/>
    </row>
    <row r="27">
      <c r="A27" t="inlineStr">
        <is>
          <t>Property fit parameters (rounds 5–6)</t>
        </is>
      </c>
      <c r="B27" t="inlineStr">
        <is>
          <t>Value (approved)</t>
        </is>
      </c>
      <c r="C27" t="inlineStr">
        <is>
          <t>Survey reference</t>
        </is>
      </c>
      <c r="D27" t="inlineStr">
        <is>
          <t>B blank until approved (G5; B38/B39 at G3). Intake changes no fit result</t>
        </is>
      </c>
    </row>
    <row r="28">
      <c r="A28" t="inlineStr">
        <is>
          <t>Separation floor (1–4)</t>
        </is>
      </c>
      <c r="C28">
        <f>CleanedAnswers!E64</f>
        <v/>
      </c>
      <c r="D28" t="inlineStr">
        <is>
          <t>R6.1, household MAX</t>
        </is>
      </c>
    </row>
    <row r="29">
      <c r="A29" t="inlineStr">
        <is>
          <t>Separation ceiling (1–4)</t>
        </is>
      </c>
      <c r="C29">
        <f>CleanedAnswers!E65</f>
        <v/>
      </c>
      <c r="D29" t="inlineStr">
        <is>
          <t>R6.2, household MIN</t>
        </is>
      </c>
    </row>
    <row r="30">
      <c r="A30" t="inlineStr">
        <is>
          <t>Separation importance (3 Essential / 2 Important / 1 Nice to have)</t>
        </is>
      </c>
      <c r="C30">
        <f>CleanedAnswers!E66</f>
        <v/>
      </c>
      <c r="D30" t="inlineStr">
        <is>
          <t>R6.3, household MAX</t>
        </is>
      </c>
    </row>
    <row r="31">
      <c r="A31" t="inlineStr">
        <is>
          <t>Mobility must-have (0–3)</t>
        </is>
      </c>
      <c r="C31">
        <f>CleanedAnswers!E67</f>
        <v/>
      </c>
      <c r="D31" t="inlineStr">
        <is>
          <t>R6.4, household MAX</t>
        </is>
      </c>
    </row>
    <row r="32">
      <c r="A32" t="inlineStr">
        <is>
          <t>Garden preferred band (1–4)</t>
        </is>
      </c>
      <c r="C32">
        <f>CleanedAnswers!E68</f>
        <v/>
      </c>
      <c r="D32" t="inlineStr">
        <is>
          <t>R6.5a, household MEDIAN</t>
        </is>
      </c>
    </row>
    <row r="33">
      <c r="A33" t="inlineStr">
        <is>
          <t>Garden capacity band (1–4)</t>
        </is>
      </c>
      <c r="C33">
        <f>CleanedAnswers!E69</f>
        <v/>
      </c>
      <c r="D33" t="inlineStr">
        <is>
          <t>R6.5b, household MEDIAN</t>
        </is>
      </c>
    </row>
    <row r="34">
      <c r="A34" t="inlineStr">
        <is>
          <t>Front-door access (1–4)</t>
        </is>
      </c>
      <c r="C34">
        <f>CleanedAnswers!E70</f>
        <v/>
      </c>
      <c r="D34" t="inlineStr">
        <is>
          <t>R6.6, household MIN</t>
        </is>
      </c>
    </row>
    <row r="35">
      <c r="A35" t="inlineStr">
        <is>
          <t>Land-size band: courtyard (m², up to)</t>
        </is>
      </c>
      <c r="C35" t="n">
        <v>400</v>
      </c>
      <c r="D35" t="inlineStr">
        <is>
          <t>Estimate</t>
        </is>
      </c>
    </row>
    <row r="36">
      <c r="A36" t="inlineStr">
        <is>
          <t>Land-size band: small garden (m², up to)</t>
        </is>
      </c>
      <c r="C36" t="n">
        <v>650</v>
      </c>
      <c r="D36" t="inlineStr">
        <is>
          <t>Estimate</t>
        </is>
      </c>
    </row>
    <row r="37">
      <c r="A37" t="inlineStr">
        <is>
          <t>Land-size band: medium garden (m², up to)</t>
        </is>
      </c>
      <c r="C37" t="n">
        <v>1000</v>
      </c>
      <c r="D37" t="inlineStr">
        <is>
          <t>Estimate; above = large</t>
        </is>
      </c>
    </row>
    <row r="38">
      <c r="A38" t="inlineStr">
        <is>
          <t>M scale (min)</t>
        </is>
      </c>
      <c r="C38" t="n">
        <v>90</v>
      </c>
      <c r="D38" t="inlineStr">
        <is>
          <t>Proposed; B set at G3 (M/O decoupling)</t>
        </is>
      </c>
    </row>
    <row r="39">
      <c r="A39" t="inlineStr">
        <is>
          <t>O scale (min)</t>
        </is>
      </c>
      <c r="C39" t="n">
        <v>90</v>
      </c>
      <c r="D39" t="inlineStr">
        <is>
          <t>Proposed; B set at G3 (M/O decoupling)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E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13" customWidth="1" style="15" min="39" max="39"/>
    <col width="13" customWidth="1" style="15" min="40" max="40"/>
  </cols>
  <sheetData>
    <row r="1" ht="15.75" customHeight="1" s="15">
      <c r="A1" s="16" t="inlineStr">
        <is>
          <t>Timestamp</t>
        </is>
      </c>
      <c r="B1" s="16" t="inlineStr">
        <is>
          <t>[Q0] Whose answers are these?</t>
        </is>
      </c>
      <c r="C1" s="16" t="inlineStr">
        <is>
          <t>[Q1]</t>
        </is>
      </c>
      <c r="D1" s="16" t="inlineStr">
        <is>
          <t>[Q2]</t>
        </is>
      </c>
      <c r="E1" s="16" t="inlineStr">
        <is>
          <t>[Q3] Total budget</t>
        </is>
      </c>
      <c r="F1" s="16" t="inlineStr">
        <is>
          <t>[Q4] Max drive to GW</t>
        </is>
      </c>
      <c r="G1" s="16" t="inlineStr">
        <is>
          <t>[Q4b] Max drive to GW (if D)</t>
        </is>
      </c>
      <c r="H1" s="16" t="inlineStr">
        <is>
          <t>[Q5] Max drive to ED</t>
        </is>
      </c>
      <c r="I1" s="16" t="inlineStr">
        <is>
          <t>[Q6] Stairs</t>
        </is>
      </c>
      <c r="J1" s="16" t="inlineStr">
        <is>
          <t>[Q7] Garden</t>
        </is>
      </c>
      <c r="K1" s="16" t="inlineStr">
        <is>
          <t>[Q7a] Living arrangement</t>
        </is>
      </c>
      <c r="L1" s="16" t="inlineStr">
        <is>
          <t>[Q7b] Home size</t>
        </is>
      </c>
      <c r="M1" s="16" t="inlineStr">
        <is>
          <t>[Q8]</t>
        </is>
      </c>
      <c r="N1" s="16" t="inlineStr">
        <is>
          <t>[Q9]</t>
        </is>
      </c>
      <c r="O1" s="16" t="inlineStr">
        <is>
          <t>[Q10]</t>
        </is>
      </c>
      <c r="P1" s="16" t="inlineStr">
        <is>
          <t>[Q11]</t>
        </is>
      </c>
      <c r="Q1" s="16" t="inlineStr">
        <is>
          <t>[Q12]</t>
        </is>
      </c>
      <c r="R1" s="16" t="inlineStr">
        <is>
          <t>[Q13]</t>
        </is>
      </c>
      <c r="S1" s="16" t="inlineStr">
        <is>
          <t>[Q13b]</t>
        </is>
      </c>
      <c r="T1" s="16" t="inlineStr">
        <is>
          <t>[Q13c]</t>
        </is>
      </c>
      <c r="U1" s="16" t="inlineStr">
        <is>
          <t>[Q14]</t>
        </is>
      </c>
      <c r="V1" s="16" t="inlineStr">
        <is>
          <t>[Q15.1] Nature</t>
        </is>
      </c>
      <c r="W1" s="16" t="inlineStr">
        <is>
          <t>[Q15.2] Near family in GW</t>
        </is>
      </c>
      <c r="X1" s="16" t="inlineStr">
        <is>
          <t>[Q15.3] Indian community</t>
        </is>
      </c>
      <c r="Y1" s="16" t="inlineStr">
        <is>
          <t>[Q15.4] Beach</t>
        </is>
      </c>
      <c r="Z1" s="16" t="inlineStr">
        <is>
          <t>[Q15.5] Hospital</t>
        </is>
      </c>
      <c r="AA1" s="16" t="inlineStr">
        <is>
          <t>[Q15.6] Train/bus</t>
        </is>
      </c>
      <c r="AB1" s="16" t="inlineStr">
        <is>
          <t>[Q15.7] Shops/doctor</t>
        </is>
      </c>
      <c r="AC1" s="16" t="inlineStr">
        <is>
          <t>[Q15.8] Village character</t>
        </is>
      </c>
      <c r="AD1" s="16" t="inlineStr">
        <is>
          <t>[Q15.9] Price</t>
        </is>
      </c>
      <c r="AE1" s="16" t="inlineStr">
        <is>
          <t>[Q15.10] Easy city trip</t>
        </is>
      </c>
      <c r="AF1" s="16" t="inlineStr">
        <is>
          <t>[Q15 Notes]</t>
        </is>
      </c>
      <c r="AG1" s="16" t="inlineStr">
        <is>
          <t>[Q16]</t>
        </is>
      </c>
      <c r="AH1" s="16" t="inlineStr">
        <is>
          <t>[Q17]</t>
        </is>
      </c>
      <c r="AI1" s="16" t="inlineStr">
        <is>
          <t>[Q18]</t>
        </is>
      </c>
      <c r="AJ1" s="16" t="inlineStr">
        <is>
          <t>[Q19]</t>
        </is>
      </c>
      <c r="AK1" s="16" t="inlineStr">
        <is>
          <t>[Q20]</t>
        </is>
      </c>
      <c r="AL1" s="16" t="inlineStr">
        <is>
          <t>[Q21]</t>
        </is>
      </c>
      <c r="AM1" s="16" t="inlineStr">
        <is>
          <t>[Gap-form notes]</t>
        </is>
      </c>
      <c r="AN1" s="16" t="inlineStr">
        <is>
          <t>[Q13d] Green village vs multicultural neighbourhood (reference-only)</t>
        </is>
      </c>
      <c r="AO1" t="inlineStr">
        <is>
          <t>[R5.1] Time in Glen Waverley in person</t>
        </is>
      </c>
      <c r="AP1" t="inlineStr">
        <is>
          <t>[R5.2] GW drive: firm limit</t>
        </is>
      </c>
      <c r="AQ1" t="inlineStr">
        <is>
          <t>[R5.3] GW drive: preferred</t>
        </is>
      </c>
      <c r="AR1" t="inlineStr">
        <is>
          <t>[R5.4] ED drive: firm limit</t>
        </is>
      </c>
      <c r="AS1" t="inlineStr">
        <is>
          <t>[R5.5] Community place used most</t>
        </is>
      </c>
      <c r="AT1" t="inlineStr">
        <is>
          <t>[R5.6] Community place: longest regular drive</t>
        </is>
      </c>
      <c r="AU1" t="inlineStr">
        <is>
          <t>[R5.7] Church: particular denomination</t>
        </is>
      </c>
      <c r="AV1" t="inlineStr">
        <is>
          <t>[R5 Notes]</t>
        </is>
      </c>
      <c r="AW1" t="inlineStr">
        <is>
          <t>[R6.1] Separation: least that would work</t>
        </is>
      </c>
      <c r="AX1" t="inlineStr">
        <is>
          <t>[R6.2] Separation: most that still feels like one household</t>
        </is>
      </c>
      <c r="AY1" t="inlineStr">
        <is>
          <t>[R6.3] Separation: importance of having it already</t>
        </is>
      </c>
      <c r="AZ1" t="inlineStr">
        <is>
          <t>[R6.4] Mobility: must-have in 10-15 years</t>
        </is>
      </c>
      <c r="BA1" t="inlineStr">
        <is>
          <t>[R6.5a] Outdoor space wanted</t>
        </is>
      </c>
      <c r="BB1" t="inlineStr">
        <is>
          <t>[R6.5b] Garden upkeep capacity</t>
        </is>
      </c>
      <c r="BC1" t="inlineStr">
        <is>
          <t>[R6.6] Supermarket and GP from the front door</t>
        </is>
      </c>
      <c r="BD1" t="inlineStr">
        <is>
          <t>[R6.7] Privacy: one thing that matters most</t>
        </is>
      </c>
      <c r="BE1" t="inlineStr">
        <is>
          <t>[R6 Notes]</t>
        </is>
      </c>
    </row>
    <row r="2" ht="15.75" customHeight="1" s="15">
      <c r="A2" s="20" t="n">
        <v>0.375</v>
      </c>
      <c r="B2" s="16" t="inlineStr">
        <is>
          <t>Dad</t>
        </is>
      </c>
      <c r="E2" s="21" t="n">
        <v>1000000</v>
      </c>
      <c r="F2" s="16" t="inlineStr">
        <is>
          <t>C - 35m</t>
        </is>
      </c>
      <c r="H2" s="16" t="inlineStr">
        <is>
          <t>C - 30m</t>
        </is>
      </c>
      <c r="I2" s="16" t="inlineStr">
        <is>
          <t>B - Some stairs</t>
        </is>
      </c>
      <c r="J2" s="16" t="inlineStr">
        <is>
          <t>B - Small garden</t>
        </is>
      </c>
      <c r="O2" s="16" t="inlineStr">
        <is>
          <t>Nature</t>
        </is>
      </c>
      <c r="P2" s="16" t="inlineStr">
        <is>
          <t>Village character</t>
        </is>
      </c>
      <c r="Q2" s="16" t="inlineStr">
        <is>
          <t>Shops &amp; doctor</t>
        </is>
      </c>
      <c r="V2" s="16" t="inlineStr">
        <is>
          <t>C</t>
        </is>
      </c>
      <c r="W2" s="16" t="inlineStr">
        <is>
          <t>C</t>
        </is>
      </c>
      <c r="X2" s="16" t="inlineStr">
        <is>
          <t>C</t>
        </is>
      </c>
      <c r="Y2" s="16" t="inlineStr">
        <is>
          <t>C</t>
        </is>
      </c>
      <c r="Z2" s="16" t="inlineStr">
        <is>
          <t>C</t>
        </is>
      </c>
      <c r="AA2" s="16" t="inlineStr">
        <is>
          <t>C</t>
        </is>
      </c>
      <c r="AB2" s="16" t="inlineStr">
        <is>
          <t>C</t>
        </is>
      </c>
      <c r="AC2" s="16" t="inlineStr">
        <is>
          <t>C</t>
        </is>
      </c>
      <c r="AD2" s="16" t="inlineStr">
        <is>
          <t>D</t>
        </is>
      </c>
      <c r="AE2" s="16" t="inlineStr">
        <is>
          <t>D</t>
        </is>
      </c>
    </row>
    <row r="3" ht="15.75" customHeight="1" s="15">
      <c r="A3" s="20" t="n">
        <v>0.3854166666666667</v>
      </c>
      <c r="B3" s="16" t="inlineStr">
        <is>
          <t>Me</t>
        </is>
      </c>
      <c r="F3" s="16" t="inlineStr">
        <is>
          <t>B - 25m</t>
        </is>
      </c>
      <c r="H3" s="16" t="inlineStr">
        <is>
          <t>B - 20m</t>
        </is>
      </c>
      <c r="I3" s="16" t="inlineStr">
        <is>
          <t>A - None</t>
        </is>
      </c>
      <c r="J3" s="16" t="inlineStr">
        <is>
          <t>C - Courtyard</t>
        </is>
      </c>
      <c r="O3" s="16" t="inlineStr">
        <is>
          <t>Nature</t>
        </is>
      </c>
      <c r="P3" s="16" t="inlineStr">
        <is>
          <t>Village character</t>
        </is>
      </c>
      <c r="Q3" s="16" t="inlineStr">
        <is>
          <t>Shops &amp; doctor</t>
        </is>
      </c>
      <c r="V3" s="16" t="inlineStr">
        <is>
          <t>D</t>
        </is>
      </c>
      <c r="W3" s="16" t="inlineStr">
        <is>
          <t>D</t>
        </is>
      </c>
      <c r="X3" s="16" t="inlineStr">
        <is>
          <t>C</t>
        </is>
      </c>
      <c r="Y3" s="16" t="inlineStr">
        <is>
          <t>C</t>
        </is>
      </c>
      <c r="Z3" s="16" t="inlineStr">
        <is>
          <t>C</t>
        </is>
      </c>
      <c r="AA3" s="16" t="inlineStr">
        <is>
          <t>C</t>
        </is>
      </c>
      <c r="AB3" s="16" t="inlineStr">
        <is>
          <t>C</t>
        </is>
      </c>
      <c r="AC3" s="16" t="inlineStr">
        <is>
          <t>C</t>
        </is>
      </c>
      <c r="AD3" s="16" t="inlineStr">
        <is>
          <t>C</t>
        </is>
      </c>
      <c r="AE3" s="16" t="inlineStr">
        <is>
          <t>C</t>
        </is>
      </c>
    </row>
    <row r="4" ht="15.75" customHeight="1" s="15">
      <c r="A4" s="20" t="n">
        <v>0.3958333333333333</v>
      </c>
      <c r="B4" s="16" t="inlineStr">
        <is>
          <t>Mum</t>
        </is>
      </c>
      <c r="E4" s="21" t="n">
        <v>1250000</v>
      </c>
      <c r="F4" s="16" t="inlineStr">
        <is>
          <t>B - 25m</t>
        </is>
      </c>
      <c r="H4" s="16" t="inlineStr">
        <is>
          <t>B - 20m</t>
        </is>
      </c>
      <c r="I4" s="16" t="inlineStr">
        <is>
          <t>A - None at all (Single-level only)</t>
        </is>
      </c>
      <c r="J4" s="16" t="inlineStr">
        <is>
          <t>C - Courtyard</t>
        </is>
      </c>
      <c r="K4" s="16" t="inlineStr">
        <is>
          <t>D - Self-contained space</t>
        </is>
      </c>
      <c r="O4" s="16" t="inlineStr">
        <is>
          <t>Near family in GW</t>
        </is>
      </c>
      <c r="P4" s="16" t="inlineStr">
        <is>
          <t>Village character</t>
        </is>
      </c>
      <c r="Q4" s="16" t="inlineStr">
        <is>
          <t>Shops &amp; doctor</t>
        </is>
      </c>
      <c r="V4" s="16" t="inlineStr">
        <is>
          <t>D</t>
        </is>
      </c>
      <c r="W4" s="16" t="inlineStr">
        <is>
          <t>D</t>
        </is>
      </c>
      <c r="X4" s="16" t="inlineStr">
        <is>
          <t>D</t>
        </is>
      </c>
      <c r="Y4" s="16" t="inlineStr">
        <is>
          <t>C</t>
        </is>
      </c>
      <c r="Z4" s="16" t="inlineStr">
        <is>
          <t>C</t>
        </is>
      </c>
      <c r="AA4" s="16" t="inlineStr">
        <is>
          <t>C</t>
        </is>
      </c>
      <c r="AB4" s="16" t="inlineStr">
        <is>
          <t>C</t>
        </is>
      </c>
      <c r="AC4" s="16" t="inlineStr">
        <is>
          <t>C</t>
        </is>
      </c>
      <c r="AD4" s="16" t="inlineStr">
        <is>
          <t>C</t>
        </is>
      </c>
      <c r="AE4" s="16" t="inlineStr">
        <is>
          <t>C</t>
        </is>
      </c>
    </row>
    <row r="5" ht="15.75" customHeight="1" s="15">
      <c r="A5" s="20" t="n">
        <v>0.40625</v>
      </c>
      <c r="B5" s="16" t="inlineStr">
        <is>
          <t>Dad</t>
        </is>
      </c>
      <c r="E5" s="21" t="n">
        <v>1500000</v>
      </c>
      <c r="F5" s="16" t="inlineStr">
        <is>
          <t>D - 45 min or more</t>
        </is>
      </c>
      <c r="G5" s="16" t="n">
        <v>75</v>
      </c>
      <c r="H5" s="16" t="inlineStr">
        <is>
          <t>D - no limit</t>
        </is>
      </c>
      <c r="I5" s="16" t="inlineStr">
        <is>
          <t>C - Doesn't matter</t>
        </is>
      </c>
      <c r="J5" s="16" t="inlineStr">
        <is>
          <t>E - Depends on Garden</t>
        </is>
      </c>
      <c r="O5" s="16" t="inlineStr">
        <is>
          <t>Near family in GW</t>
        </is>
      </c>
      <c r="P5" s="16" t="inlineStr">
        <is>
          <t>Village character</t>
        </is>
      </c>
      <c r="Q5" s="16" t="inlineStr">
        <is>
          <t>Shops &amp; doctor</t>
        </is>
      </c>
      <c r="V5" s="16" t="inlineStr">
        <is>
          <t>D</t>
        </is>
      </c>
      <c r="W5" s="16" t="inlineStr">
        <is>
          <t>D</t>
        </is>
      </c>
      <c r="X5" s="16" t="inlineStr">
        <is>
          <t>C</t>
        </is>
      </c>
      <c r="Y5" s="16" t="inlineStr">
        <is>
          <t>C</t>
        </is>
      </c>
      <c r="Z5" s="16" t="inlineStr">
        <is>
          <t>C</t>
        </is>
      </c>
      <c r="AA5" s="16" t="inlineStr">
        <is>
          <t>C</t>
        </is>
      </c>
      <c r="AB5" s="16" t="inlineStr">
        <is>
          <t>C</t>
        </is>
      </c>
      <c r="AC5" s="16" t="inlineStr">
        <is>
          <t>C</t>
        </is>
      </c>
      <c r="AD5" s="16" t="inlineStr">
        <is>
          <t>C</t>
        </is>
      </c>
      <c r="AE5" s="16" t="inlineStr">
        <is>
          <t>C</t>
        </is>
      </c>
    </row>
    <row r="6">
      <c r="A6" s="29" t="n">
        <v>46322.08336805556</v>
      </c>
      <c r="B6" s="16" t="inlineStr">
        <is>
          <t>Dad</t>
        </is>
      </c>
      <c r="C6" s="22" t="inlineStr">
        <is>
          <t>A — Green views and quiet</t>
        </is>
      </c>
      <c r="D6" s="22" t="inlineStr">
        <is>
          <t>D — Looking after the house and land</t>
        </is>
      </c>
      <c r="E6" s="21" t="n">
        <v>1500000</v>
      </c>
      <c r="F6" s="16" t="inlineStr">
        <is>
          <t>D - 45 min or more</t>
        </is>
      </c>
      <c r="G6" s="16" t="n">
        <v>75</v>
      </c>
      <c r="H6" s="16" t="inlineStr">
        <is>
          <t>D - no limit</t>
        </is>
      </c>
      <c r="I6" s="16" t="inlineStr">
        <is>
          <t>C - Doesn't matter</t>
        </is>
      </c>
      <c r="J6" s="16" t="inlineStr">
        <is>
          <t>E - Depends on Garden</t>
        </is>
      </c>
      <c r="K6" s="22" t="inlineStr">
        <is>
          <t>A — Yes, living together</t>
        </is>
      </c>
      <c r="L6" s="22" t="inlineStr">
        <is>
          <t>E — Not decided / depends (see notes)</t>
        </is>
      </c>
      <c r="M6" s="22" t="inlineStr">
        <is>
          <t>C — Hills and forest all around</t>
        </is>
      </c>
      <c r="N6" s="22" t="inlineStr">
        <is>
          <t>B — Indian groceries and restaurants</t>
        </is>
      </c>
      <c r="O6" s="16" t="inlineStr">
        <is>
          <t>Near family in GW</t>
        </is>
      </c>
      <c r="P6" s="16" t="inlineStr">
        <is>
          <t>Village character</t>
        </is>
      </c>
      <c r="Q6" s="16" t="inlineStr">
        <is>
          <t>Shops &amp; doctor</t>
        </is>
      </c>
      <c r="S6" s="22" t="inlineStr">
        <is>
          <t>A — Scenic country or coastal town, 60–90 min from family</t>
        </is>
      </c>
      <c r="T6" s="22" t="inlineStr">
        <is>
          <t>A — Inland forest, hills and gardens</t>
        </is>
      </c>
      <c r="U6" s="22" t="inlineStr">
        <is>
          <t>A — Stay put and rely on taxis or family</t>
        </is>
      </c>
      <c r="V6" s="16" t="inlineStr">
        <is>
          <t>D</t>
        </is>
      </c>
      <c r="W6" s="16" t="inlineStr">
        <is>
          <t>D</t>
        </is>
      </c>
      <c r="X6" s="16" t="inlineStr">
        <is>
          <t>C</t>
        </is>
      </c>
      <c r="Y6" s="16" t="inlineStr">
        <is>
          <t>C</t>
        </is>
      </c>
      <c r="Z6" s="16" t="inlineStr">
        <is>
          <t>C</t>
        </is>
      </c>
      <c r="AA6" s="16" t="inlineStr">
        <is>
          <t>C</t>
        </is>
      </c>
      <c r="AB6" s="16" t="inlineStr">
        <is>
          <t>C</t>
        </is>
      </c>
      <c r="AC6" s="16" t="inlineStr">
        <is>
          <t>C</t>
        </is>
      </c>
      <c r="AD6" s="16" t="inlineStr">
        <is>
          <t>C</t>
        </is>
      </c>
      <c r="AE6" s="16" t="inlineStr">
        <is>
          <t>C</t>
        </is>
      </c>
      <c r="AM6" s="22" t="inlineStr">
        <is>
          <t>Merged: row 5 + gap form (Claude artifact) 2026-10-27T02:00:03Z UTC. Notes: Q3–Q7b: ideally D, or min 3 bedrooms</t>
        </is>
      </c>
    </row>
    <row r="7">
      <c r="A7" s="29" t="n">
        <v>46322.08483796296</v>
      </c>
      <c r="B7" s="16" t="inlineStr">
        <is>
          <t>Mum</t>
        </is>
      </c>
      <c r="C7" s="22" t="inlineStr">
        <is>
          <t>A — Green views and quiet</t>
        </is>
      </c>
      <c r="D7" s="22" t="inlineStr">
        <is>
          <t>E — None of these / depends (see notes)</t>
        </is>
      </c>
      <c r="E7" s="21" t="n">
        <v>1250000</v>
      </c>
      <c r="F7" s="16" t="inlineStr">
        <is>
          <t>B - 25m</t>
        </is>
      </c>
      <c r="H7" s="16" t="inlineStr">
        <is>
          <t>B - 20m</t>
        </is>
      </c>
      <c r="I7" s="16" t="inlineStr">
        <is>
          <t>A - None at all (Single-level only)</t>
        </is>
      </c>
      <c r="J7" s="16" t="inlineStr">
        <is>
          <t>C - Courtyard</t>
        </is>
      </c>
      <c r="K7" s="16" t="inlineStr">
        <is>
          <t>A — Yes, living together</t>
        </is>
      </c>
      <c r="L7" s="22" t="inlineStr">
        <is>
          <t>E — Not decided / depends (see notes)</t>
        </is>
      </c>
      <c r="M7" s="22" t="inlineStr">
        <is>
          <t>A — A green outlook from the house</t>
        </is>
      </c>
      <c r="N7" s="22" t="inlineStr">
        <is>
          <t>A — A church or place of worship nearby</t>
        </is>
      </c>
      <c r="O7" s="16" t="inlineStr">
        <is>
          <t>Near family in GW</t>
        </is>
      </c>
      <c r="P7" s="16" t="inlineStr">
        <is>
          <t>Village character</t>
        </is>
      </c>
      <c r="Q7" s="16" t="inlineStr">
        <is>
          <t>Shops &amp; doctor</t>
        </is>
      </c>
      <c r="S7" s="22" t="inlineStr">
        <is>
          <t>B — Leafy metropolitan suburb within 35 min of family</t>
        </is>
      </c>
      <c r="T7" s="22" t="inlineStr">
        <is>
          <t>B — Coastal or bay town with greenery and water walks</t>
        </is>
      </c>
      <c r="U7" s="22" t="inlineStr">
        <is>
          <t>A — Stay put and rely on taxis or family</t>
        </is>
      </c>
      <c r="V7" s="16" t="inlineStr">
        <is>
          <t>D</t>
        </is>
      </c>
      <c r="W7" s="16" t="inlineStr">
        <is>
          <t>D</t>
        </is>
      </c>
      <c r="X7" s="16" t="inlineStr">
        <is>
          <t>D</t>
        </is>
      </c>
      <c r="Y7" s="16" t="inlineStr">
        <is>
          <t>C</t>
        </is>
      </c>
      <c r="Z7" s="16" t="inlineStr">
        <is>
          <t>C</t>
        </is>
      </c>
      <c r="AA7" s="16" t="inlineStr">
        <is>
          <t>C</t>
        </is>
      </c>
      <c r="AB7" s="16" t="inlineStr">
        <is>
          <t>C</t>
        </is>
      </c>
      <c r="AC7" s="16" t="inlineStr">
        <is>
          <t>C</t>
        </is>
      </c>
      <c r="AD7" s="16" t="inlineStr">
        <is>
          <t>C</t>
        </is>
      </c>
      <c r="AE7" s="16" t="inlineStr">
        <is>
          <t>C</t>
        </is>
      </c>
      <c r="AM7" s="22" t="inlineStr">
        <is>
          <t>Merged: row 4 + gap form (Claude artifact) 2026-10-27T02:02:10Z UTC. Notes: Q1–Q2: B, D, i actually never wanted to live here, it was too remote and cut off. | Q3–Q7b: 3+ bedrooms, but ideally D</t>
        </is>
      </c>
    </row>
    <row r="8">
      <c r="A8" s="29" t="n">
        <v>46322.08685185185</v>
      </c>
      <c r="B8" s="16" t="inlineStr">
        <is>
          <t>Me</t>
        </is>
      </c>
      <c r="C8" s="22" t="inlineStr">
        <is>
          <t>B — Being near the beach</t>
        </is>
      </c>
      <c r="D8" s="22" t="inlineStr">
        <is>
          <t>B — Being far from family</t>
        </is>
      </c>
      <c r="F8" s="16" t="inlineStr">
        <is>
          <t>B - 25m</t>
        </is>
      </c>
      <c r="H8" s="16" t="inlineStr">
        <is>
          <t>B - 20m</t>
        </is>
      </c>
      <c r="I8" s="16" t="inlineStr">
        <is>
          <t>A - None</t>
        </is>
      </c>
      <c r="J8" s="16" t="inlineStr">
        <is>
          <t>C - Courtyard</t>
        </is>
      </c>
      <c r="K8" s="22" t="inlineStr">
        <is>
          <t>A — Yes, living together</t>
        </is>
      </c>
      <c r="L8" s="22" t="inlineStr">
        <is>
          <t>D — A self-contained space (granny flat or separate unit)</t>
        </is>
      </c>
      <c r="M8" s="22" t="inlineStr">
        <is>
          <t>E — None of these / depends (see notes)</t>
        </is>
      </c>
      <c r="N8" s="22" t="inlineStr">
        <is>
          <t>D — Friendly neighbours of any background</t>
        </is>
      </c>
      <c r="O8" s="16" t="inlineStr">
        <is>
          <t>Nature</t>
        </is>
      </c>
      <c r="P8" s="16" t="inlineStr">
        <is>
          <t>Village character</t>
        </is>
      </c>
      <c r="Q8" s="16" t="inlineStr">
        <is>
          <t>Shops &amp; doctor</t>
        </is>
      </c>
      <c r="S8" s="22" t="inlineStr">
        <is>
          <t>A — Scenic country or coastal town, 60–90 min from family</t>
        </is>
      </c>
      <c r="T8" s="22" t="inlineStr">
        <is>
          <t>B — Coastal or bay town with greenery and water walks</t>
        </is>
      </c>
      <c r="U8" s="22" t="inlineStr">
        <is>
          <t>C — Take the train or bus to family and the hospital</t>
        </is>
      </c>
      <c r="V8" s="16" t="inlineStr">
        <is>
          <t>D</t>
        </is>
      </c>
      <c r="W8" s="16" t="inlineStr">
        <is>
          <t>D</t>
        </is>
      </c>
      <c r="X8" s="16" t="inlineStr">
        <is>
          <t>C</t>
        </is>
      </c>
      <c r="Y8" s="16" t="inlineStr">
        <is>
          <t>C</t>
        </is>
      </c>
      <c r="Z8" s="16" t="inlineStr">
        <is>
          <t>C</t>
        </is>
      </c>
      <c r="AA8" s="16" t="inlineStr">
        <is>
          <t>C</t>
        </is>
      </c>
      <c r="AB8" s="16" t="inlineStr">
        <is>
          <t>C</t>
        </is>
      </c>
      <c r="AC8" s="16" t="inlineStr">
        <is>
          <t>C</t>
        </is>
      </c>
      <c r="AD8" s="16" t="inlineStr">
        <is>
          <t>C</t>
        </is>
      </c>
      <c r="AE8" s="16" t="inlineStr">
        <is>
          <t>C</t>
        </is>
      </c>
      <c r="AM8" s="22" t="inlineStr">
        <is>
          <t>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9">
      <c r="A9" s="29" t="n">
        <v>46322.25537037037</v>
      </c>
      <c r="B9" s="16" t="inlineStr">
        <is>
          <t>Mum</t>
        </is>
      </c>
      <c r="C9" s="22" t="inlineStr">
        <is>
          <t>A — Green views and quiet</t>
        </is>
      </c>
      <c r="D9" s="22" t="inlineStr">
        <is>
          <t>E — None of these / depends (see notes)</t>
        </is>
      </c>
      <c r="E9" s="21" t="n">
        <v>1250000</v>
      </c>
      <c r="F9" s="16" t="inlineStr">
        <is>
          <t>B - 25m</t>
        </is>
      </c>
      <c r="H9" s="16" t="inlineStr">
        <is>
          <t>B - 20m</t>
        </is>
      </c>
      <c r="I9" s="16" t="inlineStr">
        <is>
          <t>A - None at all (Single-level only)</t>
        </is>
      </c>
      <c r="J9" s="16" t="inlineStr">
        <is>
          <t>C - Courtyard</t>
        </is>
      </c>
      <c r="K9" s="16" t="inlineStr">
        <is>
          <t>A — Yes, living together</t>
        </is>
      </c>
      <c r="L9" s="22" t="inlineStr">
        <is>
          <t>E — Not decided / depends (see notes)</t>
        </is>
      </c>
      <c r="M9" s="22" t="inlineStr">
        <is>
          <t>A — A green outlook from the house</t>
        </is>
      </c>
      <c r="N9" s="22" t="inlineStr">
        <is>
          <t>A — A church or place of worship nearby</t>
        </is>
      </c>
      <c r="O9" s="16" t="inlineStr">
        <is>
          <t>Near family in GW</t>
        </is>
      </c>
      <c r="P9" s="16" t="inlineStr">
        <is>
          <t>Village character</t>
        </is>
      </c>
      <c r="Q9" s="16" t="inlineStr">
        <is>
          <t>Shops &amp; doctor</t>
        </is>
      </c>
      <c r="R9" s="22" t="inlineStr">
        <is>
          <t>A — Indian shops and community in your own suburb, less green</t>
        </is>
      </c>
      <c r="S9" s="22" t="inlineStr">
        <is>
          <t>B — Leafy metropolitan suburb within 35 min of family</t>
        </is>
      </c>
      <c r="T9" s="22" t="inlineStr">
        <is>
          <t>B — Coastal or bay town with greenery and water walks</t>
        </is>
      </c>
      <c r="U9" s="22" t="inlineStr">
        <is>
          <t>A — Stay put and rely on taxis or family</t>
        </is>
      </c>
      <c r="V9" s="16" t="inlineStr">
        <is>
          <t>B</t>
        </is>
      </c>
      <c r="W9" s="16" t="inlineStr">
        <is>
          <t>C</t>
        </is>
      </c>
      <c r="X9" s="16" t="inlineStr">
        <is>
          <t>C</t>
        </is>
      </c>
      <c r="Y9" s="16" t="inlineStr">
        <is>
          <t>B</t>
        </is>
      </c>
      <c r="Z9" s="16" t="inlineStr">
        <is>
          <t>D</t>
        </is>
      </c>
      <c r="AA9" s="16" t="inlineStr">
        <is>
          <t>C</t>
        </is>
      </c>
      <c r="AB9" s="16" t="inlineStr">
        <is>
          <t>D</t>
        </is>
      </c>
      <c r="AC9" s="16" t="inlineStr">
        <is>
          <t>B</t>
        </is>
      </c>
      <c r="AD9" s="16" t="inlineStr">
        <is>
          <t>B</t>
        </is>
      </c>
      <c r="AE9" s="16" t="inlineStr">
        <is>
          <t>A</t>
        </is>
      </c>
      <c r="AM9" s="22" t="inlineStr">
        <is>
          <t>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  <row r="10">
      <c r="A10" s="29" t="n">
        <v>46322.25597222222</v>
      </c>
      <c r="B10" s="16" t="inlineStr">
        <is>
          <t>Dad</t>
        </is>
      </c>
      <c r="C10" s="22" t="inlineStr">
        <is>
          <t>A — Green views and quiet</t>
        </is>
      </c>
      <c r="D10" s="22" t="inlineStr">
        <is>
          <t>D — Looking after the house and land</t>
        </is>
      </c>
      <c r="E10" s="21" t="n">
        <v>1500000</v>
      </c>
      <c r="F10" s="16" t="inlineStr">
        <is>
          <t>D - 45 min or more</t>
        </is>
      </c>
      <c r="G10" s="16" t="n">
        <v>75</v>
      </c>
      <c r="H10" s="16" t="inlineStr">
        <is>
          <t>D - no limit</t>
        </is>
      </c>
      <c r="I10" s="16" t="inlineStr">
        <is>
          <t>C - Doesn't matter</t>
        </is>
      </c>
      <c r="J10" s="16" t="inlineStr">
        <is>
          <t>E - Depends on Garden</t>
        </is>
      </c>
      <c r="K10" s="22" t="inlineStr">
        <is>
          <t>A — Yes, living together</t>
        </is>
      </c>
      <c r="L10" s="22" t="inlineStr">
        <is>
          <t>E — Not decided / depends (see notes)</t>
        </is>
      </c>
      <c r="M10" s="22" t="inlineStr">
        <is>
          <t>C — Hills and forest all around</t>
        </is>
      </c>
      <c r="N10" s="22" t="inlineStr">
        <is>
          <t>B — Indian groceries and restaurants</t>
        </is>
      </c>
      <c r="O10" s="16" t="inlineStr">
        <is>
          <t>Near family in GW</t>
        </is>
      </c>
      <c r="P10" s="16" t="inlineStr">
        <is>
          <t>Village character</t>
        </is>
      </c>
      <c r="Q10" s="16" t="inlineStr">
        <is>
          <t>Shops &amp; doctor</t>
        </is>
      </c>
      <c r="R10" s="22" t="inlineStr">
        <is>
          <t>B — Very green, community a 30-min drive away</t>
        </is>
      </c>
      <c r="S10" s="22" t="inlineStr">
        <is>
          <t>A — Scenic country or coastal town, 60–90 min from family</t>
        </is>
      </c>
      <c r="T10" s="22" t="inlineStr">
        <is>
          <t>A — Inland forest, hills and gardens</t>
        </is>
      </c>
      <c r="U10" s="22" t="inlineStr">
        <is>
          <t>A — Stay put and rely on taxis or family</t>
        </is>
      </c>
      <c r="V10" s="16" t="inlineStr">
        <is>
          <t>D</t>
        </is>
      </c>
      <c r="W10" s="16" t="inlineStr">
        <is>
          <t>B</t>
        </is>
      </c>
      <c r="X10" s="16" t="inlineStr">
        <is>
          <t>B</t>
        </is>
      </c>
      <c r="Y10" s="16" t="inlineStr">
        <is>
          <t>B</t>
        </is>
      </c>
      <c r="Z10" s="16" t="inlineStr">
        <is>
          <t>B</t>
        </is>
      </c>
      <c r="AA10" s="16" t="inlineStr">
        <is>
          <t>C</t>
        </is>
      </c>
      <c r="AB10" s="16" t="inlineStr">
        <is>
          <t>C</t>
        </is>
      </c>
      <c r="AC10" s="16" t="inlineStr">
        <is>
          <t>C</t>
        </is>
      </c>
      <c r="AD10" s="16" t="inlineStr">
        <is>
          <t>C</t>
        </is>
      </c>
      <c r="AE10" s="16" t="inlineStr">
        <is>
          <t>A</t>
        </is>
      </c>
      <c r="AM10" s="22" t="inlineStr">
        <is>
          <t>Round 2 (Q13, Q15) 2026-10-27T06:08:36Z merged onto row 6. | Merged: row 5 + gap form (Claude artifact) 2026-10-27T02:00:03Z UTC. Notes: Q3–Q7b: ideally D, or min 3 bedrooms</t>
        </is>
      </c>
    </row>
    <row r="11">
      <c r="A11" s="29" t="n">
        <v>46322.25747685185</v>
      </c>
      <c r="B11" s="16" t="inlineStr">
        <is>
          <t>Me</t>
        </is>
      </c>
      <c r="C11" s="22" t="inlineStr">
        <is>
          <t>B — Being near the beach</t>
        </is>
      </c>
      <c r="D11" s="22" t="inlineStr">
        <is>
          <t>B — Being far from family</t>
        </is>
      </c>
      <c r="F11" s="16" t="inlineStr">
        <is>
          <t>B - 25m</t>
        </is>
      </c>
      <c r="H11" s="16" t="inlineStr">
        <is>
          <t>B - 20m</t>
        </is>
      </c>
      <c r="I11" s="16" t="inlineStr">
        <is>
          <t>A - None</t>
        </is>
      </c>
      <c r="J11" s="16" t="inlineStr">
        <is>
          <t>C - Courtyard</t>
        </is>
      </c>
      <c r="K11" s="22" t="inlineStr">
        <is>
          <t>A — Yes, living together</t>
        </is>
      </c>
      <c r="L11" s="22" t="inlineStr">
        <is>
          <t>D — A self-contained space (granny flat or separate unit)</t>
        </is>
      </c>
      <c r="M11" s="22" t="inlineStr">
        <is>
          <t>E — None of these / depends (see notes)</t>
        </is>
      </c>
      <c r="N11" s="22" t="inlineStr">
        <is>
          <t>D — Friendly neighbours of any background</t>
        </is>
      </c>
      <c r="O11" s="16" t="inlineStr">
        <is>
          <t>Nature</t>
        </is>
      </c>
      <c r="P11" s="16" t="inlineStr">
        <is>
          <t>Village character</t>
        </is>
      </c>
      <c r="Q11" s="16" t="inlineStr">
        <is>
          <t>Shops &amp; doctor</t>
        </is>
      </c>
      <c r="R11" s="22" t="inlineStr">
        <is>
          <t>B — Very green, community a 30-min drive away</t>
        </is>
      </c>
      <c r="S11" s="22" t="inlineStr">
        <is>
          <t>A — Scenic country or coastal town, 60–90 min from family</t>
        </is>
      </c>
      <c r="T11" s="22" t="inlineStr">
        <is>
          <t>B — Coastal or bay town with greenery and water walks</t>
        </is>
      </c>
      <c r="U11" s="22" t="inlineStr">
        <is>
          <t>C — Take the train or bus to family and the hospital</t>
        </is>
      </c>
      <c r="V11" s="16" t="inlineStr">
        <is>
          <t>D</t>
        </is>
      </c>
      <c r="W11" s="16" t="inlineStr">
        <is>
          <t>A</t>
        </is>
      </c>
      <c r="X11" s="16" t="inlineStr">
        <is>
          <t>B</t>
        </is>
      </c>
      <c r="Y11" s="16" t="inlineStr">
        <is>
          <t>D</t>
        </is>
      </c>
      <c r="Z11" s="16" t="inlineStr">
        <is>
          <t>B</t>
        </is>
      </c>
      <c r="AA11" s="16" t="inlineStr">
        <is>
          <t>C</t>
        </is>
      </c>
      <c r="AB11" s="16" t="inlineStr">
        <is>
          <t>C</t>
        </is>
      </c>
      <c r="AC11" s="16" t="inlineStr">
        <is>
          <t>A</t>
        </is>
      </c>
      <c r="AD11" s="16" t="inlineStr">
        <is>
          <t>A</t>
        </is>
      </c>
      <c r="AE11" s="16" t="inlineStr">
        <is>
          <t>C</t>
        </is>
      </c>
      <c r="AM11" s="22" t="inlineStr">
        <is>
          <t>Round 2 (Q13, Q15) 2026-10-27T06:10:46Z merged onto row 8. | 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12">
      <c r="A12" s="29" t="n">
        <v>46322.27326388889</v>
      </c>
      <c r="B12" s="16" t="inlineStr">
        <is>
          <t>Mum</t>
        </is>
      </c>
      <c r="C12" s="22" t="inlineStr">
        <is>
          <t>A — Green views and quiet</t>
        </is>
      </c>
      <c r="D12" s="22" t="inlineStr">
        <is>
          <t>E — None of these / depends (see notes)</t>
        </is>
      </c>
      <c r="E12" s="21" t="n">
        <v>1250000</v>
      </c>
      <c r="F12" s="16" t="inlineStr">
        <is>
          <t>B - 25m</t>
        </is>
      </c>
      <c r="H12" s="16" t="inlineStr">
        <is>
          <t>B - 20m</t>
        </is>
      </c>
      <c r="I12" s="16" t="inlineStr">
        <is>
          <t>A - None at all (Single-level only)</t>
        </is>
      </c>
      <c r="J12" s="16" t="inlineStr">
        <is>
          <t>C - Courtyard</t>
        </is>
      </c>
      <c r="K12" s="16" t="inlineStr">
        <is>
          <t>A — Yes, living together</t>
        </is>
      </c>
      <c r="L12" s="22" t="inlineStr">
        <is>
          <t>E — Not decided / depends (see notes)</t>
        </is>
      </c>
      <c r="M12" s="22" t="inlineStr">
        <is>
          <t>A — A green outlook from the house</t>
        </is>
      </c>
      <c r="N12" s="22" t="inlineStr">
        <is>
          <t>A — A church or place of worship nearby</t>
        </is>
      </c>
      <c r="O12" s="16" t="inlineStr">
        <is>
          <t>A — A forest street, 35 min from Glen Waverley</t>
        </is>
      </c>
      <c r="P12" s="16" t="inlineStr">
        <is>
          <t>A — Flat suburban streets, beach 10 min away</t>
        </is>
      </c>
      <c r="Q12" s="16" t="inlineStr">
        <is>
          <t>A — A quiet street, driving 15 min to the shops and doctor</t>
        </is>
      </c>
      <c r="R12" s="22" t="inlineStr">
        <is>
          <t>A — Indian shops and community in your own suburb, less green</t>
        </is>
      </c>
      <c r="S12" s="22" t="inlineStr">
        <is>
          <t>B — Leafy metropolitan suburb within 35 min of family</t>
        </is>
      </c>
      <c r="T12" s="22" t="inlineStr">
        <is>
          <t>B — Coastal or bay town with greenery and water walks</t>
        </is>
      </c>
      <c r="U12" s="22" t="inlineStr">
        <is>
          <t>A — Stay put and rely on taxis or family</t>
        </is>
      </c>
      <c r="V12" s="16" t="inlineStr">
        <is>
          <t>B</t>
        </is>
      </c>
      <c r="W12" s="16" t="inlineStr">
        <is>
          <t>C</t>
        </is>
      </c>
      <c r="X12" s="16" t="inlineStr">
        <is>
          <t>C</t>
        </is>
      </c>
      <c r="Y12" s="16" t="inlineStr">
        <is>
          <t>B</t>
        </is>
      </c>
      <c r="Z12" s="16" t="inlineStr">
        <is>
          <t>D</t>
        </is>
      </c>
      <c r="AA12" s="16" t="inlineStr">
        <is>
          <t>C</t>
        </is>
      </c>
      <c r="AB12" s="16" t="inlineStr">
        <is>
          <t>D</t>
        </is>
      </c>
      <c r="AC12" s="16" t="inlineStr">
        <is>
          <t>B</t>
        </is>
      </c>
      <c r="AD12" s="16" t="inlineStr">
        <is>
          <t>B</t>
        </is>
      </c>
      <c r="AE12" s="16" t="inlineStr">
        <is>
          <t>A</t>
        </is>
      </c>
      <c r="AM12" s="22" t="inlineStr">
        <is>
          <t>Round 3 (Q10–Q12) 2026-10-27T06:33:30Z merged onto row 9. | 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  <row r="13">
      <c r="A13" s="29" t="n">
        <v>46322.27357638889</v>
      </c>
      <c r="B13" s="16" t="inlineStr">
        <is>
          <t>Dad</t>
        </is>
      </c>
      <c r="C13" s="22" t="inlineStr">
        <is>
          <t>A — Green views and quiet</t>
        </is>
      </c>
      <c r="D13" s="22" t="inlineStr">
        <is>
          <t>D — Looking after the house and land</t>
        </is>
      </c>
      <c r="E13" s="21" t="n">
        <v>1500000</v>
      </c>
      <c r="F13" s="16" t="inlineStr">
        <is>
          <t>D - 45 min or more</t>
        </is>
      </c>
      <c r="G13" s="16" t="n">
        <v>75</v>
      </c>
      <c r="H13" s="16" t="inlineStr">
        <is>
          <t>D - no limit</t>
        </is>
      </c>
      <c r="I13" s="16" t="inlineStr">
        <is>
          <t>C - Doesn't matter</t>
        </is>
      </c>
      <c r="J13" s="16" t="inlineStr">
        <is>
          <t>E - Depends on Garden</t>
        </is>
      </c>
      <c r="K13" s="22" t="inlineStr">
        <is>
          <t>A — Yes, living together</t>
        </is>
      </c>
      <c r="L13" s="22" t="inlineStr">
        <is>
          <t>E — Not decided / depends (see notes)</t>
        </is>
      </c>
      <c r="M13" s="22" t="inlineStr">
        <is>
          <t>C — Hills and forest all around</t>
        </is>
      </c>
      <c r="N13" s="22" t="inlineStr">
        <is>
          <t>B — Indian groceries and restaurants</t>
        </is>
      </c>
      <c r="O13" s="16" t="inlineStr">
        <is>
          <t>A — A forest street, 35 min from Glen Waverley</t>
        </is>
      </c>
      <c r="P13" s="16" t="inlineStr">
        <is>
          <t>B — Hills and bush, beach an hour away</t>
        </is>
      </c>
      <c r="Q13" s="16" t="inlineStr">
        <is>
          <t>A — A quiet street, driving 15 min to the shops and doctor</t>
        </is>
      </c>
      <c r="R13" s="22" t="inlineStr">
        <is>
          <t>B — Very green, community a 30-min drive away</t>
        </is>
      </c>
      <c r="S13" s="22" t="inlineStr">
        <is>
          <t>A — Scenic country or coastal town, 60–90 min from family</t>
        </is>
      </c>
      <c r="T13" s="22" t="inlineStr">
        <is>
          <t>A — Inland forest, hills and gardens</t>
        </is>
      </c>
      <c r="U13" s="22" t="inlineStr">
        <is>
          <t>A — Stay put and rely on taxis or family</t>
        </is>
      </c>
      <c r="V13" s="16" t="inlineStr">
        <is>
          <t>D</t>
        </is>
      </c>
      <c r="W13" s="16" t="inlineStr">
        <is>
          <t>B</t>
        </is>
      </c>
      <c r="X13" s="16" t="inlineStr">
        <is>
          <t>B</t>
        </is>
      </c>
      <c r="Y13" s="16" t="inlineStr">
        <is>
          <t>B</t>
        </is>
      </c>
      <c r="Z13" s="16" t="inlineStr">
        <is>
          <t>B</t>
        </is>
      </c>
      <c r="AA13" s="16" t="inlineStr">
        <is>
          <t>C</t>
        </is>
      </c>
      <c r="AB13" s="16" t="inlineStr">
        <is>
          <t>C</t>
        </is>
      </c>
      <c r="AC13" s="16" t="inlineStr">
        <is>
          <t>C</t>
        </is>
      </c>
      <c r="AD13" s="16" t="inlineStr">
        <is>
          <t>C</t>
        </is>
      </c>
      <c r="AE13" s="16" t="inlineStr">
        <is>
          <t>A</t>
        </is>
      </c>
      <c r="AM13" s="22" t="inlineStr">
        <is>
          <t>Round 3 (Q10–Q12) 2026-10-27T06:33:57Z merged onto row 10. | Round 2 (Q13, Q15) 2026-10-27T06:08:36Z merged onto row 6. | Merged: row 5 + gap form (Claude artifact) 2026-10-27T02:00:03Z UTC. Notes: Q3–Q7b: ideally D, or min 3 bedrooms</t>
        </is>
      </c>
    </row>
    <row r="14">
      <c r="A14" s="29" t="n">
        <v>46322.27386574074</v>
      </c>
      <c r="B14" s="16" t="inlineStr">
        <is>
          <t>Me</t>
        </is>
      </c>
      <c r="C14" s="22" t="inlineStr">
        <is>
          <t>B — Being near the beach</t>
        </is>
      </c>
      <c r="D14" s="22" t="inlineStr">
        <is>
          <t>B — Being far from family</t>
        </is>
      </c>
      <c r="F14" s="16" t="inlineStr">
        <is>
          <t>B - 25m</t>
        </is>
      </c>
      <c r="H14" s="16" t="inlineStr">
        <is>
          <t>B - 20m</t>
        </is>
      </c>
      <c r="I14" s="16" t="inlineStr">
        <is>
          <t>A - None</t>
        </is>
      </c>
      <c r="J14" s="16" t="inlineStr">
        <is>
          <t>C - Courtyard</t>
        </is>
      </c>
      <c r="K14" s="22" t="inlineStr">
        <is>
          <t>A — Yes, living together</t>
        </is>
      </c>
      <c r="L14" s="22" t="inlineStr">
        <is>
          <t>D — A self-contained space (granny flat or separate unit)</t>
        </is>
      </c>
      <c r="M14" s="22" t="inlineStr">
        <is>
          <t>E — None of these / depends (see notes)</t>
        </is>
      </c>
      <c r="N14" s="22" t="inlineStr">
        <is>
          <t>D — Friendly neighbours of any background</t>
        </is>
      </c>
      <c r="O14" s="16" t="inlineStr">
        <is>
          <t>A — A forest street, 35 min from Glen Waverley</t>
        </is>
      </c>
      <c r="P14" s="16" t="inlineStr">
        <is>
          <t>A — Flat suburban streets, beach 10 min away</t>
        </is>
      </c>
      <c r="Q14" s="16" t="inlineStr">
        <is>
          <t>B — A busier street, walking to the shops, doctor and station</t>
        </is>
      </c>
      <c r="R14" s="22" t="inlineStr">
        <is>
          <t>B — Very green, community a 30-min drive away</t>
        </is>
      </c>
      <c r="S14" s="22" t="inlineStr">
        <is>
          <t>A — Scenic country or coastal town, 60–90 min from family</t>
        </is>
      </c>
      <c r="T14" s="22" t="inlineStr">
        <is>
          <t>B — Coastal or bay town with greenery and water walks</t>
        </is>
      </c>
      <c r="U14" s="22" t="inlineStr">
        <is>
          <t>C — Take the train or bus to family and the hospital</t>
        </is>
      </c>
      <c r="V14" s="16" t="inlineStr">
        <is>
          <t>D</t>
        </is>
      </c>
      <c r="W14" s="16" t="inlineStr">
        <is>
          <t>A</t>
        </is>
      </c>
      <c r="X14" s="16" t="inlineStr">
        <is>
          <t>B</t>
        </is>
      </c>
      <c r="Y14" s="16" t="inlineStr">
        <is>
          <t>D</t>
        </is>
      </c>
      <c r="Z14" s="16" t="inlineStr">
        <is>
          <t>B</t>
        </is>
      </c>
      <c r="AA14" s="16" t="inlineStr">
        <is>
          <t>C</t>
        </is>
      </c>
      <c r="AB14" s="16" t="inlineStr">
        <is>
          <t>C</t>
        </is>
      </c>
      <c r="AC14" s="16" t="inlineStr">
        <is>
          <t>A</t>
        </is>
      </c>
      <c r="AD14" s="16" t="inlineStr">
        <is>
          <t>A</t>
        </is>
      </c>
      <c r="AE14" s="16" t="inlineStr">
        <is>
          <t>C</t>
        </is>
      </c>
      <c r="AM14" s="22" t="inlineStr">
        <is>
          <t>Round 3 (Q10–Q12) 2026-10-27T06:34:22Z merged onto row 11. | Round 2 (Q13, Q15) 2026-10-27T06:10:46Z merged onto row 8. | 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15">
      <c r="A15" s="29" t="n">
        <v>46322.27782407407</v>
      </c>
      <c r="B15" s="16" t="inlineStr">
        <is>
          <t>Mum</t>
        </is>
      </c>
      <c r="C15" s="22" t="inlineStr">
        <is>
          <t>A — Green views and quiet</t>
        </is>
      </c>
      <c r="D15" s="22" t="inlineStr">
        <is>
          <t>E — None of these / depends (see notes)</t>
        </is>
      </c>
      <c r="E15" s="21" t="n">
        <v>1250000</v>
      </c>
      <c r="F15" s="16" t="inlineStr">
        <is>
          <t>B - 25m</t>
        </is>
      </c>
      <c r="H15" s="16" t="inlineStr">
        <is>
          <t>B - 20m</t>
        </is>
      </c>
      <c r="I15" s="16" t="inlineStr">
        <is>
          <t>A - None at all (Single-level only)</t>
        </is>
      </c>
      <c r="J15" s="16" t="inlineStr">
        <is>
          <t>C - Courtyard</t>
        </is>
      </c>
      <c r="K15" s="16" t="inlineStr">
        <is>
          <t>A — Yes, living together</t>
        </is>
      </c>
      <c r="L15" s="22" t="inlineStr">
        <is>
          <t>E — Not decided / depends (see notes)</t>
        </is>
      </c>
      <c r="M15" s="22" t="inlineStr">
        <is>
          <t>A — A green outlook from the house</t>
        </is>
      </c>
      <c r="N15" s="22" t="inlineStr">
        <is>
          <t>A — A church or place of worship nearby</t>
        </is>
      </c>
      <c r="O15" s="16" t="inlineStr">
        <is>
          <t>B — A leafy suburban street, 15 min from Glen Waverley</t>
        </is>
      </c>
      <c r="P15" s="16" t="inlineStr">
        <is>
          <t>A — Flat suburban streets, beach 10 min away</t>
        </is>
      </c>
      <c r="Q15" s="16" t="inlineStr">
        <is>
          <t>A — A quiet street, driving 15 min to the shops and doctor</t>
        </is>
      </c>
      <c r="R15" s="22" t="inlineStr">
        <is>
          <t>A — Indian shops and community in your own suburb, less green</t>
        </is>
      </c>
      <c r="S15" s="22" t="inlineStr">
        <is>
          <t>B — Leafy metropolitan suburb within 35 min of family</t>
        </is>
      </c>
      <c r="T15" s="22" t="inlineStr">
        <is>
          <t>B — Coastal or bay town with greenery and water walks</t>
        </is>
      </c>
      <c r="U15" s="22" t="inlineStr">
        <is>
          <t>A — Stay put and rely on taxis or family</t>
        </is>
      </c>
      <c r="V15" s="16" t="inlineStr">
        <is>
          <t>B</t>
        </is>
      </c>
      <c r="W15" s="16" t="inlineStr">
        <is>
          <t>C</t>
        </is>
      </c>
      <c r="X15" s="16" t="inlineStr">
        <is>
          <t>C</t>
        </is>
      </c>
      <c r="Y15" s="16" t="inlineStr">
        <is>
          <t>B</t>
        </is>
      </c>
      <c r="Z15" s="16" t="inlineStr">
        <is>
          <t>D</t>
        </is>
      </c>
      <c r="AA15" s="16" t="inlineStr">
        <is>
          <t>C</t>
        </is>
      </c>
      <c r="AB15" s="16" t="inlineStr">
        <is>
          <t>D</t>
        </is>
      </c>
      <c r="AC15" s="16" t="inlineStr">
        <is>
          <t>B</t>
        </is>
      </c>
      <c r="AD15" s="16" t="inlineStr">
        <is>
          <t>B</t>
        </is>
      </c>
      <c r="AE15" s="16" t="inlineStr">
        <is>
          <t>A</t>
        </is>
      </c>
      <c r="AM15" s="22" t="inlineStr">
        <is>
          <t>Round 3 resubmission 2026-10-27T06:40:04Z merged onto row 12: Mum changed Q10 from A (forest street) to B (leafy street 15 min from GW); Q11, Q12 unchanged. | Round 3 (Q10–Q12) 2026-10-27T06:33:30Z merged onto row 9. | 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Person</t>
        </is>
      </c>
      <c r="B1" s="16" t="inlineStr">
        <is>
          <t>Latest Row</t>
        </is>
      </c>
      <c r="C1" s="16" t="inlineStr">
        <is>
          <t>Q15 Essential Count</t>
        </is>
      </c>
    </row>
    <row r="2" ht="15.75" customHeight="1" s="15">
      <c r="A2" s="16" t="inlineStr">
        <is>
          <t>Mum</t>
        </is>
      </c>
      <c r="B2" s="16">
        <f>IFERROR(LOOKUP(2,1/(RawResponses!$B$2:$B$500="Mum"),ROW(RawResponses!$B$2:$B$500)),"")</f>
        <v/>
      </c>
      <c r="C2" s="16">
        <f t="array" ref="C2:C2">IF(COUNTIF(INDEX(RawResponses!$A:$AL, B2, 22):INDEX(RawResponses!$A:$AL, B2, 31), "D")&gt;Settings!$B$5, "Too many D's ("&amp;COUNTIF(INDEX(RawResponses!$A:$AL, B2, 22):INDEX(RawResponses!$A:$AL, B2, 31), "D")&amp;")", "OK ("&amp;COUNTIF(INDEX(RawResponses!$A:$AL, B2, 22):INDEX(RawResponses!$A:$AL, B2, 31), "D")&amp;")")</f>
        <v/>
      </c>
    </row>
    <row r="3" ht="15.75" customHeight="1" s="15">
      <c r="A3" s="16" t="inlineStr">
        <is>
          <t>Dad</t>
        </is>
      </c>
      <c r="B3" s="16">
        <f>IFERROR(LOOKUP(2,1/(RawResponses!$B$2:$B$500="Dad"),ROW(RawResponses!$B$2:$B$500)),"")</f>
        <v/>
      </c>
      <c r="C3" s="16">
        <f t="array" ref="C3:C3">IF(COUNTIF(INDEX(RawResponses!$A:$AL, B3, 22):INDEX(RawResponses!$A:$AL, B3, 31), "D")&gt;Settings!$B$5, "Too many D's ("&amp;COUNTIF(INDEX(RawResponses!$A:$AL, B3, 22):INDEX(RawResponses!$A:$AL, B3, 31), "D")&amp;")", "OK ("&amp;COUNTIF(INDEX(RawResponses!$A:$AL, B3, 22):INDEX(RawResponses!$A:$AL, B3, 31), "D")&amp;")")</f>
        <v/>
      </c>
    </row>
    <row r="4" ht="15.75" customHeight="1" s="15">
      <c r="A4" s="16" t="inlineStr">
        <is>
          <t>Me</t>
        </is>
      </c>
      <c r="B4" s="16">
        <f>IFERROR(LOOKUP(2,1/(RawResponses!$B$2:$B$500="Me"),ROW(RawResponses!$B$2:$B$500)),"")</f>
        <v/>
      </c>
      <c r="C4" s="16">
        <f t="array" ref="C4:C4">IF(COUNTIF(INDEX(RawResponses!$A:$AL, B4, 22):INDEX(RawResponses!$A:$AL, B4, 31), "D")&gt;Settings!$B$5, "Too many D's ("&amp;COUNTIF(INDEX(RawResponses!$A:$AL, B4, 22):INDEX(RawResponses!$A:$AL, B4, 31), "D")&amp;")", "OK ("&amp;COUNTIF(INDEX(RawResponses!$A:$AL, B4, 22):INDEX(RawResponses!$A:$AL, B4, 31), "D")&amp;")")</f>
        <v/>
      </c>
    </row>
    <row r="6" ht="15.75" customHeight="1" s="15">
      <c r="A6" s="16" t="inlineStr">
        <is>
          <t>Question ID</t>
        </is>
      </c>
      <c r="B6" s="16" t="inlineStr">
        <is>
          <t>Mum Answer</t>
        </is>
      </c>
      <c r="C6" s="16" t="inlineStr">
        <is>
          <t>Dad Answer</t>
        </is>
      </c>
      <c r="D6" s="16" t="inlineStr">
        <is>
          <t>Me Answer</t>
        </is>
      </c>
      <c r="E6" s="16" t="inlineStr">
        <is>
          <t>Mum Code</t>
        </is>
      </c>
      <c r="F6" s="16" t="inlineStr">
        <is>
          <t>Dad Code</t>
        </is>
      </c>
      <c r="G6" s="16" t="inlineStr">
        <is>
          <t>Me Code</t>
        </is>
      </c>
    </row>
    <row r="7" ht="15.75" customHeight="1" s="15">
      <c r="A7" s="16" t="inlineStr">
        <is>
          <t>[Q3] Total budget</t>
        </is>
      </c>
      <c r="B7" s="21">
        <f t="array" ref="B7:B7">INDEX(RawResponses!$A:$AL, $B$2, MATCH($A7&amp;"*", RawResponses!$A$1:$AL$1, 0))</f>
        <v/>
      </c>
      <c r="C7" s="21">
        <f t="array" ref="C7:C7">INDEX(RawResponses!$A:$AL, $B$3, MATCH($A7&amp;"*", RawResponses!$A$1:$AL$1, 0))</f>
        <v/>
      </c>
      <c r="D7" s="16">
        <f>INDEX(RawResponses!$A:$AL, $B$4, MATCH($A7&amp;"*", RawResponses!$A$1:$AL$1, 0))</f>
        <v/>
      </c>
      <c r="E7" s="16">
        <f>LEFT(B7, 1)</f>
        <v/>
      </c>
      <c r="F7" s="16">
        <f>LEFT(C7, 1)</f>
        <v/>
      </c>
      <c r="G7" s="16">
        <f>LEFT(D7, 1)</f>
        <v/>
      </c>
    </row>
    <row r="8" ht="15.75" customHeight="1" s="15">
      <c r="A8" s="16" t="inlineStr">
        <is>
          <t>[Q4] Max drive to GW</t>
        </is>
      </c>
      <c r="B8" s="16">
        <f t="array" ref="B8:B8">INDEX(RawResponses!$A:$AL, $B$2, MATCH($A8&amp;"*", RawResponses!$A$1:$AL$1, 0))</f>
        <v/>
      </c>
      <c r="C8" s="16">
        <f t="array" ref="C8:C8">INDEX(RawResponses!$A:$AL, $B$3, MATCH($A8&amp;"*", RawResponses!$A$1:$AL$1, 0))</f>
        <v/>
      </c>
      <c r="D8" s="16">
        <f t="array" ref="D8:D8">INDEX(RawResponses!$A:$AL, $B$4, MATCH($A8&amp;"*", RawResponses!$A$1:$AL$1, 0))</f>
        <v/>
      </c>
      <c r="E8" s="16">
        <f>LEFT(B8, 1)</f>
        <v/>
      </c>
      <c r="F8" s="16">
        <f>LEFT(C8, 1)</f>
        <v/>
      </c>
      <c r="G8" s="16">
        <f>LEFT(D8, 1)</f>
        <v/>
      </c>
    </row>
    <row r="9" ht="15.75" customHeight="1" s="15">
      <c r="A9" s="16" t="inlineStr">
        <is>
          <t>[Q4b] Max drive to GW (if D)</t>
        </is>
      </c>
      <c r="B9" s="16">
        <f>INDEX(RawResponses!$A:$AL, $B$2, MATCH($A9&amp;"*", RawResponses!$A$1:$AL$1, 0))</f>
        <v/>
      </c>
      <c r="C9" s="16">
        <f t="array" ref="C9:C9">INDEX(RawResponses!$A:$AL, $B$3, MATCH($A9&amp;"*", RawResponses!$A$1:$AL$1, 0))</f>
        <v/>
      </c>
      <c r="D9" s="16">
        <f>INDEX(RawResponses!$A:$AL, $B$4, MATCH($A9&amp;"*", RawResponses!$A$1:$AL$1, 0))</f>
        <v/>
      </c>
      <c r="E9" s="16">
        <f>IF(B9="","",B9)</f>
        <v/>
      </c>
      <c r="F9" s="16">
        <f>IF(C9="","",C9)</f>
        <v/>
      </c>
      <c r="G9" s="16">
        <f>IF(D9="","",D9)</f>
        <v/>
      </c>
    </row>
    <row r="10" ht="15.75" customHeight="1" s="15">
      <c r="A10" s="16" t="inlineStr">
        <is>
          <t>[Q5] Max drive to ED</t>
        </is>
      </c>
      <c r="B10" s="16">
        <f t="array" ref="B10:B10">INDEX(RawResponses!$A:$AL, $B$2, MATCH($A10&amp;"*", RawResponses!$A$1:$AL$1, 0))</f>
        <v/>
      </c>
      <c r="C10" s="16">
        <f t="array" ref="C10:C10">INDEX(RawResponses!$A:$AL, $B$3, MATCH($A10&amp;"*", RawResponses!$A$1:$AL$1, 0))</f>
        <v/>
      </c>
      <c r="D10" s="16">
        <f t="array" ref="D10:D10">INDEX(RawResponses!$A:$AL, $B$4, MATCH($A10&amp;"*", RawResponses!$A$1:$AL$1, 0))</f>
        <v/>
      </c>
      <c r="E10" s="16">
        <f>LEFT(B10, 1)</f>
        <v/>
      </c>
      <c r="F10" s="16">
        <f>LEFT(C10, 1)</f>
        <v/>
      </c>
      <c r="G10" s="16">
        <f>LEFT(D10, 1)</f>
        <v/>
      </c>
    </row>
    <row r="11" ht="15.75" customHeight="1" s="15">
      <c r="A11" s="16" t="inlineStr">
        <is>
          <t>[Q6] Stairs</t>
        </is>
      </c>
      <c r="B11" s="16">
        <f t="array" ref="B11:B11">INDEX(RawResponses!$A:$AL, $B$2, MATCH($A11&amp;"*", RawResponses!$A$1:$AL$1, 0))</f>
        <v/>
      </c>
      <c r="C11" s="16">
        <f t="array" ref="C11:C11">INDEX(RawResponses!$A:$AL, $B$3, MATCH($A11&amp;"*", RawResponses!$A$1:$AL$1, 0))</f>
        <v/>
      </c>
      <c r="D11" s="16">
        <f t="array" ref="D11:D11">INDEX(RawResponses!$A:$AL, $B$4, MATCH($A11&amp;"*", RawResponses!$A$1:$AL$1, 0))</f>
        <v/>
      </c>
      <c r="E11" s="16">
        <f>LEFT(B11, 1)</f>
        <v/>
      </c>
      <c r="F11" s="16">
        <f>LEFT(C11, 1)</f>
        <v/>
      </c>
      <c r="G11" s="16">
        <f>LEFT(D11, 1)</f>
        <v/>
      </c>
    </row>
    <row r="12" ht="15.75" customHeight="1" s="15">
      <c r="A12" s="16" t="inlineStr">
        <is>
          <t>[Q7] Garden</t>
        </is>
      </c>
      <c r="B12" s="16">
        <f t="array" ref="B12:B12">INDEX(RawResponses!$A:$AL, $B$2, MATCH($A12&amp;"*", RawResponses!$A$1:$AL$1, 0))</f>
        <v/>
      </c>
      <c r="C12" s="16">
        <f t="array" ref="C12:C12">INDEX(RawResponses!$A:$AL, $B$3, MATCH($A12&amp;"*", RawResponses!$A$1:$AL$1, 0))</f>
        <v/>
      </c>
      <c r="D12" s="16">
        <f t="array" ref="D12:D12">INDEX(RawResponses!$A:$AL, $B$4, MATCH($A12&amp;"*", RawResponses!$A$1:$AL$1, 0))</f>
        <v/>
      </c>
      <c r="E12" s="16">
        <f>LEFT(B12, 1)</f>
        <v/>
      </c>
      <c r="F12" s="16">
        <f>LEFT(C12, 1)</f>
        <v/>
      </c>
      <c r="G12" s="16">
        <f>LEFT(D12, 1)</f>
        <v/>
      </c>
    </row>
    <row r="13" ht="15.75" customHeight="1" s="15">
      <c r="A13" s="16" t="inlineStr">
        <is>
          <t>[Q7a] Living arrangement</t>
        </is>
      </c>
      <c r="B13" s="16">
        <f t="array" ref="B13:B13">INDEX(RawResponses!$A:$AL, $B$2, MATCH($A13&amp;"*", RawResponses!$A$1:$AL$1, 0))</f>
        <v/>
      </c>
      <c r="C13" s="16">
        <f>INDEX(RawResponses!$A:$AL, $B$3, MATCH($A13&amp;"*", RawResponses!$A$1:$AL$1, 0))</f>
        <v/>
      </c>
      <c r="D13" s="16">
        <f>INDEX(RawResponses!$A:$AL, $B$4, MATCH($A13&amp;"*", RawResponses!$A$1:$AL$1, 0))</f>
        <v/>
      </c>
      <c r="E13" s="16">
        <f>LEFT(B13, 1)</f>
        <v/>
      </c>
      <c r="F13" s="16">
        <f>LEFT(C13, 1)</f>
        <v/>
      </c>
      <c r="G13" s="16">
        <f>LEFT(D13, 1)</f>
        <v/>
      </c>
    </row>
    <row r="14" ht="15.75" customHeight="1" s="15">
      <c r="A14" s="16" t="inlineStr">
        <is>
          <t>[Q7b] Home size</t>
        </is>
      </c>
      <c r="B14" s="16">
        <f>INDEX(RawResponses!$A:$AL, $B$2, MATCH($A14&amp;"*", RawResponses!$A$1:$AL$1, 0))</f>
        <v/>
      </c>
      <c r="C14" s="16">
        <f>INDEX(RawResponses!$A:$AL, $B$3, MATCH($A14&amp;"*", RawResponses!$A$1:$AL$1, 0))</f>
        <v/>
      </c>
      <c r="D14" s="16">
        <f>INDEX(RawResponses!$A:$AL, $B$4, MATCH($A14&amp;"*", RawResponses!$A$1:$AL$1, 0))</f>
        <v/>
      </c>
      <c r="E14" s="16">
        <f>LEFT(B14, 1)</f>
        <v/>
      </c>
      <c r="F14" s="16">
        <f>LEFT(C14, 1)</f>
        <v/>
      </c>
      <c r="G14" s="16">
        <f>LEFT(D14, 1)</f>
        <v/>
      </c>
    </row>
    <row r="15" ht="15.75" customHeight="1" s="15">
      <c r="A15" s="16" t="inlineStr">
        <is>
          <t>[Q10]</t>
        </is>
      </c>
      <c r="B15" s="16">
        <f t="array" ref="B15:B15">INDEX(RawResponses!$A:$AL, $B$2, MATCH($A15&amp;"*", RawResponses!$A$1:$AL$1, 0))</f>
        <v/>
      </c>
      <c r="C15" s="16">
        <f t="array" ref="C15:C15">INDEX(RawResponses!$A:$AL, $B$3, MATCH($A15&amp;"*", RawResponses!$A$1:$AL$1, 0))</f>
        <v/>
      </c>
      <c r="D15" s="16">
        <f t="array" ref="D15:D15">INDEX(RawResponses!$A:$AL, $B$4, MATCH($A15&amp;"*", RawResponses!$A$1:$AL$1, 0))</f>
        <v/>
      </c>
      <c r="E15" s="16">
        <f>LEFT(B15, 1)</f>
        <v/>
      </c>
      <c r="F15" s="16">
        <f>LEFT(C15, 1)</f>
        <v/>
      </c>
      <c r="G15" s="16">
        <f>LEFT(D15, 1)</f>
        <v/>
      </c>
    </row>
    <row r="16" ht="15.75" customHeight="1" s="15">
      <c r="A16" s="16" t="inlineStr">
        <is>
          <t>[Q11]</t>
        </is>
      </c>
      <c r="B16" s="16">
        <f t="array" ref="B16:B16">INDEX(RawResponses!$A:$AL, $B$2, MATCH($A16&amp;"*", RawResponses!$A$1:$AL$1, 0))</f>
        <v/>
      </c>
      <c r="C16" s="16">
        <f t="array" ref="C16:C16">INDEX(RawResponses!$A:$AL, $B$3, MATCH($A16&amp;"*", RawResponses!$A$1:$AL$1, 0))</f>
        <v/>
      </c>
      <c r="D16" s="16">
        <f t="array" ref="D16:D16">INDEX(RawResponses!$A:$AL, $B$4, MATCH($A16&amp;"*", RawResponses!$A$1:$AL$1, 0))</f>
        <v/>
      </c>
      <c r="E16" s="16">
        <f>LEFT(B16, 1)</f>
        <v/>
      </c>
      <c r="F16" s="16">
        <f>LEFT(C16, 1)</f>
        <v/>
      </c>
      <c r="G16" s="16">
        <f>LEFT(D16, 1)</f>
        <v/>
      </c>
    </row>
    <row r="17" ht="15.75" customHeight="1" s="15">
      <c r="A17" s="16" t="inlineStr">
        <is>
          <t>[Q12]</t>
        </is>
      </c>
      <c r="B17" s="16">
        <f t="array" ref="B17:B17">INDEX(RawResponses!$A:$AL, $B$2, MATCH($A17&amp;"*", RawResponses!$A$1:$AL$1, 0))</f>
        <v/>
      </c>
      <c r="C17" s="16">
        <f t="array" ref="C17:C17">INDEX(RawResponses!$A:$AL, $B$3, MATCH($A17&amp;"*", RawResponses!$A$1:$AL$1, 0))</f>
        <v/>
      </c>
      <c r="D17" s="16">
        <f t="array" ref="D17:D17">INDEX(RawResponses!$A:$AL, $B$4, MATCH($A17&amp;"*", RawResponses!$A$1:$AL$1, 0))</f>
        <v/>
      </c>
      <c r="E17" s="16">
        <f>LEFT(B17, 1)</f>
        <v/>
      </c>
      <c r="F17" s="16">
        <f>LEFT(C17, 1)</f>
        <v/>
      </c>
      <c r="G17" s="16">
        <f>LEFT(D17, 1)</f>
        <v/>
      </c>
    </row>
    <row r="18" ht="15.75" customHeight="1" s="15">
      <c r="A18" s="16" t="inlineStr">
        <is>
          <t>[Q13]</t>
        </is>
      </c>
      <c r="B18" s="16">
        <f>INDEX(RawResponses!$A:$AL, $B$2, MATCH($A18&amp;"*", RawResponses!$A$1:$AL$1, 0))</f>
        <v/>
      </c>
      <c r="C18" s="16">
        <f>INDEX(RawResponses!$A:$AL, $B$3, MATCH($A18&amp;"*", RawResponses!$A$1:$AL$1, 0))</f>
        <v/>
      </c>
      <c r="D18" s="16">
        <f>INDEX(RawResponses!$A:$AL, $B$4, MATCH($A18&amp;"*", RawResponses!$A$1:$AL$1, 0))</f>
        <v/>
      </c>
      <c r="E18" s="16">
        <f>LEFT(B18, 1)</f>
        <v/>
      </c>
      <c r="F18" s="16">
        <f>LEFT(C18, 1)</f>
        <v/>
      </c>
      <c r="G18" s="16">
        <f>LEFT(D18, 1)</f>
        <v/>
      </c>
    </row>
    <row r="19" ht="15.75" customHeight="1" s="15">
      <c r="A19" s="16" t="inlineStr">
        <is>
          <t>[Q15.1] Nature</t>
        </is>
      </c>
      <c r="B19" s="16">
        <f t="array" ref="B19:B19">INDEX(RawResponses!$A:$AL, $B$2, MATCH($A19&amp;"*", RawResponses!$A$1:$AL$1, 0))</f>
        <v/>
      </c>
      <c r="C19" s="16">
        <f t="array" ref="C19:C19">INDEX(RawResponses!$A:$AL, $B$3, MATCH($A19&amp;"*", RawResponses!$A$1:$AL$1, 0))</f>
        <v/>
      </c>
      <c r="D19" s="16">
        <f t="array" ref="D19:D19">INDEX(RawResponses!$A:$AL, $B$4, MATCH($A19&amp;"*", RawResponses!$A$1:$AL$1, 0))</f>
        <v/>
      </c>
      <c r="E19" s="16">
        <f>LEFT(B19, 1)</f>
        <v/>
      </c>
      <c r="F19" s="16">
        <f>LEFT(C19, 1)</f>
        <v/>
      </c>
      <c r="G19" s="16">
        <f>LEFT(D19, 1)</f>
        <v/>
      </c>
    </row>
    <row r="20" ht="15.75" customHeight="1" s="15">
      <c r="A20" s="16" t="inlineStr">
        <is>
          <t>[Q15.2] Near family in GW</t>
        </is>
      </c>
      <c r="B20" s="16">
        <f t="array" ref="B20:B20">INDEX(RawResponses!$A:$AL, $B$2, MATCH($A20&amp;"*", RawResponses!$A$1:$AL$1, 0))</f>
        <v/>
      </c>
      <c r="C20" s="16">
        <f t="array" ref="C20:C20">INDEX(RawResponses!$A:$AL, $B$3, MATCH($A20&amp;"*", RawResponses!$A$1:$AL$1, 0))</f>
        <v/>
      </c>
      <c r="D20" s="16">
        <f t="array" ref="D20:D20">INDEX(RawResponses!$A:$AL, $B$4, MATCH($A20&amp;"*", RawResponses!$A$1:$AL$1, 0))</f>
        <v/>
      </c>
      <c r="E20" s="16">
        <f>LEFT(B20, 1)</f>
        <v/>
      </c>
      <c r="F20" s="16">
        <f>LEFT(C20, 1)</f>
        <v/>
      </c>
      <c r="G20" s="16">
        <f>LEFT(D20, 1)</f>
        <v/>
      </c>
    </row>
    <row r="21" ht="15.75" customHeight="1" s="15">
      <c r="A21" s="16" t="inlineStr">
        <is>
          <t>[Q15.3] Indian community</t>
        </is>
      </c>
      <c r="B21" s="16">
        <f t="array" ref="B21:B21">INDEX(RawResponses!$A:$AL, $B$2, MATCH($A21&amp;"*", RawResponses!$A$1:$AL$1, 0))</f>
        <v/>
      </c>
      <c r="C21" s="16">
        <f t="array" ref="C21:C21">INDEX(RawResponses!$A:$AL, $B$3, MATCH($A21&amp;"*", RawResponses!$A$1:$AL$1, 0))</f>
        <v/>
      </c>
      <c r="D21" s="16">
        <f t="array" ref="D21:D21">INDEX(RawResponses!$A:$AL, $B$4, MATCH($A21&amp;"*", RawResponses!$A$1:$AL$1, 0))</f>
        <v/>
      </c>
      <c r="E21" s="16">
        <f>LEFT(B21, 1)</f>
        <v/>
      </c>
      <c r="F21" s="16">
        <f>LEFT(C21, 1)</f>
        <v/>
      </c>
      <c r="G21" s="16">
        <f>LEFT(D21, 1)</f>
        <v/>
      </c>
    </row>
    <row r="22" ht="15.75" customHeight="1" s="15">
      <c r="A22" s="16" t="inlineStr">
        <is>
          <t>[Q15.4] Beach</t>
        </is>
      </c>
      <c r="B22" s="16">
        <f t="array" ref="B22:B22">INDEX(RawResponses!$A:$AL, $B$2, MATCH($A22&amp;"*", RawResponses!$A$1:$AL$1, 0))</f>
        <v/>
      </c>
      <c r="C22" s="16">
        <f t="array" ref="C22:C22">INDEX(RawResponses!$A:$AL, $B$3, MATCH($A22&amp;"*", RawResponses!$A$1:$AL$1, 0))</f>
        <v/>
      </c>
      <c r="D22" s="16">
        <f t="array" ref="D22:D22">INDEX(RawResponses!$A:$AL, $B$4, MATCH($A22&amp;"*", RawResponses!$A$1:$AL$1, 0))</f>
        <v/>
      </c>
      <c r="E22" s="16">
        <f>LEFT(B22, 1)</f>
        <v/>
      </c>
      <c r="F22" s="16">
        <f>LEFT(C22, 1)</f>
        <v/>
      </c>
      <c r="G22" s="16">
        <f>LEFT(D22, 1)</f>
        <v/>
      </c>
    </row>
    <row r="23" ht="15.75" customHeight="1" s="15">
      <c r="A23" s="16" t="inlineStr">
        <is>
          <t>[Q15.5] Hospital</t>
        </is>
      </c>
      <c r="B23" s="16">
        <f t="array" ref="B23:B23">INDEX(RawResponses!$A:$AL, $B$2, MATCH($A23&amp;"*", RawResponses!$A$1:$AL$1, 0))</f>
        <v/>
      </c>
      <c r="C23" s="16">
        <f t="array" ref="C23:C23">INDEX(RawResponses!$A:$AL, $B$3, MATCH($A23&amp;"*", RawResponses!$A$1:$AL$1, 0))</f>
        <v/>
      </c>
      <c r="D23" s="16">
        <f t="array" ref="D23:D23">INDEX(RawResponses!$A:$AL, $B$4, MATCH($A23&amp;"*", RawResponses!$A$1:$AL$1, 0))</f>
        <v/>
      </c>
      <c r="E23" s="16">
        <f>LEFT(B23, 1)</f>
        <v/>
      </c>
      <c r="F23" s="16">
        <f>LEFT(C23, 1)</f>
        <v/>
      </c>
      <c r="G23" s="16">
        <f>LEFT(D23, 1)</f>
        <v/>
      </c>
    </row>
    <row r="24" ht="15.75" customHeight="1" s="15">
      <c r="A24" s="16" t="inlineStr">
        <is>
          <t>[Q15.6] Train/bus</t>
        </is>
      </c>
      <c r="B24" s="16">
        <f t="array" ref="B24:B24">INDEX(RawResponses!$A:$AL, $B$2, MATCH($A24&amp;"*", RawResponses!$A$1:$AL$1, 0))</f>
        <v/>
      </c>
      <c r="C24" s="16">
        <f t="array" ref="C24:C24">INDEX(RawResponses!$A:$AL, $B$3, MATCH($A24&amp;"*", RawResponses!$A$1:$AL$1, 0))</f>
        <v/>
      </c>
      <c r="D24" s="16">
        <f t="array" ref="D24:D24">INDEX(RawResponses!$A:$AL, $B$4, MATCH($A24&amp;"*", RawResponses!$A$1:$AL$1, 0))</f>
        <v/>
      </c>
      <c r="E24" s="16">
        <f>LEFT(B24, 1)</f>
        <v/>
      </c>
      <c r="F24" s="16">
        <f>LEFT(C24, 1)</f>
        <v/>
      </c>
      <c r="G24" s="16">
        <f>LEFT(D24, 1)</f>
        <v/>
      </c>
    </row>
    <row r="25" ht="15.75" customHeight="1" s="15">
      <c r="A25" s="16" t="inlineStr">
        <is>
          <t>[Q15.7] Shops/doctor</t>
        </is>
      </c>
      <c r="B25" s="16">
        <f t="array" ref="B25:B25">INDEX(RawResponses!$A:$AL, $B$2, MATCH($A25&amp;"*", RawResponses!$A$1:$AL$1, 0))</f>
        <v/>
      </c>
      <c r="C25" s="16">
        <f t="array" ref="C25:C25">INDEX(RawResponses!$A:$AL, $B$3, MATCH($A25&amp;"*", RawResponses!$A$1:$AL$1, 0))</f>
        <v/>
      </c>
      <c r="D25" s="16">
        <f t="array" ref="D25:D25">INDEX(RawResponses!$A:$AL, $B$4, MATCH($A25&amp;"*", RawResponses!$A$1:$AL$1, 0))</f>
        <v/>
      </c>
      <c r="E25" s="16">
        <f>LEFT(B25, 1)</f>
        <v/>
      </c>
      <c r="F25" s="16">
        <f>LEFT(C25, 1)</f>
        <v/>
      </c>
      <c r="G25" s="16">
        <f>LEFT(D25, 1)</f>
        <v/>
      </c>
    </row>
    <row r="26" ht="15.75" customHeight="1" s="15">
      <c r="A26" s="16" t="inlineStr">
        <is>
          <t>[Q15.8] Village character</t>
        </is>
      </c>
      <c r="B26" s="16">
        <f t="array" ref="B26:B26">INDEX(RawResponses!$A:$AL, $B$2, MATCH($A26&amp;"*", RawResponses!$A$1:$AL$1, 0))</f>
        <v/>
      </c>
      <c r="C26" s="16">
        <f t="array" ref="C26:C26">INDEX(RawResponses!$A:$AL, $B$3, MATCH($A26&amp;"*", RawResponses!$A$1:$AL$1, 0))</f>
        <v/>
      </c>
      <c r="D26" s="16">
        <f t="array" ref="D26:D26">INDEX(RawResponses!$A:$AL, $B$4, MATCH($A26&amp;"*", RawResponses!$A$1:$AL$1, 0))</f>
        <v/>
      </c>
      <c r="E26" s="16">
        <f>LEFT(B26, 1)</f>
        <v/>
      </c>
      <c r="F26" s="16">
        <f>LEFT(C26, 1)</f>
        <v/>
      </c>
      <c r="G26" s="16">
        <f>LEFT(D26, 1)</f>
        <v/>
      </c>
    </row>
    <row r="27" ht="15.75" customHeight="1" s="15">
      <c r="A27" s="16" t="inlineStr">
        <is>
          <t>[Q15.9] Price</t>
        </is>
      </c>
      <c r="B27" s="16">
        <f t="array" ref="B27:B27">INDEX(RawResponses!$A:$AL, $B$2, MATCH($A27&amp;"*", RawResponses!$A$1:$AL$1, 0))</f>
        <v/>
      </c>
      <c r="C27" s="16">
        <f t="array" ref="C27:C27">INDEX(RawResponses!$A:$AL, $B$3, MATCH($A27&amp;"*", RawResponses!$A$1:$AL$1, 0))</f>
        <v/>
      </c>
      <c r="D27" s="16">
        <f t="array" ref="D27:D27">INDEX(RawResponses!$A:$AL, $B$4, MATCH($A27&amp;"*", RawResponses!$A$1:$AL$1, 0))</f>
        <v/>
      </c>
      <c r="E27" s="16">
        <f>LEFT(B27, 1)</f>
        <v/>
      </c>
      <c r="F27" s="16">
        <f>LEFT(C27, 1)</f>
        <v/>
      </c>
      <c r="G27" s="16">
        <f>LEFT(D27, 1)</f>
        <v/>
      </c>
    </row>
    <row r="28" ht="15.75" customHeight="1" s="15">
      <c r="A28" s="16" t="inlineStr">
        <is>
          <t>[Q15.10] Easy city trip</t>
        </is>
      </c>
      <c r="B28" s="16">
        <f t="array" ref="B28:B28">INDEX(RawResponses!$A:$AL, $B$2, MATCH($A28&amp;"*", RawResponses!$A$1:$AL$1, 0))</f>
        <v/>
      </c>
      <c r="C28" s="16">
        <f t="array" ref="C28:C28">INDEX(RawResponses!$A:$AL, $B$3, MATCH($A28&amp;"*", RawResponses!$A$1:$AL$1, 0))</f>
        <v/>
      </c>
      <c r="D28" s="16">
        <f t="array" ref="D28:D28">INDEX(RawResponses!$A:$AL, $B$4, MATCH($A28&amp;"*", RawResponses!$A$1:$AL$1, 0))</f>
        <v/>
      </c>
      <c r="E28" s="16">
        <f>LEFT(B28, 1)</f>
        <v/>
      </c>
      <c r="F28" s="16">
        <f>LEFT(C28, 1)</f>
        <v/>
      </c>
      <c r="G28" s="16">
        <f>LEFT(D28, 1)</f>
        <v/>
      </c>
    </row>
    <row r="30">
      <c r="A30" s="16" t="inlineStr">
        <is>
          <t>Context answers (shown for discussion; not weighted)</t>
        </is>
      </c>
    </row>
    <row r="31">
      <c r="A31" s="16" t="inlineStr">
        <is>
          <t>Question ID</t>
        </is>
      </c>
      <c r="B31" s="16" t="inlineStr">
        <is>
          <t>Mum Answer</t>
        </is>
      </c>
      <c r="C31" s="16" t="inlineStr">
        <is>
          <t>Dad Answer</t>
        </is>
      </c>
      <c r="D31" s="16" t="inlineStr">
        <is>
          <t>Me Answer</t>
        </is>
      </c>
      <c r="E31" s="16" t="inlineStr">
        <is>
          <t>Mum Code</t>
        </is>
      </c>
      <c r="F31" s="16" t="inlineStr">
        <is>
          <t>Dad Code</t>
        </is>
      </c>
      <c r="G31" s="16" t="inlineStr">
        <is>
          <t>Me Code</t>
        </is>
      </c>
    </row>
    <row r="32">
      <c r="A32" s="16" t="inlineStr">
        <is>
          <t>[Q1]</t>
        </is>
      </c>
      <c r="B32" s="16">
        <f>IFERROR(IF(INDEX(RawResponses!$A:$AM,$B$2,MATCH($A32&amp;"*",RawResponses!$A$1:$AM$1,0))="","",INDEX(RawResponses!$A:$AM,$B$2,MATCH($A32&amp;"*",RawResponses!$A$1:$AM$1,0))),"")</f>
        <v/>
      </c>
      <c r="C32" s="16">
        <f>IFERROR(IF(INDEX(RawResponses!$A:$AM,$B$3,MATCH($A32&amp;"*",RawResponses!$A$1:$AM$1,0))="","",INDEX(RawResponses!$A:$AM,$B$3,MATCH($A32&amp;"*",RawResponses!$A$1:$AM$1,0))),"")</f>
        <v/>
      </c>
      <c r="D32" s="16">
        <f>IFERROR(IF(INDEX(RawResponses!$A:$AM,$B$4,MATCH($A32&amp;"*",RawResponses!$A$1:$AM$1,0))="","",INDEX(RawResponses!$A:$AM,$B$4,MATCH($A32&amp;"*",RawResponses!$A$1:$AM$1,0))),"")</f>
        <v/>
      </c>
      <c r="E32" s="16">
        <f>LEFT(B32,1)</f>
        <v/>
      </c>
      <c r="F32" s="16">
        <f>LEFT(C32,1)</f>
        <v/>
      </c>
      <c r="G32" s="16">
        <f>LEFT(D32,1)</f>
        <v/>
      </c>
    </row>
    <row r="33">
      <c r="A33" s="16" t="inlineStr">
        <is>
          <t>[Q2]</t>
        </is>
      </c>
      <c r="B33" s="16">
        <f>IFERROR(IF(INDEX(RawResponses!$A:$AM,$B$2,MATCH($A33&amp;"*",RawResponses!$A$1:$AM$1,0))="","",INDEX(RawResponses!$A:$AM,$B$2,MATCH($A33&amp;"*",RawResponses!$A$1:$AM$1,0))),"")</f>
        <v/>
      </c>
      <c r="C33" s="16">
        <f>IFERROR(IF(INDEX(RawResponses!$A:$AM,$B$3,MATCH($A33&amp;"*",RawResponses!$A$1:$AM$1,0))="","",INDEX(RawResponses!$A:$AM,$B$3,MATCH($A33&amp;"*",RawResponses!$A$1:$AM$1,0))),"")</f>
        <v/>
      </c>
      <c r="D33" s="16">
        <f>IFERROR(IF(INDEX(RawResponses!$A:$AM,$B$4,MATCH($A33&amp;"*",RawResponses!$A$1:$AM$1,0))="","",INDEX(RawResponses!$A:$AM,$B$4,MATCH($A33&amp;"*",RawResponses!$A$1:$AM$1,0))),"")</f>
        <v/>
      </c>
      <c r="E33" s="16">
        <f>LEFT(B33,1)</f>
        <v/>
      </c>
      <c r="F33" s="16">
        <f>LEFT(C33,1)</f>
        <v/>
      </c>
      <c r="G33" s="16">
        <f>LEFT(D33,1)</f>
        <v/>
      </c>
    </row>
    <row r="34">
      <c r="A34" s="16" t="inlineStr">
        <is>
          <t>[Q8]</t>
        </is>
      </c>
      <c r="B34" s="16">
        <f>IFERROR(IF(INDEX(RawResponses!$A:$AM,$B$2,MATCH($A34&amp;"*",RawResponses!$A$1:$AM$1,0))="","",INDEX(RawResponses!$A:$AM,$B$2,MATCH($A34&amp;"*",RawResponses!$A$1:$AM$1,0))),"")</f>
        <v/>
      </c>
      <c r="C34" s="16">
        <f>IFERROR(IF(INDEX(RawResponses!$A:$AM,$B$3,MATCH($A34&amp;"*",RawResponses!$A$1:$AM$1,0))="","",INDEX(RawResponses!$A:$AM,$B$3,MATCH($A34&amp;"*",RawResponses!$A$1:$AM$1,0))),"")</f>
        <v/>
      </c>
      <c r="D34" s="16">
        <f>IFERROR(IF(INDEX(RawResponses!$A:$AM,$B$4,MATCH($A34&amp;"*",RawResponses!$A$1:$AM$1,0))="","",INDEX(RawResponses!$A:$AM,$B$4,MATCH($A34&amp;"*",RawResponses!$A$1:$AM$1,0))),"")</f>
        <v/>
      </c>
      <c r="E34" s="16">
        <f>LEFT(B34,1)</f>
        <v/>
      </c>
      <c r="F34" s="16">
        <f>LEFT(C34,1)</f>
        <v/>
      </c>
      <c r="G34" s="16">
        <f>LEFT(D34,1)</f>
        <v/>
      </c>
    </row>
    <row r="35">
      <c r="A35" s="16" t="inlineStr">
        <is>
          <t>[Q9]</t>
        </is>
      </c>
      <c r="B35" s="16">
        <f>IFERROR(IF(INDEX(RawResponses!$A:$AM,$B$2,MATCH($A35&amp;"*",RawResponses!$A$1:$AM$1,0))="","",INDEX(RawResponses!$A:$AM,$B$2,MATCH($A35&amp;"*",RawResponses!$A$1:$AM$1,0))),"")</f>
        <v/>
      </c>
      <c r="C35" s="16">
        <f>IFERROR(IF(INDEX(RawResponses!$A:$AM,$B$3,MATCH($A35&amp;"*",RawResponses!$A$1:$AM$1,0))="","",INDEX(RawResponses!$A:$AM,$B$3,MATCH($A35&amp;"*",RawResponses!$A$1:$AM$1,0))),"")</f>
        <v/>
      </c>
      <c r="D35" s="16">
        <f>IFERROR(IF(INDEX(RawResponses!$A:$AM,$B$4,MATCH($A35&amp;"*",RawResponses!$A$1:$AM$1,0))="","",INDEX(RawResponses!$A:$AM,$B$4,MATCH($A35&amp;"*",RawResponses!$A$1:$AM$1,0))),"")</f>
        <v/>
      </c>
      <c r="E35" s="16">
        <f>LEFT(B35,1)</f>
        <v/>
      </c>
      <c r="F35" s="16">
        <f>LEFT(C35,1)</f>
        <v/>
      </c>
      <c r="G35" s="16">
        <f>LEFT(D35,1)</f>
        <v/>
      </c>
    </row>
    <row r="36">
      <c r="A36" s="16" t="inlineStr">
        <is>
          <t>[Q13b]</t>
        </is>
      </c>
      <c r="B36" s="16">
        <f>IFERROR(IF(INDEX(RawResponses!$A:$AM,$B$2,MATCH($A36&amp;"*",RawResponses!$A$1:$AM$1,0))="","",INDEX(RawResponses!$A:$AM,$B$2,MATCH($A36&amp;"*",RawResponses!$A$1:$AM$1,0))),"")</f>
        <v/>
      </c>
      <c r="C36" s="16">
        <f>IFERROR(IF(INDEX(RawResponses!$A:$AM,$B$3,MATCH($A36&amp;"*",RawResponses!$A$1:$AM$1,0))="","",INDEX(RawResponses!$A:$AM,$B$3,MATCH($A36&amp;"*",RawResponses!$A$1:$AM$1,0))),"")</f>
        <v/>
      </c>
      <c r="D36" s="16">
        <f>IFERROR(IF(INDEX(RawResponses!$A:$AM,$B$4,MATCH($A36&amp;"*",RawResponses!$A$1:$AM$1,0))="","",INDEX(RawResponses!$A:$AM,$B$4,MATCH($A36&amp;"*",RawResponses!$A$1:$AM$1,0))),"")</f>
        <v/>
      </c>
      <c r="E36" s="16">
        <f>LEFT(B36,1)</f>
        <v/>
      </c>
      <c r="F36" s="16">
        <f>LEFT(C36,1)</f>
        <v/>
      </c>
      <c r="G36" s="16">
        <f>LEFT(D36,1)</f>
        <v/>
      </c>
    </row>
    <row r="37">
      <c r="A37" s="16" t="inlineStr">
        <is>
          <t>[Q13c]</t>
        </is>
      </c>
      <c r="B37" s="16">
        <f>IFERROR(IF(INDEX(RawResponses!$A:$AM,$B$2,MATCH($A37&amp;"*",RawResponses!$A$1:$AM$1,0))="","",INDEX(RawResponses!$A:$AM,$B$2,MATCH($A37&amp;"*",RawResponses!$A$1:$AM$1,0))),"")</f>
        <v/>
      </c>
      <c r="C37" s="16">
        <f>IFERROR(IF(INDEX(RawResponses!$A:$AM,$B$3,MATCH($A37&amp;"*",RawResponses!$A$1:$AM$1,0))="","",INDEX(RawResponses!$A:$AM,$B$3,MATCH($A37&amp;"*",RawResponses!$A$1:$AM$1,0))),"")</f>
        <v/>
      </c>
      <c r="D37" s="16">
        <f>IFERROR(IF(INDEX(RawResponses!$A:$AM,$B$4,MATCH($A37&amp;"*",RawResponses!$A$1:$AM$1,0))="","",INDEX(RawResponses!$A:$AM,$B$4,MATCH($A37&amp;"*",RawResponses!$A$1:$AM$1,0))),"")</f>
        <v/>
      </c>
      <c r="E37" s="16">
        <f>LEFT(B37,1)</f>
        <v/>
      </c>
      <c r="F37" s="16">
        <f>LEFT(C37,1)</f>
        <v/>
      </c>
      <c r="G37" s="16">
        <f>LEFT(D37,1)</f>
        <v/>
      </c>
    </row>
    <row r="38">
      <c r="A38" s="16" t="inlineStr">
        <is>
          <t>[Q14]</t>
        </is>
      </c>
      <c r="B38" s="16">
        <f>IFERROR(IF(INDEX(RawResponses!$A:$AM,$B$2,MATCH($A38&amp;"*",RawResponses!$A$1:$AM$1,0))="","",INDEX(RawResponses!$A:$AM,$B$2,MATCH($A38&amp;"*",RawResponses!$A$1:$AM$1,0))),"")</f>
        <v/>
      </c>
      <c r="C38" s="16">
        <f>IFERROR(IF(INDEX(RawResponses!$A:$AM,$B$3,MATCH($A38&amp;"*",RawResponses!$A$1:$AM$1,0))="","",INDEX(RawResponses!$A:$AM,$B$3,MATCH($A38&amp;"*",RawResponses!$A$1:$AM$1,0))),"")</f>
        <v/>
      </c>
      <c r="D38" s="16">
        <f>IFERROR(IF(INDEX(RawResponses!$A:$AM,$B$4,MATCH($A38&amp;"*",RawResponses!$A$1:$AM$1,0))="","",INDEX(RawResponses!$A:$AM,$B$4,MATCH($A38&amp;"*",RawResponses!$A$1:$AM$1,0))),"")</f>
        <v/>
      </c>
      <c r="E38" s="16">
        <f>LEFT(B38,1)</f>
        <v/>
      </c>
      <c r="F38" s="16">
        <f>LEFT(C38,1)</f>
        <v/>
      </c>
      <c r="G38" s="16">
        <f>LEFT(D38,1)</f>
        <v/>
      </c>
    </row>
    <row r="39">
      <c r="A39" s="16" t="inlineStr">
        <is>
          <t>[Gap-form notes]</t>
        </is>
      </c>
      <c r="B39" s="16">
        <f>IFERROR(IF(INDEX(RawResponses!$A:$AM,$B$2,MATCH($A39&amp;"*",RawResponses!$A$1:$AM$1,0))="","",INDEX(RawResponses!$A:$AM,$B$2,MATCH($A39&amp;"*",RawResponses!$A$1:$AM$1,0))),"")</f>
        <v/>
      </c>
      <c r="C39" s="16">
        <f>IFERROR(IF(INDEX(RawResponses!$A:$AM,$B$3,MATCH($A39&amp;"*",RawResponses!$A$1:$AM$1,0))="","",INDEX(RawResponses!$A:$AM,$B$3,MATCH($A39&amp;"*",RawResponses!$A$1:$AM$1,0))),"")</f>
        <v/>
      </c>
      <c r="D39" s="16">
        <f>IFERROR(IF(INDEX(RawResponses!$A:$AM,$B$4,MATCH($A39&amp;"*",RawResponses!$A$1:$AM$1,0))="","",INDEX(RawResponses!$A:$AM,$B$4,MATCH($A39&amp;"*",RawResponses!$A$1:$AM$1,0))),"")</f>
        <v/>
      </c>
    </row>
    <row r="40">
      <c r="A40" s="16" t="inlineStr">
        <is>
          <t>[Q13d]</t>
        </is>
      </c>
      <c r="B40" s="16">
        <f>IFERROR(IF(INDEX(RawResponses!$A:$AN,$B$2,MATCH($A40&amp;"*",RawResponses!$A$1:$AN$1,0))="","",INDEX(RawResponses!$A:$AN,$B$2,MATCH($A40&amp;"*",RawResponses!$A$1:$AN$1,0))),"")</f>
        <v/>
      </c>
      <c r="C40" s="16">
        <f>IFERROR(IF(INDEX(RawResponses!$A:$AN,$B$3,MATCH($A40&amp;"*",RawResponses!$A$1:$AN$1,0))="","",INDEX(RawResponses!$A:$AN,$B$3,MATCH($A40&amp;"*",RawResponses!$A$1:$AN$1,0))),"")</f>
        <v/>
      </c>
      <c r="D40" s="16">
        <f>IFERROR(IF(INDEX(RawResponses!$A:$AN,$B$4,MATCH($A40&amp;"*",RawResponses!$A$1:$AN$1,0))="","",INDEX(RawResponses!$A:$AN,$B$4,MATCH($A40&amp;"*",RawResponses!$A$1:$AN$1,0))),"")</f>
        <v/>
      </c>
      <c r="E40" s="16">
        <f>LEFT(B40,1)</f>
        <v/>
      </c>
      <c r="F40" s="16">
        <f>LEFT(C40,1)</f>
        <v/>
      </c>
      <c r="G40" s="16">
        <f>LEFT(D40,1)</f>
        <v/>
      </c>
    </row>
    <row r="41">
      <c r="A41" t="inlineStr">
        <is>
          <t>[R5.1] Time in Glen Waverley in person</t>
        </is>
      </c>
      <c r="B41">
        <f>IFERROR(IF(INDEX(RawResponses!$A:$BE,$B$2,MATCH($A41&amp;"*",RawResponses!$A$1:$BE$1,0))="","",INDEX(RawResponses!$A:$BE,$B$2,MATCH($A41&amp;"*",RawResponses!$A$1:$BE$1,0))),"")</f>
        <v/>
      </c>
      <c r="C41">
        <f>IFERROR(IF(INDEX(RawResponses!$A:$BE,$B$3,MATCH($A41&amp;"*",RawResponses!$A$1:$BE$1,0))="","",INDEX(RawResponses!$A:$BE,$B$3,MATCH($A41&amp;"*",RawResponses!$A$1:$BE$1,0))),"")</f>
        <v/>
      </c>
      <c r="D41">
        <f>IFERROR(IF(INDEX(RawResponses!$A:$BE,$B$4,MATCH($A41&amp;"*",RawResponses!$A$1:$BE$1,0))="","",INDEX(RawResponses!$A:$BE,$B$4,MATCH($A41&amp;"*",RawResponses!$A$1:$BE$1,0))),"")</f>
        <v/>
      </c>
      <c r="E41">
        <f>LEFT(B41,1)</f>
        <v/>
      </c>
      <c r="F41">
        <f>LEFT(C41,1)</f>
        <v/>
      </c>
      <c r="G41">
        <f>LEFT(D41,1)</f>
        <v/>
      </c>
    </row>
    <row r="42">
      <c r="A42" t="inlineStr">
        <is>
          <t>[R5.2] GW drive: firm limit</t>
        </is>
      </c>
      <c r="B42">
        <f>IFERROR(IF(INDEX(RawResponses!$A:$BE,$B$2,MATCH($A42&amp;"*",RawResponses!$A$1:$BE$1,0))="","",INDEX(RawResponses!$A:$BE,$B$2,MATCH($A42&amp;"*",RawResponses!$A$1:$BE$1,0))),"")</f>
        <v/>
      </c>
      <c r="C42">
        <f>IFERROR(IF(INDEX(RawResponses!$A:$BE,$B$3,MATCH($A42&amp;"*",RawResponses!$A$1:$BE$1,0))="","",INDEX(RawResponses!$A:$BE,$B$3,MATCH($A42&amp;"*",RawResponses!$A$1:$BE$1,0))),"")</f>
        <v/>
      </c>
      <c r="D42">
        <f>IFERROR(IF(INDEX(RawResponses!$A:$BE,$B$4,MATCH($A42&amp;"*",RawResponses!$A$1:$BE$1,0))="","",INDEX(RawResponses!$A:$BE,$B$4,MATCH($A42&amp;"*",RawResponses!$A$1:$BE$1,0))),"")</f>
        <v/>
      </c>
      <c r="E42">
        <f>LEFT(B42,1)</f>
        <v/>
      </c>
      <c r="F42">
        <f>LEFT(C42,1)</f>
        <v/>
      </c>
      <c r="G42">
        <f>LEFT(D42,1)</f>
        <v/>
      </c>
    </row>
    <row r="43">
      <c r="A43" t="inlineStr">
        <is>
          <t>[R5.3] GW drive: preferred</t>
        </is>
      </c>
      <c r="B43">
        <f>IFERROR(IF(INDEX(RawResponses!$A:$BE,$B$2,MATCH($A43&amp;"*",RawResponses!$A$1:$BE$1,0))="","",INDEX(RawResponses!$A:$BE,$B$2,MATCH($A43&amp;"*",RawResponses!$A$1:$BE$1,0))),"")</f>
        <v/>
      </c>
      <c r="C43">
        <f>IFERROR(IF(INDEX(RawResponses!$A:$BE,$B$3,MATCH($A43&amp;"*",RawResponses!$A$1:$BE$1,0))="","",INDEX(RawResponses!$A:$BE,$B$3,MATCH($A43&amp;"*",RawResponses!$A$1:$BE$1,0))),"")</f>
        <v/>
      </c>
      <c r="D43">
        <f>IFERROR(IF(INDEX(RawResponses!$A:$BE,$B$4,MATCH($A43&amp;"*",RawResponses!$A$1:$BE$1,0))="","",INDEX(RawResponses!$A:$BE,$B$4,MATCH($A43&amp;"*",RawResponses!$A$1:$BE$1,0))),"")</f>
        <v/>
      </c>
      <c r="E43">
        <f>LEFT(B43,1)</f>
        <v/>
      </c>
      <c r="F43">
        <f>LEFT(C43,1)</f>
        <v/>
      </c>
      <c r="G43">
        <f>LEFT(D43,1)</f>
        <v/>
      </c>
    </row>
    <row r="44">
      <c r="A44" t="inlineStr">
        <is>
          <t>[R5.4] ED drive: firm limit</t>
        </is>
      </c>
      <c r="B44">
        <f>IFERROR(IF(INDEX(RawResponses!$A:$BE,$B$2,MATCH($A44&amp;"*",RawResponses!$A$1:$BE$1,0))="","",INDEX(RawResponses!$A:$BE,$B$2,MATCH($A44&amp;"*",RawResponses!$A$1:$BE$1,0))),"")</f>
        <v/>
      </c>
      <c r="C44">
        <f>IFERROR(IF(INDEX(RawResponses!$A:$BE,$B$3,MATCH($A44&amp;"*",RawResponses!$A$1:$BE$1,0))="","",INDEX(RawResponses!$A:$BE,$B$3,MATCH($A44&amp;"*",RawResponses!$A$1:$BE$1,0))),"")</f>
        <v/>
      </c>
      <c r="D44">
        <f>IFERROR(IF(INDEX(RawResponses!$A:$BE,$B$4,MATCH($A44&amp;"*",RawResponses!$A$1:$BE$1,0))="","",INDEX(RawResponses!$A:$BE,$B$4,MATCH($A44&amp;"*",RawResponses!$A$1:$BE$1,0))),"")</f>
        <v/>
      </c>
      <c r="E44">
        <f>LEFT(B44,1)</f>
        <v/>
      </c>
      <c r="F44">
        <f>LEFT(C44,1)</f>
        <v/>
      </c>
      <c r="G44">
        <f>LEFT(D44,1)</f>
        <v/>
      </c>
    </row>
    <row r="45">
      <c r="A45" t="inlineStr">
        <is>
          <t>[R5.5] Community place used most</t>
        </is>
      </c>
      <c r="B45">
        <f>IFERROR(IF(INDEX(RawResponses!$A:$BE,$B$2,MATCH($A45&amp;"*",RawResponses!$A$1:$BE$1,0))="","",INDEX(RawResponses!$A:$BE,$B$2,MATCH($A45&amp;"*",RawResponses!$A$1:$BE$1,0))),"")</f>
        <v/>
      </c>
      <c r="C45">
        <f>IFERROR(IF(INDEX(RawResponses!$A:$BE,$B$3,MATCH($A45&amp;"*",RawResponses!$A$1:$BE$1,0))="","",INDEX(RawResponses!$A:$BE,$B$3,MATCH($A45&amp;"*",RawResponses!$A$1:$BE$1,0))),"")</f>
        <v/>
      </c>
      <c r="D45">
        <f>IFERROR(IF(INDEX(RawResponses!$A:$BE,$B$4,MATCH($A45&amp;"*",RawResponses!$A$1:$BE$1,0))="","",INDEX(RawResponses!$A:$BE,$B$4,MATCH($A45&amp;"*",RawResponses!$A$1:$BE$1,0))),"")</f>
        <v/>
      </c>
      <c r="E45">
        <f>LEFT(B45,1)</f>
        <v/>
      </c>
      <c r="F45">
        <f>LEFT(C45,1)</f>
        <v/>
      </c>
      <c r="G45">
        <f>LEFT(D45,1)</f>
        <v/>
      </c>
    </row>
    <row r="46">
      <c r="A46" t="inlineStr">
        <is>
          <t>[R5.6] Community place: longest regular drive</t>
        </is>
      </c>
      <c r="B46">
        <f>IFERROR(IF(INDEX(RawResponses!$A:$BE,$B$2,MATCH($A46&amp;"*",RawResponses!$A$1:$BE$1,0))="","",INDEX(RawResponses!$A:$BE,$B$2,MATCH($A46&amp;"*",RawResponses!$A$1:$BE$1,0))),"")</f>
        <v/>
      </c>
      <c r="C46">
        <f>IFERROR(IF(INDEX(RawResponses!$A:$BE,$B$3,MATCH($A46&amp;"*",RawResponses!$A$1:$BE$1,0))="","",INDEX(RawResponses!$A:$BE,$B$3,MATCH($A46&amp;"*",RawResponses!$A$1:$BE$1,0))),"")</f>
        <v/>
      </c>
      <c r="D46">
        <f>IFERROR(IF(INDEX(RawResponses!$A:$BE,$B$4,MATCH($A46&amp;"*",RawResponses!$A$1:$BE$1,0))="","",INDEX(RawResponses!$A:$BE,$B$4,MATCH($A46&amp;"*",RawResponses!$A$1:$BE$1,0))),"")</f>
        <v/>
      </c>
      <c r="E46">
        <f>LEFT(B46,1)</f>
        <v/>
      </c>
      <c r="F46">
        <f>LEFT(C46,1)</f>
        <v/>
      </c>
      <c r="G46">
        <f>LEFT(D46,1)</f>
        <v/>
      </c>
    </row>
    <row r="47">
      <c r="A47" t="inlineStr">
        <is>
          <t>[R5.7] Church: particular denomination</t>
        </is>
      </c>
      <c r="B47">
        <f>IFERROR(IF(INDEX(RawResponses!$A:$BE,$B$2,MATCH($A47&amp;"*",RawResponses!$A$1:$BE$1,0))="","",INDEX(RawResponses!$A:$BE,$B$2,MATCH($A47&amp;"*",RawResponses!$A$1:$BE$1,0))),"")</f>
        <v/>
      </c>
      <c r="C47">
        <f>IFERROR(IF(INDEX(RawResponses!$A:$BE,$B$3,MATCH($A47&amp;"*",RawResponses!$A$1:$BE$1,0))="","",INDEX(RawResponses!$A:$BE,$B$3,MATCH($A47&amp;"*",RawResponses!$A$1:$BE$1,0))),"")</f>
        <v/>
      </c>
      <c r="D47">
        <f>IFERROR(IF(INDEX(RawResponses!$A:$BE,$B$4,MATCH($A47&amp;"*",RawResponses!$A$1:$BE$1,0))="","",INDEX(RawResponses!$A:$BE,$B$4,MATCH($A47&amp;"*",RawResponses!$A$1:$BE$1,0))),"")</f>
        <v/>
      </c>
      <c r="E47">
        <f>LEFT(B47,1)</f>
        <v/>
      </c>
      <c r="F47">
        <f>LEFT(C47,1)</f>
        <v/>
      </c>
      <c r="G47">
        <f>LEFT(D47,1)</f>
        <v/>
      </c>
    </row>
    <row r="48">
      <c r="A48" t="inlineStr">
        <is>
          <t>[R5 Notes]</t>
        </is>
      </c>
      <c r="B48">
        <f>IFERROR(IF(INDEX(RawResponses!$A:$BE,$B$2,MATCH($A48&amp;"*",RawResponses!$A$1:$BE$1,0))="","",INDEX(RawResponses!$A:$BE,$B$2,MATCH($A48&amp;"*",RawResponses!$A$1:$BE$1,0))),"")</f>
        <v/>
      </c>
      <c r="C48">
        <f>IFERROR(IF(INDEX(RawResponses!$A:$BE,$B$3,MATCH($A48&amp;"*",RawResponses!$A$1:$BE$1,0))="","",INDEX(RawResponses!$A:$BE,$B$3,MATCH($A48&amp;"*",RawResponses!$A$1:$BE$1,0))),"")</f>
        <v/>
      </c>
      <c r="D48">
        <f>IFERROR(IF(INDEX(RawResponses!$A:$BE,$B$4,MATCH($A48&amp;"*",RawResponses!$A$1:$BE$1,0))="","",INDEX(RawResponses!$A:$BE,$B$4,MATCH($A48&amp;"*",RawResponses!$A$1:$BE$1,0))),"")</f>
        <v/>
      </c>
    </row>
    <row r="49">
      <c r="A49" t="inlineStr">
        <is>
          <t>[R6.1] Separation: least that would work</t>
        </is>
      </c>
      <c r="B49">
        <f>IFERROR(IF(INDEX(RawResponses!$A:$BE,$B$2,MATCH($A49&amp;"*",RawResponses!$A$1:$BE$1,0))="","",INDEX(RawResponses!$A:$BE,$B$2,MATCH($A49&amp;"*",RawResponses!$A$1:$BE$1,0))),"")</f>
        <v/>
      </c>
      <c r="C49">
        <f>IFERROR(IF(INDEX(RawResponses!$A:$BE,$B$3,MATCH($A49&amp;"*",RawResponses!$A$1:$BE$1,0))="","",INDEX(RawResponses!$A:$BE,$B$3,MATCH($A49&amp;"*",RawResponses!$A$1:$BE$1,0))),"")</f>
        <v/>
      </c>
      <c r="D49">
        <f>IFERROR(IF(INDEX(RawResponses!$A:$BE,$B$4,MATCH($A49&amp;"*",RawResponses!$A$1:$BE$1,0))="","",INDEX(RawResponses!$A:$BE,$B$4,MATCH($A49&amp;"*",RawResponses!$A$1:$BE$1,0))),"")</f>
        <v/>
      </c>
      <c r="E49">
        <f>LEFT(B49,1)</f>
        <v/>
      </c>
      <c r="F49">
        <f>LEFT(C49,1)</f>
        <v/>
      </c>
      <c r="G49">
        <f>LEFT(D49,1)</f>
        <v/>
      </c>
    </row>
    <row r="50">
      <c r="A50" t="inlineStr">
        <is>
          <t>[R6.2] Separation: most that still feels like one household</t>
        </is>
      </c>
      <c r="B50">
        <f>IFERROR(IF(INDEX(RawResponses!$A:$BE,$B$2,MATCH($A50&amp;"*",RawResponses!$A$1:$BE$1,0))="","",INDEX(RawResponses!$A:$BE,$B$2,MATCH($A50&amp;"*",RawResponses!$A$1:$BE$1,0))),"")</f>
        <v/>
      </c>
      <c r="C50">
        <f>IFERROR(IF(INDEX(RawResponses!$A:$BE,$B$3,MATCH($A50&amp;"*",RawResponses!$A$1:$BE$1,0))="","",INDEX(RawResponses!$A:$BE,$B$3,MATCH($A50&amp;"*",RawResponses!$A$1:$BE$1,0))),"")</f>
        <v/>
      </c>
      <c r="D50">
        <f>IFERROR(IF(INDEX(RawResponses!$A:$BE,$B$4,MATCH($A50&amp;"*",RawResponses!$A$1:$BE$1,0))="","",INDEX(RawResponses!$A:$BE,$B$4,MATCH($A50&amp;"*",RawResponses!$A$1:$BE$1,0))),"")</f>
        <v/>
      </c>
      <c r="E50">
        <f>LEFT(B50,1)</f>
        <v/>
      </c>
      <c r="F50">
        <f>LEFT(C50,1)</f>
        <v/>
      </c>
      <c r="G50">
        <f>LEFT(D50,1)</f>
        <v/>
      </c>
    </row>
    <row r="51">
      <c r="A51" t="inlineStr">
        <is>
          <t>[R6.3] Separation: importance of having it already</t>
        </is>
      </c>
      <c r="B51">
        <f>IFERROR(IF(INDEX(RawResponses!$A:$BE,$B$2,MATCH($A51&amp;"*",RawResponses!$A$1:$BE$1,0))="","",INDEX(RawResponses!$A:$BE,$B$2,MATCH($A51&amp;"*",RawResponses!$A$1:$BE$1,0))),"")</f>
        <v/>
      </c>
      <c r="C51">
        <f>IFERROR(IF(INDEX(RawResponses!$A:$BE,$B$3,MATCH($A51&amp;"*",RawResponses!$A$1:$BE$1,0))="","",INDEX(RawResponses!$A:$BE,$B$3,MATCH($A51&amp;"*",RawResponses!$A$1:$BE$1,0))),"")</f>
        <v/>
      </c>
      <c r="D51">
        <f>IFERROR(IF(INDEX(RawResponses!$A:$BE,$B$4,MATCH($A51&amp;"*",RawResponses!$A$1:$BE$1,0))="","",INDEX(RawResponses!$A:$BE,$B$4,MATCH($A51&amp;"*",RawResponses!$A$1:$BE$1,0))),"")</f>
        <v/>
      </c>
      <c r="E51">
        <f>LEFT(B51,1)</f>
        <v/>
      </c>
      <c r="F51">
        <f>LEFT(C51,1)</f>
        <v/>
      </c>
      <c r="G51">
        <f>LEFT(D51,1)</f>
        <v/>
      </c>
    </row>
    <row r="52">
      <c r="A52" t="inlineStr">
        <is>
          <t>[R6.4] Mobility: must-have in 10-15 years</t>
        </is>
      </c>
      <c r="B52">
        <f>IFERROR(IF(INDEX(RawResponses!$A:$BE,$B$2,MATCH($A52&amp;"*",RawResponses!$A$1:$BE$1,0))="","",INDEX(RawResponses!$A:$BE,$B$2,MATCH($A52&amp;"*",RawResponses!$A$1:$BE$1,0))),"")</f>
        <v/>
      </c>
      <c r="C52">
        <f>IFERROR(IF(INDEX(RawResponses!$A:$BE,$B$3,MATCH($A52&amp;"*",RawResponses!$A$1:$BE$1,0))="","",INDEX(RawResponses!$A:$BE,$B$3,MATCH($A52&amp;"*",RawResponses!$A$1:$BE$1,0))),"")</f>
        <v/>
      </c>
      <c r="D52">
        <f>IFERROR(IF(INDEX(RawResponses!$A:$BE,$B$4,MATCH($A52&amp;"*",RawResponses!$A$1:$BE$1,0))="","",INDEX(RawResponses!$A:$BE,$B$4,MATCH($A52&amp;"*",RawResponses!$A$1:$BE$1,0))),"")</f>
        <v/>
      </c>
      <c r="E52">
        <f>LEFT(B52,1)</f>
        <v/>
      </c>
      <c r="F52">
        <f>LEFT(C52,1)</f>
        <v/>
      </c>
      <c r="G52">
        <f>LEFT(D52,1)</f>
        <v/>
      </c>
    </row>
    <row r="53">
      <c r="A53" t="inlineStr">
        <is>
          <t>[R6.5a] Outdoor space wanted</t>
        </is>
      </c>
      <c r="B53">
        <f>IFERROR(IF(INDEX(RawResponses!$A:$BE,$B$2,MATCH($A53&amp;"*",RawResponses!$A$1:$BE$1,0))="","",INDEX(RawResponses!$A:$BE,$B$2,MATCH($A53&amp;"*",RawResponses!$A$1:$BE$1,0))),"")</f>
        <v/>
      </c>
      <c r="C53">
        <f>IFERROR(IF(INDEX(RawResponses!$A:$BE,$B$3,MATCH($A53&amp;"*",RawResponses!$A$1:$BE$1,0))="","",INDEX(RawResponses!$A:$BE,$B$3,MATCH($A53&amp;"*",RawResponses!$A$1:$BE$1,0))),"")</f>
        <v/>
      </c>
      <c r="D53">
        <f>IFERROR(IF(INDEX(RawResponses!$A:$BE,$B$4,MATCH($A53&amp;"*",RawResponses!$A$1:$BE$1,0))="","",INDEX(RawResponses!$A:$BE,$B$4,MATCH($A53&amp;"*",RawResponses!$A$1:$BE$1,0))),"")</f>
        <v/>
      </c>
      <c r="E53">
        <f>LEFT(B53,1)</f>
        <v/>
      </c>
      <c r="F53">
        <f>LEFT(C53,1)</f>
        <v/>
      </c>
      <c r="G53">
        <f>LEFT(D53,1)</f>
        <v/>
      </c>
    </row>
    <row r="54">
      <c r="A54" t="inlineStr">
        <is>
          <t>[R6.5b] Garden upkeep capacity</t>
        </is>
      </c>
      <c r="B54">
        <f>IFERROR(IF(INDEX(RawResponses!$A:$BE,$B$2,MATCH($A54&amp;"*",RawResponses!$A$1:$BE$1,0))="","",INDEX(RawResponses!$A:$BE,$B$2,MATCH($A54&amp;"*",RawResponses!$A$1:$BE$1,0))),"")</f>
        <v/>
      </c>
      <c r="C54">
        <f>IFERROR(IF(INDEX(RawResponses!$A:$BE,$B$3,MATCH($A54&amp;"*",RawResponses!$A$1:$BE$1,0))="","",INDEX(RawResponses!$A:$BE,$B$3,MATCH($A54&amp;"*",RawResponses!$A$1:$BE$1,0))),"")</f>
        <v/>
      </c>
      <c r="D54">
        <f>IFERROR(IF(INDEX(RawResponses!$A:$BE,$B$4,MATCH($A54&amp;"*",RawResponses!$A$1:$BE$1,0))="","",INDEX(RawResponses!$A:$BE,$B$4,MATCH($A54&amp;"*",RawResponses!$A$1:$BE$1,0))),"")</f>
        <v/>
      </c>
      <c r="E54">
        <f>LEFT(B54,1)</f>
        <v/>
      </c>
      <c r="F54">
        <f>LEFT(C54,1)</f>
        <v/>
      </c>
      <c r="G54">
        <f>LEFT(D54,1)</f>
        <v/>
      </c>
    </row>
    <row r="55">
      <c r="A55" t="inlineStr">
        <is>
          <t>[R6.6] Supermarket and GP from the front door</t>
        </is>
      </c>
      <c r="B55">
        <f>IFERROR(IF(INDEX(RawResponses!$A:$BE,$B$2,MATCH($A55&amp;"*",RawResponses!$A$1:$BE$1,0))="","",INDEX(RawResponses!$A:$BE,$B$2,MATCH($A55&amp;"*",RawResponses!$A$1:$BE$1,0))),"")</f>
        <v/>
      </c>
      <c r="C55">
        <f>IFERROR(IF(INDEX(RawResponses!$A:$BE,$B$3,MATCH($A55&amp;"*",RawResponses!$A$1:$BE$1,0))="","",INDEX(RawResponses!$A:$BE,$B$3,MATCH($A55&amp;"*",RawResponses!$A$1:$BE$1,0))),"")</f>
        <v/>
      </c>
      <c r="D55">
        <f>IFERROR(IF(INDEX(RawResponses!$A:$BE,$B$4,MATCH($A55&amp;"*",RawResponses!$A$1:$BE$1,0))="","",INDEX(RawResponses!$A:$BE,$B$4,MATCH($A55&amp;"*",RawResponses!$A$1:$BE$1,0))),"")</f>
        <v/>
      </c>
      <c r="E55">
        <f>LEFT(B55,1)</f>
        <v/>
      </c>
      <c r="F55">
        <f>LEFT(C55,1)</f>
        <v/>
      </c>
      <c r="G55">
        <f>LEFT(D55,1)</f>
        <v/>
      </c>
    </row>
    <row r="56">
      <c r="A56" t="inlineStr">
        <is>
          <t>[R6.7] Privacy: one thing that matters most</t>
        </is>
      </c>
      <c r="B56">
        <f>IFERROR(IF(INDEX(RawResponses!$A:$BE,$B$2,MATCH($A56&amp;"*",RawResponses!$A$1:$BE$1,0))="","",INDEX(RawResponses!$A:$BE,$B$2,MATCH($A56&amp;"*",RawResponses!$A$1:$BE$1,0))),"")</f>
        <v/>
      </c>
      <c r="C56">
        <f>IFERROR(IF(INDEX(RawResponses!$A:$BE,$B$3,MATCH($A56&amp;"*",RawResponses!$A$1:$BE$1,0))="","",INDEX(RawResponses!$A:$BE,$B$3,MATCH($A56&amp;"*",RawResponses!$A$1:$BE$1,0))),"")</f>
        <v/>
      </c>
      <c r="D56">
        <f>IFERROR(IF(INDEX(RawResponses!$A:$BE,$B$4,MATCH($A56&amp;"*",RawResponses!$A$1:$BE$1,0))="","",INDEX(RawResponses!$A:$BE,$B$4,MATCH($A56&amp;"*",RawResponses!$A$1:$BE$1,0))),"")</f>
        <v/>
      </c>
      <c r="E56">
        <f>LEFT(B56,1)</f>
        <v/>
      </c>
      <c r="F56">
        <f>LEFT(C56,1)</f>
        <v/>
      </c>
      <c r="G56">
        <f>LEFT(D56,1)</f>
        <v/>
      </c>
    </row>
    <row r="57">
      <c r="A57" t="inlineStr">
        <is>
          <t>[R6 Notes]</t>
        </is>
      </c>
      <c r="B57">
        <f>IFERROR(IF(INDEX(RawResponses!$A:$BE,$B$2,MATCH($A57&amp;"*",RawResponses!$A$1:$BE$1,0))="","",INDEX(RawResponses!$A:$BE,$B$2,MATCH($A57&amp;"*",RawResponses!$A$1:$BE$1,0))),"")</f>
        <v/>
      </c>
      <c r="C57">
        <f>IFERROR(IF(INDEX(RawResponses!$A:$BE,$B$3,MATCH($A57&amp;"*",RawResponses!$A$1:$BE$1,0))="","",INDEX(RawResponses!$A:$BE,$B$3,MATCH($A57&amp;"*",RawResponses!$A$1:$BE$1,0))),"")</f>
        <v/>
      </c>
      <c r="D57">
        <f>IFERROR(IF(INDEX(RawResponses!$A:$BE,$B$4,MATCH($A57&amp;"*",RawResponses!$A$1:$BE$1,0))="","",INDEX(RawResponses!$A:$BE,$B$4,MATCH($A57&amp;"*",RawResponses!$A$1:$BE$1,0))),"")</f>
        <v/>
      </c>
    </row>
    <row r="58">
      <c r="A58" t="inlineStr">
        <is>
          <t>Derived (B–D per person; E household)</t>
        </is>
      </c>
    </row>
    <row r="59">
      <c r="A59" t="inlineStr">
        <is>
          <t>GW firm limit (min)</t>
        </is>
      </c>
      <c r="B59">
        <f>IFERROR(IF(E42="","",CHOOSE(FIND(E42,"ABCDE"),25,35,45,60,90)),"")</f>
        <v/>
      </c>
      <c r="C59">
        <f>IFERROR(IF(F42="","",CHOOSE(FIND(F42,"ABCDE"),25,35,45,60,90)),"")</f>
        <v/>
      </c>
      <c r="D59">
        <f>IFERROR(IF(G42="","",CHOOSE(FIND(G42,"ABCDE"),25,35,45,60,90)),"")</f>
        <v/>
      </c>
      <c r="E59">
        <f>IF(COUNTIF(E42:G42,"?")&lt;3,"",MIN(B59:D59))</f>
        <v/>
      </c>
    </row>
    <row r="60">
      <c r="A60" t="inlineStr">
        <is>
          <t>GW preferred (min)</t>
        </is>
      </c>
      <c r="B60">
        <f>IFERROR(IF(E43="","",CHOOSE(FIND(E43,"ABCDE"),25,35,45,60,90)),"")</f>
        <v/>
      </c>
      <c r="C60">
        <f>IFERROR(IF(F43="","",CHOOSE(FIND(F43,"ABCDE"),25,35,45,60,90)),"")</f>
        <v/>
      </c>
      <c r="D60">
        <f>IFERROR(IF(G43="","",CHOOSE(FIND(G43,"ABCDE"),25,35,45,60,90)),"")</f>
        <v/>
      </c>
      <c r="E60">
        <f>IF(COUNTIF(E43:G43,"?")&lt;3,"",MIN(B60:D60))</f>
        <v/>
      </c>
    </row>
    <row r="61">
      <c r="A61" t="inlineStr">
        <is>
          <t>ED firm limit (min; blank = no limit)</t>
        </is>
      </c>
      <c r="B61">
        <f>IFERROR(IF(E44="","",CHOOSE(FIND(E44,"ABCDE"),15,20,30,45,"")),"")</f>
        <v/>
      </c>
      <c r="C61">
        <f>IFERROR(IF(F44="","",CHOOSE(FIND(F44,"ABCDE"),15,20,30,45,"")),"")</f>
        <v/>
      </c>
      <c r="D61">
        <f>IFERROR(IF(G44="","",CHOOSE(FIND(G44,"ABCDE"),15,20,30,45,"")),"")</f>
        <v/>
      </c>
      <c r="E61">
        <f>IF(COUNTIF(E44:G44,"?")&lt;3,"",IF(COUNT(B61:D61)=0,"No cap",MIN(B61:D61)))</f>
        <v/>
      </c>
    </row>
    <row r="62">
      <c r="A62" t="inlineStr">
        <is>
          <t>Community place index (grocery 1, temple 2, church 3, none 0)</t>
        </is>
      </c>
      <c r="B62">
        <f>IFERROR(IF(E45="","",CHOOSE(FIND(E45,"ABCDE"),1,2,3,0)),"")</f>
        <v/>
      </c>
      <c r="C62">
        <f>IFERROR(IF(F45="","",CHOOSE(FIND(F45,"ABCDE"),1,2,3,0)),"")</f>
        <v/>
      </c>
      <c r="D62">
        <f>IFERROR(IF(G45="","",CHOOSE(FIND(G45,"ABCDE"),1,2,3,0)),"")</f>
        <v/>
      </c>
    </row>
    <row r="63">
      <c r="A63" t="inlineStr">
        <is>
          <t>Community drive limit (min)</t>
        </is>
      </c>
      <c r="B63">
        <f>IFERROR(IF(E46="","",CHOOSE(FIND(E46,"ABCDE"),10,20,30,45,"")),"")</f>
        <v/>
      </c>
      <c r="C63">
        <f>IFERROR(IF(F46="","",CHOOSE(FIND(F46,"ABCDE"),10,20,30,45,"")),"")</f>
        <v/>
      </c>
      <c r="D63">
        <f>IFERROR(IF(G46="","",CHOOSE(FIND(G46,"ABCDE"),10,20,30,45,"")),"")</f>
        <v/>
      </c>
    </row>
    <row r="64">
      <c r="A64" t="inlineStr">
        <is>
          <t>Separation floor (1–4)</t>
        </is>
      </c>
      <c r="B64">
        <f>IFERROR(IF(E49="","",CHOOSE(FIND(E49,"ABCDE"),1,2,3,4)),"")</f>
        <v/>
      </c>
      <c r="C64">
        <f>IFERROR(IF(F49="","",CHOOSE(FIND(F49,"ABCDE"),1,2,3,4)),"")</f>
        <v/>
      </c>
      <c r="D64">
        <f>IFERROR(IF(G49="","",CHOOSE(FIND(G49,"ABCDE"),1,2,3,4)),"")</f>
        <v/>
      </c>
      <c r="E64">
        <f>IF(COUNTIF(E49:G49,"?")&lt;3,"",MAX(B64:D64))</f>
        <v/>
      </c>
    </row>
    <row r="65">
      <c r="A65" t="inlineStr">
        <is>
          <t>Separation ceiling (1–4)</t>
        </is>
      </c>
      <c r="B65">
        <f>IFERROR(IF(E50="","",CHOOSE(FIND(E50,"ABCDE"),1,2,3,4)),"")</f>
        <v/>
      </c>
      <c r="C65">
        <f>IFERROR(IF(F50="","",CHOOSE(FIND(F50,"ABCDE"),1,2,3,4)),"")</f>
        <v/>
      </c>
      <c r="D65">
        <f>IFERROR(IF(G50="","",CHOOSE(FIND(G50,"ABCDE"),1,2,3,4)),"")</f>
        <v/>
      </c>
      <c r="E65">
        <f>IF(COUNTIF(E50:G50,"?")&lt;3,"",MIN(B65:D65))</f>
        <v/>
      </c>
      <c r="F65">
        <f>IF(OR(E64="",E65=""),"",IF(E64&gt;E65,"CONFLICT: no layout suits everyone","OK"))</f>
        <v/>
      </c>
    </row>
    <row r="66">
      <c r="A66" t="inlineStr">
        <is>
          <t>Separation importance (3 Essential, 2 Important, 1 Nice to have)</t>
        </is>
      </c>
      <c r="B66">
        <f>IFERROR(IF(E51="","",CHOOSE(FIND(E51,"ABCDE"),3,2,1)),"")</f>
        <v/>
      </c>
      <c r="C66">
        <f>IFERROR(IF(F51="","",CHOOSE(FIND(F51,"ABCDE"),3,2,1)),"")</f>
        <v/>
      </c>
      <c r="D66">
        <f>IFERROR(IF(G51="","",CHOOSE(FIND(G51,"ABCDE"),3,2,1)),"")</f>
        <v/>
      </c>
      <c r="E66">
        <f>IF(COUNTIF(E51:G51,"?")&lt;3,"",MAX(B66:D66))</f>
        <v/>
      </c>
    </row>
    <row r="67">
      <c r="A67" t="inlineStr">
        <is>
          <t>Mobility must-have (0–3)</t>
        </is>
      </c>
      <c r="B67">
        <f>IFERROR(IF(E52="","",CHOOSE(FIND(E52,"ABCDE"),0,1,2,3)),"")</f>
        <v/>
      </c>
      <c r="C67">
        <f>IFERROR(IF(F52="","",CHOOSE(FIND(F52,"ABCDE"),0,1,2,3)),"")</f>
        <v/>
      </c>
      <c r="D67">
        <f>IFERROR(IF(G52="","",CHOOSE(FIND(G52,"ABCDE"),0,1,2,3)),"")</f>
        <v/>
      </c>
      <c r="E67">
        <f>IF(COUNTIF(E52:G52,"?")&lt;3,"",MAX(B67:D67))</f>
        <v/>
      </c>
    </row>
    <row r="68">
      <c r="A68" t="inlineStr">
        <is>
          <t>Garden preferred band (1–4)</t>
        </is>
      </c>
      <c r="B68">
        <f>IFERROR(IF(E53="","",CHOOSE(FIND(E53,"ABCDE"),1,2,3,4)),"")</f>
        <v/>
      </c>
      <c r="C68">
        <f>IFERROR(IF(F53="","",CHOOSE(FIND(F53,"ABCDE"),1,2,3,4)),"")</f>
        <v/>
      </c>
      <c r="D68">
        <f>IFERROR(IF(G53="","",CHOOSE(FIND(G53,"ABCDE"),1,2,3,4)),"")</f>
        <v/>
      </c>
      <c r="E68">
        <f>IF(COUNTIF(E53:G53,"?")&lt;3,"",MEDIAN(B68:D68))</f>
        <v/>
      </c>
    </row>
    <row r="69">
      <c r="A69" t="inlineStr">
        <is>
          <t>Garden capacity band (1–4)</t>
        </is>
      </c>
      <c r="B69">
        <f>IFERROR(IF(E54="","",CHOOSE(FIND(E54,"ABCDE"),1,2,3,4)),"")</f>
        <v/>
      </c>
      <c r="C69">
        <f>IFERROR(IF(F54="","",CHOOSE(FIND(F54,"ABCDE"),1,2,3,4)),"")</f>
        <v/>
      </c>
      <c r="D69">
        <f>IFERROR(IF(G54="","",CHOOSE(FIND(G54,"ABCDE"),1,2,3,4)),"")</f>
        <v/>
      </c>
      <c r="E69">
        <f>IF(COUNTIF(E54:G54,"?")&lt;3,"",MEDIAN(B69:D69))</f>
        <v/>
      </c>
    </row>
    <row r="70">
      <c r="A70" t="inlineStr">
        <is>
          <t>Front-door access (1 must walk … 4 drive up to 20 min)</t>
        </is>
      </c>
      <c r="B70">
        <f>IFERROR(IF(E55="","",CHOOSE(FIND(E55,"ABCDE"),1,2,3,4)),"")</f>
        <v/>
      </c>
      <c r="C70">
        <f>IFERROR(IF(F55="","",CHOOSE(FIND(F55,"ABCDE"),1,2,3,4)),"")</f>
        <v/>
      </c>
      <c r="D70">
        <f>IFERROR(IF(G55="","",CHOOSE(FIND(G55,"ABCDE"),1,2,3,4)),"")</f>
        <v/>
      </c>
      <c r="E70">
        <f>IF(COUNTIF(E55:G55,"?")&lt;3,"",MIN(B70:D70))</f>
        <v/>
      </c>
    </row>
    <row r="71">
      <c r="A71" t="inlineStr">
        <is>
          <t>Validation (R6.2 ≥ R6.1; R5.5/R5.6 and R5.5/R5.7 consistent)</t>
        </is>
      </c>
      <c r="B71">
        <f>IFERROR(IF(E45&amp;E46&amp;E47&amp;E49&amp;E50="","",IF(AND(LEN(E45&amp;E46&amp;E47&amp;E49&amp;E50)=5,E50&gt;=E49,IF(E45="D",E46="E",E46&lt;&gt;"E"),IF(E45="C",E47&lt;&gt;"C",E47="C")),"OK","Check")),"Check")</f>
        <v/>
      </c>
      <c r="C71">
        <f>IFERROR(IF(F45&amp;F46&amp;F47&amp;F49&amp;F50="","",IF(AND(LEN(F45&amp;F46&amp;F47&amp;F49&amp;F50)=5,F50&gt;=F49,IF(F45="D",F46="E",F46&lt;&gt;"E"),IF(F45="C",F47&lt;&gt;"C",F47="C")),"OK","Check")),"Check")</f>
        <v/>
      </c>
      <c r="D71">
        <f>IFERROR(IF(G45&amp;G46&amp;G47&amp;G49&amp;G50="","",IF(AND(LEN(G45&amp;G46&amp;G47&amp;G49&amp;G50)=5,G50&gt;=G49,IF(G45="D",G46="E",G46&lt;&gt;"E"),IF(G45="C",G47&lt;&gt;"C",G47="C")),"OK","Check")),"Check")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Filter</t>
        </is>
      </c>
      <c r="B1" s="16" t="inlineStr">
        <is>
          <t>Strictest Constraint</t>
        </is>
      </c>
      <c r="C1" s="16" t="inlineStr">
        <is>
          <t>Notes</t>
        </is>
      </c>
      <c r="D1" s="16" t="inlineStr">
        <is>
          <t>Survey-derived value (reference only)</t>
        </is>
      </c>
    </row>
    <row r="2" ht="15.75" customHeight="1" s="15">
      <c r="A2" s="16" t="inlineStr">
        <is>
          <t>Q3 Total budget</t>
        </is>
      </c>
      <c r="B2" s="16" t="n">
        <v>1500000</v>
      </c>
      <c r="C2" s="16" t="inlineStr">
        <is>
          <t>Confirmed family decision 27 Oct 2026: budget cap set to $1,500,000 maximum purchase price (excluding transaction &amp; moving costs). Replaces survey strictest of $1,250,000.</t>
        </is>
      </c>
      <c r="D2" s="22" t="n">
        <v>1250000</v>
      </c>
    </row>
    <row r="3" ht="15.75" customHeight="1" s="15">
      <c r="A3" s="16" t="inlineStr">
        <is>
          <t>Total acquisition ceiling (Price + 6% costs)</t>
        </is>
      </c>
      <c r="B3" s="16">
        <f>B2 * (1 + Settings!B6)</f>
        <v/>
      </c>
      <c r="C3" s="16" t="inlineStr">
        <is>
          <t>Total outlay cap ($1,590,000) including 6% stamp duty/conveyancing/moving allowance on $1,500,000 purchase price.</t>
        </is>
      </c>
    </row>
    <row r="4" ht="15.75" customHeight="1" s="15">
      <c r="A4" s="16" t="inlineStr">
        <is>
          <t>Q4/Q4b Max drive to GW</t>
        </is>
      </c>
      <c r="B4" s="16" t="n">
        <v>90</v>
      </c>
      <c r="C4" s="16" t="inlineStr">
        <is>
          <t>Family decision 26 Oct 2026: hard max 90 min (60 min preferred); a train option is now preferred, not required (see row 9, changed by NJD, family to confirm). Replaces survey strictest of 25 min (Mum/Me); Dad said up to 75.</t>
        </is>
      </c>
      <c r="D4" s="16">
        <f>MIN(IF(CleanedAnswers!E8="D",IF(ISNUMBER(CleanedAnswers!B9),CleanedAnswers!B9,999),IFERROR(CHOOSE(MATCH(CleanedAnswers!E8,{"A","B","C"},0),15,25,35),999)),IF(CleanedAnswers!F8="D",IF(ISNUMBER(CleanedAnswers!C9),CleanedAnswers!C9,999),IFERROR(CHOOSE(MATCH(CleanedAnswers!F8,{"A","B","C"},0),15,25,35),999)),IF(CleanedAnswers!G8="D",IF(ISNUMBER(CleanedAnswers!D9),CleanedAnswers!D9,999),IFERROR(CHOOSE(MATCH(CleanedAnswers!G8,{"A","B","C"},0),15,25,35),999)))</f>
        <v/>
      </c>
    </row>
    <row r="5" ht="15.75" customHeight="1" s="15">
      <c r="A5" s="16" t="inlineStr">
        <is>
          <t>Q5 Max drive to ED</t>
        </is>
      </c>
      <c r="B5" s="16" t="n">
        <v>90</v>
      </c>
      <c r="C5" s="16" t="inlineStr">
        <is>
          <t>Family decision 26 Oct 2026: hard cap 90 min, and ED time is also scored (SuburbScorecard column O). Replaces survey strictest of 20 min (Mum/Me); Dad said no limit.</t>
        </is>
      </c>
    </row>
    <row r="6" ht="15.75" customHeight="1" s="15">
      <c r="A6" s="16" t="inlineStr">
        <is>
          <t>Q6 Stairs</t>
        </is>
      </c>
      <c r="B6" s="16" t="inlineStr">
        <is>
          <t>Stairs allowed (single-level not required)</t>
        </is>
      </c>
      <c r="C6" s="22" t="inlineStr">
        <is>
          <t>CORRECTED 27 Oct 2026 by NJD: stairs are allowed, so this is no longer a hard filter. Previous value was the survey strictest answer (formula kept in D6).</t>
        </is>
      </c>
      <c r="D6" s="22">
        <f>IF(COUNTIF(CleanedAnswers!E11:G11, "A")&gt;0, "A — None at all (Single-level only)", "Check")</f>
        <v/>
      </c>
    </row>
    <row r="7" ht="15.75" customHeight="1" s="15">
      <c r="A7" s="16" t="inlineStr">
        <is>
          <t>Q7a/Q7b Living arrangement</t>
        </is>
      </c>
      <c r="B7" s="16" t="inlineStr">
        <is>
          <t>Needs discussion (Living arrangement undecided): D — Self-contained space</t>
        </is>
      </c>
    </row>
    <row r="8" ht="15.75" customHeight="1" s="15">
      <c r="A8" s="16" t="inlineStr">
        <is>
          <t>Q7 Garden</t>
        </is>
      </c>
      <c r="B8" s="16" t="inlineStr">
        <is>
          <t>Needs discussion (Depends — see notes)</t>
        </is>
      </c>
    </row>
    <row r="9" ht="15.75" customHeight="1" s="15">
      <c r="A9" s="16" t="inlineStr">
        <is>
          <t>Train option</t>
        </is>
      </c>
      <c r="B9" s="16" t="inlineStr">
        <is>
          <t>Preferred, not required (scored via SuburbScorecard column S)</t>
        </is>
      </c>
      <c r="C9" s="16" t="inlineStr">
        <is>
          <t>CHANGED 26 Oct 2026 by NJD from 'Required (a train station in or at the edge of the suburb)', which had been recorded as a family decision earlier that day. Family to confirm. Reason: a hard rule removes bush and coastal areas that have not been viewed. Column AB on SuburbScorecard: Yes / No.</t>
        </is>
      </c>
    </row>
    <row r="10" ht="15.75" customHeight="1" s="15">
      <c r="A10" s="16" t="inlineStr">
        <is>
          <t>Drive-time basis</t>
        </is>
      </c>
      <c r="B10" s="16" t="inlineStr">
        <is>
          <t>Google Maps drive time, 'leave now' typical traffic, looked up 26 Oct 2026</t>
        </is>
      </c>
      <c r="C10" s="16" t="inlineStr">
        <is>
          <t>Not tested at peak hour. J = to Glen Waverley (suburb centre). K = to the nearest 24-hr public ED listed in SuburbScorecard column AD. Train Yes/No is from recall and sheet notes, not checked against timetables.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Question</t>
        </is>
      </c>
      <c r="B1" s="16" t="inlineStr">
        <is>
          <t>Mum Code</t>
        </is>
      </c>
      <c r="C1" s="16" t="inlineStr">
        <is>
          <t>Dad Code</t>
        </is>
      </c>
      <c r="D1" s="16" t="inlineStr">
        <is>
          <t>Me Code</t>
        </is>
      </c>
      <c r="E1" s="16" t="inlineStr">
        <is>
          <t>Mum Score</t>
        </is>
      </c>
      <c r="F1" s="16" t="inlineStr">
        <is>
          <t>Dad Score</t>
        </is>
      </c>
      <c r="G1" s="16" t="inlineStr">
        <is>
          <t>Me Score</t>
        </is>
      </c>
      <c r="H1" s="16" t="inlineStr">
        <is>
          <t>Mum Norm</t>
        </is>
      </c>
      <c r="I1" s="16" t="inlineStr">
        <is>
          <t>Dad Norm</t>
        </is>
      </c>
      <c r="J1" s="16" t="inlineStr">
        <is>
          <t>Me Norm</t>
        </is>
      </c>
      <c r="K1" s="16" t="inlineStr">
        <is>
          <t>Combined Weight</t>
        </is>
      </c>
    </row>
    <row r="2" ht="15.75" customHeight="1" s="15">
      <c r="A2" s="16" t="inlineStr">
        <is>
          <t>Nature</t>
        </is>
      </c>
      <c r="B2" s="16">
        <f>CleanedAnswers!E19</f>
        <v/>
      </c>
      <c r="C2" s="16">
        <f>CleanedAnswers!F19</f>
        <v/>
      </c>
      <c r="D2" s="16">
        <f>CleanedAnswers!G19</f>
        <v/>
      </c>
      <c r="E2" s="16">
        <f>VLOOKUP(B2, Settings!$A$10:$C$13, 3, FALSE())</f>
        <v/>
      </c>
      <c r="F2" s="16">
        <f>VLOOKUP(C2, Settings!$A$10:$C$13, 3, FALSE())</f>
        <v/>
      </c>
      <c r="G2" s="16">
        <f>VLOOKUP(D2, Settings!$A$10:$C$13, 3, FALSE())</f>
        <v/>
      </c>
      <c r="H2" s="16">
        <f>E2/SUM(E$2:E$11)</f>
        <v/>
      </c>
      <c r="I2" s="16">
        <f>F2/SUM(F$2:F$11)</f>
        <v/>
      </c>
      <c r="J2" s="16">
        <f>G2/SUM(G$2:G$11)</f>
        <v/>
      </c>
      <c r="K2" s="16">
        <f>(H2*Settings!$B$2 + I2*Settings!$B$3 + J2*Settings!$B$4)/(Settings!$B$2+Settings!$B$3+Settings!$B$4)</f>
        <v/>
      </c>
    </row>
    <row r="3" ht="15.75" customHeight="1" s="15">
      <c r="A3" s="16" t="inlineStr">
        <is>
          <t>Near family in GW</t>
        </is>
      </c>
      <c r="B3" s="16">
        <f>CleanedAnswers!E20</f>
        <v/>
      </c>
      <c r="C3" s="16">
        <f>CleanedAnswers!F20</f>
        <v/>
      </c>
      <c r="D3" s="16">
        <f>CleanedAnswers!G20</f>
        <v/>
      </c>
      <c r="E3" s="16">
        <f>VLOOKUP(B3, Settings!$A$10:$C$13, 3, FALSE())</f>
        <v/>
      </c>
      <c r="F3" s="16">
        <f>VLOOKUP(C3, Settings!$A$10:$C$13, 3, FALSE())</f>
        <v/>
      </c>
      <c r="G3" s="16">
        <f>VLOOKUP(D3, Settings!$A$10:$C$13, 3, FALSE())</f>
        <v/>
      </c>
      <c r="H3" s="16">
        <f>E3/SUM(E$2:E$11)</f>
        <v/>
      </c>
      <c r="I3" s="16">
        <f>F3/SUM(F$2:F$11)</f>
        <v/>
      </c>
      <c r="J3" s="16">
        <f>G3/SUM(G$2:G$11)</f>
        <v/>
      </c>
      <c r="K3" s="16">
        <f>(H3*Settings!$B$2 + I3*Settings!$B$3 + J3*Settings!$B$4)/(Settings!$B$2+Settings!$B$3+Settings!$B$4)</f>
        <v/>
      </c>
    </row>
    <row r="4" ht="15.75" customHeight="1" s="15">
      <c r="A4" s="16" t="inlineStr">
        <is>
          <t>Indian community</t>
        </is>
      </c>
      <c r="B4" s="16">
        <f>CleanedAnswers!E21</f>
        <v/>
      </c>
      <c r="C4" s="16">
        <f>CleanedAnswers!F21</f>
        <v/>
      </c>
      <c r="D4" s="16">
        <f>CleanedAnswers!G21</f>
        <v/>
      </c>
      <c r="E4" s="16">
        <f>VLOOKUP(B4, Settings!$A$10:$C$13, 3, FALSE())</f>
        <v/>
      </c>
      <c r="F4" s="16">
        <f>VLOOKUP(C4, Settings!$A$10:$C$13, 3, FALSE())</f>
        <v/>
      </c>
      <c r="G4" s="16">
        <f>VLOOKUP(D4, Settings!$A$10:$C$13, 3, FALSE())</f>
        <v/>
      </c>
      <c r="H4" s="16">
        <f>E4/SUM(E$2:E$11)</f>
        <v/>
      </c>
      <c r="I4" s="16">
        <f>F4/SUM(F$2:F$11)</f>
        <v/>
      </c>
      <c r="J4" s="16">
        <f>G4/SUM(G$2:G$11)</f>
        <v/>
      </c>
      <c r="K4" s="16">
        <f>(H4*Settings!$B$2 + I4*Settings!$B$3 + J4*Settings!$B$4)/(Settings!$B$2+Settings!$B$3+Settings!$B$4)</f>
        <v/>
      </c>
    </row>
    <row r="5" ht="15.75" customHeight="1" s="15">
      <c r="A5" s="16" t="inlineStr">
        <is>
          <t>Beach</t>
        </is>
      </c>
      <c r="B5" s="16">
        <f>CleanedAnswers!E22</f>
        <v/>
      </c>
      <c r="C5" s="16">
        <f>CleanedAnswers!F22</f>
        <v/>
      </c>
      <c r="D5" s="16">
        <f>CleanedAnswers!G22</f>
        <v/>
      </c>
      <c r="E5" s="16">
        <f>VLOOKUP(B5, Settings!$A$10:$C$13, 3, FALSE())</f>
        <v/>
      </c>
      <c r="F5" s="16">
        <f>VLOOKUP(C5, Settings!$A$10:$C$13, 3, FALSE())</f>
        <v/>
      </c>
      <c r="G5" s="16">
        <f>VLOOKUP(D5, Settings!$A$10:$C$13, 3, FALSE())</f>
        <v/>
      </c>
      <c r="H5" s="16">
        <f>E5/SUM(E$2:E$11)</f>
        <v/>
      </c>
      <c r="I5" s="16">
        <f>F5/SUM(F$2:F$11)</f>
        <v/>
      </c>
      <c r="J5" s="16">
        <f>G5/SUM(G$2:G$11)</f>
        <v/>
      </c>
      <c r="K5" s="16">
        <f>(H5*Settings!$B$2 + I5*Settings!$B$3 + J5*Settings!$B$4)/(Settings!$B$2+Settings!$B$3+Settings!$B$4)</f>
        <v/>
      </c>
    </row>
    <row r="6" ht="15.75" customHeight="1" s="15">
      <c r="A6" s="16" t="inlineStr">
        <is>
          <t>Hospital</t>
        </is>
      </c>
      <c r="B6" s="16">
        <f>CleanedAnswers!E23</f>
        <v/>
      </c>
      <c r="C6" s="16">
        <f>CleanedAnswers!F23</f>
        <v/>
      </c>
      <c r="D6" s="16">
        <f>CleanedAnswers!G23</f>
        <v/>
      </c>
      <c r="E6" s="16">
        <f>VLOOKUP(B6, Settings!$A$10:$C$13, 3, FALSE())</f>
        <v/>
      </c>
      <c r="F6" s="16">
        <f>VLOOKUP(C6, Settings!$A$10:$C$13, 3, FALSE())</f>
        <v/>
      </c>
      <c r="G6" s="16">
        <f>VLOOKUP(D6, Settings!$A$10:$C$13, 3, FALSE())</f>
        <v/>
      </c>
      <c r="H6" s="16">
        <f>E6/SUM(E$2:E$11)</f>
        <v/>
      </c>
      <c r="I6" s="16">
        <f>F6/SUM(F$2:F$11)</f>
        <v/>
      </c>
      <c r="J6" s="16">
        <f>G6/SUM(G$2:G$11)</f>
        <v/>
      </c>
      <c r="K6" s="16">
        <f>(H6*Settings!$B$2 + I6*Settings!$B$3 + J6*Settings!$B$4)/(Settings!$B$2+Settings!$B$3+Settings!$B$4)</f>
        <v/>
      </c>
    </row>
    <row r="7" ht="15.75" customHeight="1" s="15">
      <c r="A7" s="16" t="inlineStr">
        <is>
          <t>Train/bus</t>
        </is>
      </c>
      <c r="B7" s="16">
        <f>CleanedAnswers!E24</f>
        <v/>
      </c>
      <c r="C7" s="16">
        <f>CleanedAnswers!F24</f>
        <v/>
      </c>
      <c r="D7" s="16">
        <f>CleanedAnswers!G24</f>
        <v/>
      </c>
      <c r="E7" s="16">
        <f>VLOOKUP(B7, Settings!$A$10:$C$13, 3, FALSE())</f>
        <v/>
      </c>
      <c r="F7" s="16">
        <f>VLOOKUP(C7, Settings!$A$10:$C$13, 3, FALSE())</f>
        <v/>
      </c>
      <c r="G7" s="16">
        <f>VLOOKUP(D7, Settings!$A$10:$C$13, 3, FALSE())</f>
        <v/>
      </c>
      <c r="H7" s="16">
        <f>E7/SUM(E$2:E$11)</f>
        <v/>
      </c>
      <c r="I7" s="16">
        <f>F7/SUM(F$2:F$11)</f>
        <v/>
      </c>
      <c r="J7" s="16">
        <f>G7/SUM(G$2:G$11)</f>
        <v/>
      </c>
      <c r="K7" s="16">
        <f>(H7*Settings!$B$2 + I7*Settings!$B$3 + J7*Settings!$B$4)/(Settings!$B$2+Settings!$B$3+Settings!$B$4)</f>
        <v/>
      </c>
    </row>
    <row r="8" ht="15.75" customHeight="1" s="15">
      <c r="A8" s="16" t="inlineStr">
        <is>
          <t>Shops/doctor</t>
        </is>
      </c>
      <c r="B8" s="16">
        <f>CleanedAnswers!E25</f>
        <v/>
      </c>
      <c r="C8" s="16">
        <f>CleanedAnswers!F25</f>
        <v/>
      </c>
      <c r="D8" s="16">
        <f>CleanedAnswers!G25</f>
        <v/>
      </c>
      <c r="E8" s="16">
        <f>VLOOKUP(B8, Settings!$A$10:$C$13, 3, FALSE())</f>
        <v/>
      </c>
      <c r="F8" s="16">
        <f>VLOOKUP(C8, Settings!$A$10:$C$13, 3, FALSE())</f>
        <v/>
      </c>
      <c r="G8" s="16">
        <f>VLOOKUP(D8, Settings!$A$10:$C$13, 3, FALSE())</f>
        <v/>
      </c>
      <c r="H8" s="16">
        <f>E8/SUM(E$2:E$11)</f>
        <v/>
      </c>
      <c r="I8" s="16">
        <f>F8/SUM(F$2:F$11)</f>
        <v/>
      </c>
      <c r="J8" s="16">
        <f>G8/SUM(G$2:G$11)</f>
        <v/>
      </c>
      <c r="K8" s="16">
        <f>(H8*Settings!$B$2 + I8*Settings!$B$3 + J8*Settings!$B$4)/(Settings!$B$2+Settings!$B$3+Settings!$B$4)</f>
        <v/>
      </c>
    </row>
    <row r="9" ht="15.75" customHeight="1" s="15">
      <c r="A9" s="16" t="inlineStr">
        <is>
          <t>Village character</t>
        </is>
      </c>
      <c r="B9" s="16">
        <f>CleanedAnswers!E26</f>
        <v/>
      </c>
      <c r="C9" s="16">
        <f>CleanedAnswers!F26</f>
        <v/>
      </c>
      <c r="D9" s="16">
        <f>CleanedAnswers!G26</f>
        <v/>
      </c>
      <c r="E9" s="16">
        <f>VLOOKUP(B9, Settings!$A$10:$C$13, 3, FALSE())</f>
        <v/>
      </c>
      <c r="F9" s="16">
        <f>VLOOKUP(C9, Settings!$A$10:$C$13, 3, FALSE())</f>
        <v/>
      </c>
      <c r="G9" s="16">
        <f>VLOOKUP(D9, Settings!$A$10:$C$13, 3, FALSE())</f>
        <v/>
      </c>
      <c r="H9" s="16">
        <f>E9/SUM(E$2:E$11)</f>
        <v/>
      </c>
      <c r="I9" s="16">
        <f>F9/SUM(F$2:F$11)</f>
        <v/>
      </c>
      <c r="J9" s="16">
        <f>G9/SUM(G$2:G$11)</f>
        <v/>
      </c>
      <c r="K9" s="16">
        <f>(H9*Settings!$B$2 + I9*Settings!$B$3 + J9*Settings!$B$4)/(Settings!$B$2+Settings!$B$3+Settings!$B$4)</f>
        <v/>
      </c>
    </row>
    <row r="10" ht="15.75" customHeight="1" s="15">
      <c r="A10" s="16" t="inlineStr">
        <is>
          <t>Price</t>
        </is>
      </c>
      <c r="B10" s="16">
        <f>CleanedAnswers!E27</f>
        <v/>
      </c>
      <c r="C10" s="16">
        <f>CleanedAnswers!F27</f>
        <v/>
      </c>
      <c r="D10" s="16">
        <f>CleanedAnswers!G27</f>
        <v/>
      </c>
      <c r="E10" s="16">
        <f>VLOOKUP(B10, Settings!$A$10:$C$13, 3, FALSE())</f>
        <v/>
      </c>
      <c r="F10" s="16">
        <f>VLOOKUP(C10, Settings!$A$10:$C$13, 3, FALSE())</f>
        <v/>
      </c>
      <c r="G10" s="16">
        <f>VLOOKUP(D10, Settings!$A$10:$C$13, 3, FALSE())</f>
        <v/>
      </c>
      <c r="H10" s="16">
        <f>E10/SUM(E$2:E$11)</f>
        <v/>
      </c>
      <c r="I10" s="16">
        <f>F10/SUM(F$2:F$11)</f>
        <v/>
      </c>
      <c r="J10" s="16">
        <f>G10/SUM(G$2:G$11)</f>
        <v/>
      </c>
      <c r="K10" s="16">
        <f>(H10*Settings!$B$2 + I10*Settings!$B$3 + J10*Settings!$B$4)/(Settings!$B$2+Settings!$B$3+Settings!$B$4)</f>
        <v/>
      </c>
    </row>
    <row r="11" ht="15.75" customHeight="1" s="15">
      <c r="A11" s="16" t="inlineStr">
        <is>
          <t>Easy city trip</t>
        </is>
      </c>
      <c r="B11" s="16">
        <f>CleanedAnswers!E28</f>
        <v/>
      </c>
      <c r="C11" s="16">
        <f>CleanedAnswers!F28</f>
        <v/>
      </c>
      <c r="D11" s="16">
        <f>CleanedAnswers!G28</f>
        <v/>
      </c>
      <c r="E11" s="16">
        <f>VLOOKUP(B11, Settings!$A$10:$C$13, 3, FALSE())</f>
        <v/>
      </c>
      <c r="F11" s="16">
        <f>VLOOKUP(C11, Settings!$A$10:$C$13, 3, FALSE())</f>
        <v/>
      </c>
      <c r="G11" s="16">
        <f>VLOOKUP(D11, Settings!$A$10:$C$13, 3, FALSE())</f>
        <v/>
      </c>
      <c r="H11" s="16">
        <f>E11/SUM(E$2:E$11)</f>
        <v/>
      </c>
      <c r="I11" s="16">
        <f>F11/SUM(F$2:F$11)</f>
        <v/>
      </c>
      <c r="J11" s="16">
        <f>G11/SUM(G$2:G$11)</f>
        <v/>
      </c>
      <c r="K11" s="16">
        <f>(H11*Settings!$B$2 + I11*Settings!$B$3 + J11*Settings!$B$4)/(Settings!$B$2+Settings!$B$3+Settings!$B$4)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U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Matchup</t>
        </is>
      </c>
      <c r="B1" s="16" t="inlineStr">
        <is>
          <t>Result</t>
        </is>
      </c>
      <c r="H1" s="16" t="inlineStr">
        <is>
          <t>Question</t>
        </is>
      </c>
      <c r="I1" s="16" t="inlineStr">
        <is>
          <t>A-side priority</t>
        </is>
      </c>
      <c r="J1" s="16" t="inlineStr">
        <is>
          <t>B-side priority</t>
        </is>
      </c>
      <c r="K1" s="16" t="inlineStr">
        <is>
          <t>Mum vote</t>
        </is>
      </c>
      <c r="L1" s="16" t="inlineStr">
        <is>
          <t>Dad vote</t>
        </is>
      </c>
      <c r="M1" s="16" t="inlineStr">
        <is>
          <t>Me vote</t>
        </is>
      </c>
      <c r="N1" s="16" t="inlineStr">
        <is>
          <t>A votes (weighted)</t>
        </is>
      </c>
      <c r="O1" s="16" t="inlineStr">
        <is>
          <t>B votes (weighted)</t>
        </is>
      </c>
      <c r="P1" s="16" t="inlineStr">
        <is>
          <t>Winning side</t>
        </is>
      </c>
      <c r="Q1" s="16" t="inlineStr">
        <is>
          <t>Winner</t>
        </is>
      </c>
      <c r="R1" s="16" t="inlineStr">
        <is>
          <t>Loser</t>
        </is>
      </c>
      <c r="S1" s="16" t="inlineStr">
        <is>
          <t>Winner weight</t>
        </is>
      </c>
      <c r="T1" s="16" t="inlineStr">
        <is>
          <t>Loser weight</t>
        </is>
      </c>
      <c r="U1" s="16" t="inlineStr">
        <is>
          <t>Transfer</t>
        </is>
      </c>
    </row>
    <row r="2" ht="15.75" customHeight="1" s="15">
      <c r="A2" s="16" t="inlineStr">
        <is>
          <t>Trade-offs: see H1:U5 (live, blueprint rule).</t>
        </is>
      </c>
      <c r="B2" s="16" t="n"/>
      <c r="H2" s="22" t="inlineStr">
        <is>
          <t>Q10</t>
        </is>
      </c>
      <c r="I2" s="22" t="inlineStr">
        <is>
          <t>Nature</t>
        </is>
      </c>
      <c r="J2" s="22" t="inlineStr">
        <is>
          <t>Near family in GW</t>
        </is>
      </c>
      <c r="K2" s="22">
        <f>IF(OR(CleanedAnswers!B15=$I2,LEFT(CleanedAnswers!B15,3)="A —"),"A",IF(OR(CleanedAnswers!B15=$J2,LEFT(CleanedAnswers!B15,3)="B —"),"B",""))</f>
        <v/>
      </c>
      <c r="L2" s="22">
        <f>IF(OR(CleanedAnswers!C15=$I2,LEFT(CleanedAnswers!C15,3)="A —"),"A",IF(OR(CleanedAnswers!C15=$J2,LEFT(CleanedAnswers!C15,3)="B —"),"B",""))</f>
        <v/>
      </c>
      <c r="M2" s="22">
        <f>IF(OR(CleanedAnswers!D15=$I2,LEFT(CleanedAnswers!D15,3)="A —"),"A",IF(OR(CleanedAnswers!D15=$J2,LEFT(CleanedAnswers!D15,3)="B —"),"B",""))</f>
        <v/>
      </c>
      <c r="N2" s="22">
        <f>(K2="A")*Settings!$B$2+(L2="A")*Settings!$B$3+(M2="A")*Settings!$B$4</f>
        <v/>
      </c>
      <c r="O2" s="22">
        <f>(K2="B")*Settings!$B$2+(L2="B")*Settings!$B$3+(M2="B")*Settings!$B$4</f>
        <v/>
      </c>
      <c r="P2" s="22">
        <f>IF(N2+O2=0,"",IF(N2&gt;O2,"A",IF(O2&gt;N2,"B","Split")))</f>
        <v/>
      </c>
      <c r="Q2" s="22">
        <f>IF(P2="A",I2,IF(P2="B",J2,""))</f>
        <v/>
      </c>
      <c r="R2" s="22">
        <f>IF(P2="A",J2,IF(P2="B",I2,""))</f>
        <v/>
      </c>
      <c r="S2" s="22">
        <f>IF(Q2="","",INDEX($D$6:$D$15,MATCH(Q2,$A$6:$A$15,0)))</f>
        <v/>
      </c>
      <c r="T2" s="22">
        <f>IF(R2="","",INDEX($D$6:$D$15,MATCH(R2,$A$6:$A$15,0)))</f>
        <v/>
      </c>
      <c r="U2" s="22">
        <f>IF(OR(Q2="",NOT(ISNUMBER(S2)),NOT(ISNUMBER(T2))),0,IF(S2&lt;T2+Settings!$B$7,MIN(T2,(T2-S2+Settings!$B$7)/2),0))</f>
        <v/>
      </c>
    </row>
    <row r="3" ht="15.75" customHeight="1" s="15">
      <c r="A3" s="16" t="n"/>
      <c r="B3" s="16" t="n"/>
      <c r="H3" s="22" t="inlineStr">
        <is>
          <t>Q11</t>
        </is>
      </c>
      <c r="I3" s="22" t="inlineStr">
        <is>
          <t>Beach</t>
        </is>
      </c>
      <c r="J3" s="22" t="inlineStr">
        <is>
          <t>Nature</t>
        </is>
      </c>
      <c r="K3" s="22">
        <f>IF(OR(CleanedAnswers!B16=$I3,LEFT(CleanedAnswers!B16,3)="A —"),"A",IF(OR(CleanedAnswers!B16=$J3,LEFT(CleanedAnswers!B16,3)="B —"),"B",""))</f>
        <v/>
      </c>
      <c r="L3" s="22">
        <f>IF(OR(CleanedAnswers!C16=$I3,LEFT(CleanedAnswers!C16,3)="A —"),"A",IF(OR(CleanedAnswers!C16=$J3,LEFT(CleanedAnswers!C16,3)="B —"),"B",""))</f>
        <v/>
      </c>
      <c r="M3" s="22">
        <f>IF(OR(CleanedAnswers!D16=$I3,LEFT(CleanedAnswers!D16,3)="A —"),"A",IF(OR(CleanedAnswers!D16=$J3,LEFT(CleanedAnswers!D16,3)="B —"),"B",""))</f>
        <v/>
      </c>
      <c r="N3" s="22">
        <f>(K3="A")*Settings!$B$2+(L3="A")*Settings!$B$3+(M3="A")*Settings!$B$4</f>
        <v/>
      </c>
      <c r="O3" s="22">
        <f>(K3="B")*Settings!$B$2+(L3="B")*Settings!$B$3+(M3="B")*Settings!$B$4</f>
        <v/>
      </c>
      <c r="P3" s="22">
        <f>IF(N3+O3=0,"",IF(N3&gt;O3,"A",IF(O3&gt;N3,"B","Split")))</f>
        <v/>
      </c>
      <c r="Q3" s="22">
        <f>IF(P3="A",I3,IF(P3="B",J3,""))</f>
        <v/>
      </c>
      <c r="R3" s="22">
        <f>IF(P3="A",J3,IF(P3="B",I3,""))</f>
        <v/>
      </c>
      <c r="S3" s="22">
        <f>IF(Q3="","",INDEX($D$6:$D$15,MATCH(Q3,$A$6:$A$15,0)))</f>
        <v/>
      </c>
      <c r="T3" s="22">
        <f>IF(R3="","",INDEX($D$6:$D$15,MATCH(R3,$A$6:$A$15,0)))</f>
        <v/>
      </c>
      <c r="U3" s="22">
        <f>IF(OR(Q3="",NOT(ISNUMBER(S3)),NOT(ISNUMBER(T3))),0,IF(S3&lt;T3+Settings!$B$7,MIN(T3,(T3-S3+Settings!$B$7)/2),0))</f>
        <v/>
      </c>
    </row>
    <row r="4">
      <c r="H4" s="22" t="inlineStr">
        <is>
          <t>Q12</t>
        </is>
      </c>
      <c r="I4" s="22" t="inlineStr">
        <is>
          <t>Village character</t>
        </is>
      </c>
      <c r="J4" s="22" t="inlineStr">
        <is>
          <t>Shops &amp; doctor</t>
        </is>
      </c>
      <c r="K4" s="22">
        <f>IF(OR(CleanedAnswers!B17=$I4,LEFT(CleanedAnswers!B17,3)="A —"),"A",IF(OR(CleanedAnswers!B17=$J4,LEFT(CleanedAnswers!B17,3)="B —"),"B",""))</f>
        <v/>
      </c>
      <c r="L4" s="22">
        <f>IF(OR(CleanedAnswers!C17=$I4,LEFT(CleanedAnswers!C17,3)="A —"),"A",IF(OR(CleanedAnswers!C17=$J4,LEFT(CleanedAnswers!C17,3)="B —"),"B",""))</f>
        <v/>
      </c>
      <c r="M4" s="22">
        <f>IF(OR(CleanedAnswers!D17=$I4,LEFT(CleanedAnswers!D17,3)="A —"),"A",IF(OR(CleanedAnswers!D17=$J4,LEFT(CleanedAnswers!D17,3)="B —"),"B",""))</f>
        <v/>
      </c>
      <c r="N4" s="22">
        <f>(K4="A")*Settings!$B$2+(L4="A")*Settings!$B$3+(M4="A")*Settings!$B$4</f>
        <v/>
      </c>
      <c r="O4" s="22">
        <f>(K4="B")*Settings!$B$2+(L4="B")*Settings!$B$3+(M4="B")*Settings!$B$4</f>
        <v/>
      </c>
      <c r="P4" s="22">
        <f>IF(N4+O4=0,"",IF(N4&gt;O4,"A",IF(O4&gt;N4,"B","Split")))</f>
        <v/>
      </c>
      <c r="Q4" s="22">
        <f>IF(P4="A",I4,IF(P4="B",J4,""))</f>
        <v/>
      </c>
      <c r="R4" s="22">
        <f>IF(P4="A",J4,IF(P4="B",I4,""))</f>
        <v/>
      </c>
      <c r="S4" s="22">
        <f>IF(Q4="","",INDEX($D$6:$D$15,MATCH(Q4,$A$6:$A$15,0)))</f>
        <v/>
      </c>
      <c r="T4" s="22">
        <f>IF(R4="","",INDEX($D$6:$D$15,MATCH(R4,$A$6:$A$15,0)))</f>
        <v/>
      </c>
      <c r="U4" s="22">
        <f>IF(OR(Q4="",NOT(ISNUMBER(S4)),NOT(ISNUMBER(T4))),0,IF(S4&lt;T4+Settings!$B$7,MIN(T4,(T4-S4+Settings!$B$7)/2),0))</f>
        <v/>
      </c>
    </row>
    <row r="5" ht="15.75" customHeight="1" s="15">
      <c r="A5" s="16" t="inlineStr">
        <is>
          <t>Final Normalized Weights</t>
        </is>
      </c>
      <c r="B5" s="16" t="inlineStr">
        <is>
          <t>Weight</t>
        </is>
      </c>
      <c r="C5" s="16" t="inlineStr">
        <is>
          <t>Net forced-choice correction (live)</t>
        </is>
      </c>
      <c r="D5" s="16" t="inlineStr">
        <is>
          <t>Survey weight (PriorityWeights K)</t>
        </is>
      </c>
      <c r="E5" s="16" t="inlineStr">
        <is>
          <t>Previous typed weight (pre 27 Oct link)</t>
        </is>
      </c>
      <c r="F5" s="16" t="inlineStr">
        <is>
          <t>Manual tweak (editable, e.g. 0.03 = +3 pts)</t>
        </is>
      </c>
      <c r="H5" s="22" t="inlineStr">
        <is>
          <t>Q13</t>
        </is>
      </c>
      <c r="I5" s="22" t="inlineStr">
        <is>
          <t>Indian community</t>
        </is>
      </c>
      <c r="J5" s="22" t="inlineStr">
        <is>
          <t>Nature</t>
        </is>
      </c>
      <c r="K5" s="22">
        <f>IF(OR(CleanedAnswers!B18=$I5,LEFT(CleanedAnswers!B18,3)="A —"),"A",IF(OR(CleanedAnswers!B18=$J5,LEFT(CleanedAnswers!B18,3)="B —"),"B",""))</f>
        <v/>
      </c>
      <c r="L5" s="22">
        <f>IF(OR(CleanedAnswers!C18=$I5,LEFT(CleanedAnswers!C18,3)="A —"),"A",IF(OR(CleanedAnswers!C18=$J5,LEFT(CleanedAnswers!C18,3)="B —"),"B",""))</f>
        <v/>
      </c>
      <c r="M5" s="22">
        <f>IF(OR(CleanedAnswers!D18=$I5,LEFT(CleanedAnswers!D18,3)="A —"),"A",IF(OR(CleanedAnswers!D18=$J5,LEFT(CleanedAnswers!D18,3)="B —"),"B",""))</f>
        <v/>
      </c>
      <c r="N5" s="22">
        <f>(K5="A")*Settings!$B$2+(L5="A")*Settings!$B$3+(M5="A")*Settings!$B$4</f>
        <v/>
      </c>
      <c r="O5" s="22">
        <f>(K5="B")*Settings!$B$2+(L5="B")*Settings!$B$3+(M5="B")*Settings!$B$4</f>
        <v/>
      </c>
      <c r="P5" s="22">
        <f>IF(N5+O5=0,"",IF(N5&gt;O5,"A",IF(O5&gt;N5,"B","Split")))</f>
        <v/>
      </c>
      <c r="Q5" s="22">
        <f>IF(P5="A",I5,IF(P5="B",J5,""))</f>
        <v/>
      </c>
      <c r="R5" s="22">
        <f>IF(P5="A",J5,IF(P5="B",I5,""))</f>
        <v/>
      </c>
      <c r="S5" s="22">
        <f>IF(Q5="","",INDEX($D$6:$D$15,MATCH(Q5,$A$6:$A$15,0)))</f>
        <v/>
      </c>
      <c r="T5" s="22">
        <f>IF(R5="","",INDEX($D$6:$D$15,MATCH(R5,$A$6:$A$15,0)))</f>
        <v/>
      </c>
      <c r="U5" s="22">
        <f>IF(OR(Q5="",NOT(ISNUMBER(S5)),NOT(ISNUMBER(T5))),0,IF(S5&lt;T5+Settings!$B$7,MIN(T5,(T5-S5+Settings!$B$7)/2),0))</f>
        <v/>
      </c>
    </row>
    <row r="6" ht="15.75" customHeight="1" s="15">
      <c r="A6" s="16" t="inlineStr">
        <is>
          <t>Near family in GW</t>
        </is>
      </c>
      <c r="B6" s="16">
        <f>MAX(0,D6+C6+F6)/SUMPRODUCT((D$6:D$15+C$6:C$15+F$6:F$15&gt;0)*(D$6:D$15+C$6:C$15+F$6:F$15))</f>
        <v/>
      </c>
      <c r="C6" s="16">
        <f>SUMIF($Q$2:$Q$5,A6,$U$2:$U$5)-SUMIF($R$2:$R$5,A6,$U$2:$U$5)</f>
        <v/>
      </c>
      <c r="D6" s="16">
        <f>PriorityWeights!K3</f>
        <v/>
      </c>
      <c r="E6" s="16" t="n">
        <v>0.153</v>
      </c>
      <c r="F6" s="16" t="n">
        <v>0</v>
      </c>
    </row>
    <row r="7" ht="15.75" customHeight="1" s="15">
      <c r="A7" s="16" t="inlineStr">
        <is>
          <t>Nature</t>
        </is>
      </c>
      <c r="B7" s="16">
        <f>MAX(0,D7+C7+F7)/SUMPRODUCT((D$6:D$15+C$6:C$15+F$6:F$15&gt;0)*(D$6:D$15+C$6:C$15+F$6:F$15))</f>
        <v/>
      </c>
      <c r="C7" s="16">
        <f>SUMIF($Q$2:$Q$5,A7,$U$2:$U$5)-SUMIF($R$2:$R$5,A7,$U$2:$U$5)</f>
        <v/>
      </c>
      <c r="D7" s="16">
        <f>PriorityWeights!K2</f>
        <v/>
      </c>
      <c r="E7" s="16" t="n">
        <v>0.133</v>
      </c>
      <c r="F7" s="16" t="n">
        <v>0</v>
      </c>
    </row>
    <row r="8" ht="15.75" customHeight="1" s="15">
      <c r="A8" s="16" t="inlineStr">
        <is>
          <t>Hospital</t>
        </is>
      </c>
      <c r="B8" s="16">
        <f>MAX(0,D8+C8+F8)/SUMPRODUCT((D$6:D$15+C$6:C$15+F$6:F$15&gt;0)*(D$6:D$15+C$6:C$15+F$6:F$15))</f>
        <v/>
      </c>
      <c r="C8" s="16">
        <f>SUMIF($Q$2:$Q$5,A8,$U$2:$U$5)-SUMIF($R$2:$R$5,A8,$U$2:$U$5)</f>
        <v/>
      </c>
      <c r="D8" s="16">
        <f>PriorityWeights!K6</f>
        <v/>
      </c>
      <c r="E8" s="16" t="n">
        <v>0.133</v>
      </c>
      <c r="F8" s="16" t="n">
        <v>0</v>
      </c>
    </row>
    <row r="9" ht="15.75" customHeight="1" s="15">
      <c r="A9" s="16" t="inlineStr">
        <is>
          <t>Indian community</t>
        </is>
      </c>
      <c r="B9" s="16">
        <f>MAX(0,D9+C9+F9)/SUMPRODUCT((D$6:D$15+C$6:C$15+F$6:F$15&gt;0)*(D$6:D$15+C$6:C$15+F$6:F$15))</f>
        <v/>
      </c>
      <c r="C9" s="16">
        <f>SUMIF($Q$2:$Q$5,A9,$U$2:$U$5)-SUMIF($R$2:$R$5,A9,$U$2:$U$5)</f>
        <v/>
      </c>
      <c r="D9" s="16">
        <f>PriorityWeights!K4</f>
        <v/>
      </c>
      <c r="E9" s="16" t="n">
        <v>0.117</v>
      </c>
      <c r="F9" s="16" t="n">
        <v>0</v>
      </c>
    </row>
    <row r="10" ht="15.75" customHeight="1" s="15">
      <c r="A10" s="16" t="inlineStr">
        <is>
          <t>Shops &amp; doctor</t>
        </is>
      </c>
      <c r="B10" s="16">
        <f>MAX(0,D10+C10+F10)/SUMPRODUCT((D$6:D$15+C$6:C$15+F$6:F$15&gt;0)*(D$6:D$15+C$6:C$15+F$6:F$15))</f>
        <v/>
      </c>
      <c r="C10" s="16">
        <f>SUMIF($Q$2:$Q$5,A10,$U$2:$U$5)-SUMIF($R$2:$R$5,A10,$U$2:$U$5)</f>
        <v/>
      </c>
      <c r="D10" s="16">
        <f>PriorityWeights!K8</f>
        <v/>
      </c>
      <c r="E10" s="16" t="n">
        <v>0.108</v>
      </c>
      <c r="F10" s="16" t="n">
        <v>0</v>
      </c>
    </row>
    <row r="11" ht="15.75" customHeight="1" s="15">
      <c r="A11" s="16" t="inlineStr">
        <is>
          <t>Village character</t>
        </is>
      </c>
      <c r="B11" s="16">
        <f>MAX(0,D11+C11+F11)/SUMPRODUCT((D$6:D$15+C$6:C$15+F$6:F$15&gt;0)*(D$6:D$15+C$6:C$15+F$6:F$15))</f>
        <v/>
      </c>
      <c r="C11" s="16">
        <f>SUMIF($Q$2:$Q$5,A11,$U$2:$U$5)-SUMIF($R$2:$R$5,A11,$U$2:$U$5)</f>
        <v/>
      </c>
      <c r="D11" s="16">
        <f>PriorityWeights!K9</f>
        <v/>
      </c>
      <c r="E11" s="16" t="n">
        <v>0.08799999999999999</v>
      </c>
      <c r="F11" s="16" t="n">
        <v>0</v>
      </c>
    </row>
    <row r="12" ht="15.75" customHeight="1" s="15">
      <c r="A12" s="16" t="inlineStr">
        <is>
          <t>Train/bus</t>
        </is>
      </c>
      <c r="B12" s="16">
        <f>MAX(0,D12+C12+F12)/SUMPRODUCT((D$6:D$15+C$6:C$15+F$6:F$15&gt;0)*(D$6:D$15+C$6:C$15+F$6:F$15))</f>
        <v/>
      </c>
      <c r="C12" s="16">
        <f>SUMIF($Q$2:$Q$5,A12,$U$2:$U$5)-SUMIF($R$2:$R$5,A12,$U$2:$U$5)</f>
        <v/>
      </c>
      <c r="D12" s="16">
        <f>PriorityWeights!K7</f>
        <v/>
      </c>
      <c r="E12" s="16" t="n">
        <v>0.081</v>
      </c>
      <c r="F12" s="16" t="n">
        <v>0</v>
      </c>
    </row>
    <row r="13" ht="15.75" customHeight="1" s="15">
      <c r="A13" s="16" t="inlineStr">
        <is>
          <t>Price</t>
        </is>
      </c>
      <c r="B13" s="16">
        <f>MAX(0,D13+C13+F13)/SUMPRODUCT((D$6:D$15+C$6:C$15+F$6:F$15&gt;0)*(D$6:D$15+C$6:C$15+F$6:F$15))</f>
        <v/>
      </c>
      <c r="C13" s="16">
        <f>SUMIF($Q$2:$Q$5,A13,$U$2:$U$5)-SUMIF($R$2:$R$5,A13,$U$2:$U$5)</f>
        <v/>
      </c>
      <c r="D13" s="16">
        <f>PriorityWeights!K10</f>
        <v/>
      </c>
      <c r="E13" s="16" t="n">
        <v>0.081</v>
      </c>
      <c r="F13" s="16" t="n">
        <v>0</v>
      </c>
    </row>
    <row r="14" ht="15.75" customHeight="1" s="15">
      <c r="A14" s="16" t="inlineStr">
        <is>
          <t>Beach</t>
        </is>
      </c>
      <c r="B14" s="16">
        <f>MAX(0,D14+C14+F14)/SUMPRODUCT((D$6:D$15+C$6:C$15+F$6:F$15&gt;0)*(D$6:D$15+C$6:C$15+F$6:F$15))</f>
        <v/>
      </c>
      <c r="C14" s="16">
        <f>SUMIF($Q$2:$Q$5,A14,$U$2:$U$5)-SUMIF($R$2:$R$5,A14,$U$2:$U$5)</f>
        <v/>
      </c>
      <c r="D14" s="16">
        <f>PriorityWeights!K5</f>
        <v/>
      </c>
      <c r="E14" s="16" t="n">
        <v>0.061</v>
      </c>
      <c r="F14" s="16" t="n">
        <v>0</v>
      </c>
    </row>
    <row r="15" ht="15.75" customHeight="1" s="15">
      <c r="A15" s="16" t="inlineStr">
        <is>
          <t>City trip</t>
        </is>
      </c>
      <c r="B15" s="16">
        <f>MAX(0,D15+C15+F15)/SUMPRODUCT((D$6:D$15+C$6:C$15+F$6:F$15&gt;0)*(D$6:D$15+C$6:C$15+F$6:F$15))</f>
        <v/>
      </c>
      <c r="C15" s="16">
        <f>SUMIF($Q$2:$Q$5,A15,$U$2:$U$5)-SUMIF($R$2:$R$5,A15,$U$2:$U$5)</f>
        <v/>
      </c>
      <c r="D15" s="16">
        <f>PriorityWeights!K11</f>
        <v/>
      </c>
      <c r="E15" s="16" t="n">
        <v>0.045</v>
      </c>
      <c r="F15" s="16" t="n">
        <v>0</v>
      </c>
    </row>
    <row r="16">
      <c r="A16" s="22" t="inlineStr">
        <is>
          <t>Total</t>
        </is>
      </c>
      <c r="B16" s="22">
        <f>SUM(B6:B15)</f>
        <v/>
      </c>
    </row>
    <row r="18">
      <c r="A18" s="22" t="inlineStr">
        <is>
          <t>Note (27 Oct 2026): B = survey weight (D) + live trade-off correction (C, rule from survey blueprint: winner moved 2 pts ahead of loser) + manual tweak (F), floored at 0 and renormalised. E = old typed weights.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F9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13" customWidth="1" style="15" min="37" max="37"/>
    <col width="13" customWidth="1" style="15" min="38" max="38"/>
    <col width="13" customWidth="1" style="15" min="39" max="39"/>
    <col width="13" customWidth="1" style="15" min="40" max="40"/>
    <col width="13" customWidth="1" style="15" min="41" max="41"/>
    <col width="13" customWidth="1" style="15" min="42" max="42"/>
    <col width="13" customWidth="1" style="15" min="43" max="43"/>
    <col width="13" customWidth="1" style="15" min="44" max="44"/>
    <col width="13" customWidth="1" style="15" min="45" max="45"/>
    <col width="13" customWidth="1" style="15" min="46" max="46"/>
    <col width="13" customWidth="1" style="15" min="47" max="47"/>
    <col width="30" customWidth="1" style="15" min="48" max="48"/>
    <col width="30" customWidth="1" style="15" min="49" max="49"/>
    <col width="16" customWidth="1" style="15" min="50" max="50"/>
  </cols>
  <sheetData>
    <row r="1" ht="41.75" customHeight="1" s="15">
      <c r="A1" s="17" t="inlineStr">
        <is>
          <t>Location</t>
        </is>
      </c>
      <c r="B1" s="17" t="inlineStr">
        <is>
          <t>Region</t>
        </is>
      </c>
      <c r="C1" s="17" t="inlineStr">
        <is>
          <t>Shortlist Status</t>
        </is>
      </c>
      <c r="D1" s="17" t="inlineStr">
        <is>
          <t>Parents Inland/Bush Fit (P)</t>
        </is>
      </c>
      <c r="E1" s="17" t="inlineStr">
        <is>
          <t>My Coastal-Nature Fit (Y)</t>
        </is>
      </c>
      <c r="F1" s="17" t="inlineStr">
        <is>
          <t>Primary Investigation Lens</t>
        </is>
      </c>
      <c r="G1" s="17" t="inlineStr">
        <is>
          <t>Published House Price</t>
        </is>
      </c>
      <c r="H1" s="17" t="inlineStr">
        <is>
          <t>Price Basis</t>
        </is>
      </c>
      <c r="I1" s="17" t="inlineStr">
        <is>
          <t>Price + Est. 6% Costs</t>
        </is>
      </c>
      <c r="J1" s="17" t="inlineStr">
        <is>
          <t>Drive to GW (min)</t>
        </is>
      </c>
      <c r="K1" s="17" t="inlineStr">
        <is>
          <t>Drive to 24-Hr Public ED (min)</t>
        </is>
      </c>
      <c r="L1" s="17" t="inlineStr">
        <is>
          <t>Hard Filter Status</t>
        </is>
      </c>
      <c r="M1" s="17" t="inlineStr">
        <is>
          <t>Score: Near family in GW</t>
        </is>
      </c>
      <c r="N1" s="17" t="inlineStr">
        <is>
          <t>Score: Nature</t>
        </is>
      </c>
      <c r="O1" s="17" t="inlineStr">
        <is>
          <t>Score: Hospital</t>
        </is>
      </c>
      <c r="P1" s="17" t="inlineStr">
        <is>
          <t>Score: Indian community</t>
        </is>
      </c>
      <c r="Q1" s="17" t="inlineStr">
        <is>
          <t>Score: Shops &amp; doctor</t>
        </is>
      </c>
      <c r="R1" s="17" t="inlineStr">
        <is>
          <t>Score: Village character</t>
        </is>
      </c>
      <c r="S1" s="17" t="inlineStr">
        <is>
          <t>Score: Train/bus</t>
        </is>
      </c>
      <c r="T1" s="17" t="inlineStr">
        <is>
          <t>Score: Price</t>
        </is>
      </c>
      <c r="U1" s="17" t="inlineStr">
        <is>
          <t>Score: Beach</t>
        </is>
      </c>
      <c r="V1" s="17" t="inlineStr">
        <is>
          <t>Score: City trip</t>
        </is>
      </c>
      <c r="W1" s="17" t="inlineStr">
        <is>
          <t>Scores Entered</t>
        </is>
      </c>
      <c r="X1" s="17" t="inlineStr">
        <is>
          <t>Weighted Score (0-10)</t>
        </is>
      </c>
      <c r="Y1" s="17" t="inlineStr">
        <is>
          <t>Rank (Passing Only)</t>
        </is>
      </c>
      <c r="Z1" s="17" t="inlineStr">
        <is>
          <t>Healthcare &amp; ABS Verification Notes</t>
        </is>
      </c>
      <c r="AA1" s="22" t="inlineStr">
        <is>
          <t>Legacy import text (frozen 27 Oct 2026; not used by any formula — edit columns A–H and Z instead)</t>
        </is>
      </c>
      <c r="AB1" s="16" t="inlineStr">
        <is>
          <t>Train Option (Yes/No)</t>
        </is>
      </c>
      <c r="AC1" s="16" t="inlineStr">
        <is>
          <t>Train Station / Basis</t>
        </is>
      </c>
      <c r="AD1" s="16" t="inlineStr">
        <is>
          <t>ED Used for Drive Time (K)</t>
        </is>
      </c>
      <c r="AE1" s="23" t="inlineStr">
        <is>
          <t>Budget cap — purchase price</t>
        </is>
      </c>
      <c r="AF1" s="23" t="inlineStr">
        <is>
          <t>Budget basis</t>
        </is>
      </c>
      <c r="AG1" s="23" t="inlineStr">
        <is>
          <t>Price evidence type</t>
        </is>
      </c>
      <c r="AH1" s="23" t="inlineStr">
        <is>
          <t>Price evidence date</t>
        </is>
      </c>
      <c r="AI1" s="23" t="inlineStr">
        <is>
          <t>Budget result</t>
        </is>
      </c>
      <c r="AJ1" s="23" t="inlineStr">
        <is>
          <t>Budget note</t>
        </is>
      </c>
      <c r="AK1" s="23" t="inlineStr">
        <is>
          <t>ABS SAL code (2021)</t>
        </is>
      </c>
      <c r="AL1" s="23" t="inlineStr">
        <is>
          <t>Population (ABS 2021)</t>
        </is>
      </c>
      <c r="AM1" s="23" t="inlineStr">
        <is>
          <t>Median age</t>
        </is>
      </c>
      <c r="AN1" s="23" t="inlineStr">
        <is>
          <t>% aged 65+</t>
        </is>
      </c>
      <c r="AO1" s="23" t="inlineStr">
        <is>
          <t>% born overseas (of all people)</t>
        </is>
      </c>
      <c r="AP1" s="23" t="inlineStr">
        <is>
          <t>% birthplace not stated</t>
        </is>
      </c>
      <c r="AQ1" s="23" t="inlineStr">
        <is>
          <t>% born in India</t>
        </is>
      </c>
      <c r="AR1" s="23" t="inlineStr">
        <is>
          <t>% Indian ancestry</t>
        </is>
      </c>
      <c r="AS1" s="23" t="inlineStr">
        <is>
          <t>% Hinduism</t>
        </is>
      </c>
      <c r="AT1" s="23" t="inlineStr">
        <is>
          <t>% Sikhism</t>
        </is>
      </c>
      <c r="AU1" s="23" t="inlineStr">
        <is>
          <t>% other language at home</t>
        </is>
      </c>
      <c r="AV1" s="23" t="inlineStr">
        <is>
          <t>Top 3 languages other than English (% of people)</t>
        </is>
      </c>
      <c r="AW1" s="23" t="inlineStr">
        <is>
          <t>Demography source and caveats</t>
        </is>
      </c>
      <c r="AX1" s="23" t="inlineStr">
        <is>
          <t>Community comparison band (display-only)</t>
        </is>
      </c>
      <c r="AY1" t="inlineStr">
        <is>
          <t>Drive to nearest Indian grocery (min; 10:00 weekday, top of range)</t>
        </is>
      </c>
      <c r="AZ1" t="inlineStr">
        <is>
          <t>Drive to nearest Hindu temple (min; 10:00 weekday, top of range)</t>
        </is>
      </c>
      <c r="BA1" t="inlineStr">
        <is>
          <t>Drive to nearest church (min; 10:00 weekday, top of range)</t>
        </is>
      </c>
      <c r="BB1" t="inlineStr">
        <is>
          <t>Community drive basis and evidence (Checked / Estimate / Needs verification)</t>
        </is>
      </c>
      <c r="BF1" t="inlineStr">
        <is>
          <t>Slope/stairs risk (display-only, Estimate; feeds nothing)</t>
        </is>
      </c>
    </row>
    <row r="2" ht="15.75" customHeight="1" s="15">
      <c r="A2" s="18" t="inlineStr">
        <is>
          <t>Blackburn</t>
        </is>
      </c>
      <c r="B2" s="18" t="inlineStr">
        <is>
          <t>East Melbourne</t>
        </is>
      </c>
      <c r="C2" s="18" t="inlineStr">
        <is>
          <t>Active Shortlist</t>
        </is>
      </c>
      <c r="D2" s="18" t="inlineStr">
        <is>
          <t>Medium (Leafy streets)</t>
        </is>
      </c>
      <c r="E2" s="18" t="inlineStr">
        <is>
          <t>Low (Inland)</t>
        </is>
      </c>
      <c r="F2" s="18" t="inlineStr">
        <is>
          <t>Leafy daily living vs housing cost</t>
        </is>
      </c>
      <c r="G2" s="18" t="n">
        <v>1600000</v>
      </c>
      <c r="H2" s="18" t="inlineStr">
        <is>
          <t>Sale median, rolling 12m (OnTheHouse); unit $820k</t>
        </is>
      </c>
      <c r="I2" s="18">
        <f t="array" ref="I2:I90">IF(ISNUMBER(G2:G90), IF(G2:G90&gt;0, G2:G90 * (1 + Settings!$B$6), ""), "")</f>
        <v/>
      </c>
      <c r="J2" s="19" t="n">
        <v>11</v>
      </c>
      <c r="K2" s="19" t="n">
        <v>7</v>
      </c>
      <c r="L2" s="18" t="inlineStr">
        <is>
          <t>Active — needs data</t>
        </is>
      </c>
      <c r="M2" s="19" t="n"/>
      <c r="N2" s="19" t="n"/>
      <c r="O2" s="19">
        <f>IF(K2="","",ROUND(MAX(0,10*(1-K2/Filters!$B$5)),1))</f>
        <v/>
      </c>
      <c r="P2" s="19" t="n"/>
      <c r="Q2" s="19" t="n"/>
      <c r="R2" s="19" t="n"/>
      <c r="S2" s="19" t="n"/>
      <c r="T2" s="19" t="n"/>
      <c r="U2" s="19" t="n"/>
      <c r="V2" s="19" t="n"/>
      <c r="W2" s="18">
        <f>IF(M2="",0,COUNT(M2:V2))</f>
        <v/>
      </c>
      <c r="X2" s="18">
        <f>IF(W2&lt;10,"",M2*ForcedChoiceCorrections!$B$6+N2*ForcedChoiceCorrections!$B$7+O2*ForcedChoiceCorrections!$B$8+P2*ForcedChoiceCorrections!$B$9+Q2*ForcedChoiceCorrections!$B$10+R2*ForcedChoiceCorrections!$B$11+S2*ForcedChoiceCorrections!$B$12+T2*ForcedChoiceCorrections!$B$13+U2*ForcedChoiceCorrections!$B$14+V2*ForcedChoiceCorrections!$B$15)</f>
        <v/>
      </c>
      <c r="Y2" s="18">
        <f>IF(AND(ISNUMBER(SEARCH("pass",L2)),ISNUMBER(X2)),COUNTIFS(L$2:L$90,"*pass*",X$2:X$90,"&gt;"&amp;X2)+1,"")</f>
        <v/>
      </c>
      <c r="Z2" s="18" t="inlineStr">
        <is>
          <t>ABS 2021: 32.4% overseas-born, 31.6% non-Eng HH. Station/ED journeys unverified.</t>
        </is>
      </c>
      <c r="AA2" s="16" t="inlineStr">
        <is>
          <t>1. Blackburn | East Melbourne | Active Shortlist | P: Medium (Leafy streets) | Y: Low (Inland) | Lens: Leafy daily living vs housing cost | Price: 1600000 | Basis: Sale median, rolling 12m (OnTheHouse); unit $820k | Note: ABS 2021: 32.4% overseas-born, 31.6% non-Eng HH. Station/ED journeys unverified.</t>
        </is>
      </c>
      <c r="AB2" s="16" t="inlineStr">
        <is>
          <t>Yes</t>
        </is>
      </c>
      <c r="AC2" s="16" t="inlineStr">
        <is>
          <t>Blackburn station, Lilydale line (recall; verify)</t>
        </is>
      </c>
      <c r="AD2" s="16" t="inlineStr">
        <is>
          <t>Box Hill Hospital ED</t>
        </is>
      </c>
      <c r="AE2" s="24" t="n">
        <v>1500000</v>
      </c>
      <c r="AF2" s="22" t="inlineStr">
        <is>
          <t>Maximum purchase price, excluding transaction and moving costs</t>
        </is>
      </c>
      <c r="AG2" s="22" t="inlineStr">
        <is>
          <t>Suburb median</t>
        </is>
      </c>
      <c r="AH2" s="22" t="inlineStr">
        <is>
          <t>26 Oct 2026</t>
        </is>
      </c>
      <c r="AI2" s="22" t="inlineStr">
        <is>
          <t>Needs data</t>
        </is>
      </c>
      <c r="AJ2" s="22" t="inlineStr">
        <is>
          <t>House median $1.60M (OnTheHouse) exceeds $1.5M cap, but unit/villa median is $820k. Awaiting documented search for suitable single-level homes/units under $1.5M.</t>
        </is>
      </c>
      <c r="AK2" s="22" t="inlineStr">
        <is>
          <t>SAL20252</t>
        </is>
      </c>
      <c r="AL2" s="32" t="n">
        <v>14478</v>
      </c>
      <c r="AM2" s="22" t="n">
        <v>41</v>
      </c>
      <c r="AN2" s="33" t="n">
        <v>0.185</v>
      </c>
      <c r="AO2" s="33" t="n">
        <v>0.324</v>
      </c>
      <c r="AP2" s="33" t="n">
        <v>0.03</v>
      </c>
      <c r="AQ2" s="33" t="n">
        <v>0.043</v>
      </c>
      <c r="AR2" s="33" t="n">
        <v>0.048</v>
      </c>
      <c r="AS2" s="33" t="n">
        <v>0.035</v>
      </c>
      <c r="AT2" s="33" t="n">
        <v>0.011</v>
      </c>
      <c r="AU2" s="33" t="n">
        <v>0.279</v>
      </c>
      <c r="AV2" s="22" t="inlineStr">
        <is>
          <t>Mandarin 10.4%; Cantonese 3.2%; Hindi 1.3%</t>
        </is>
      </c>
      <c r="AW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2" s="22">
        <f>IF(AU2="","",IF(OR(AU2&gt;=0.5,AQ2&gt;=0.08),"High",IF(OR(AU2&gt;=0.3,AQ2&gt;=0.04),"Medium","Low")))</f>
        <v/>
      </c>
    </row>
    <row r="3" ht="15.75" customHeight="1" s="15">
      <c r="A3" s="18" t="inlineStr">
        <is>
          <t>Ringwood</t>
        </is>
      </c>
      <c r="B3" s="18" t="inlineStr">
        <is>
          <t>East Melbourne</t>
        </is>
      </c>
      <c r="C3" s="18" t="inlineStr">
        <is>
          <t>Active Shortlist</t>
        </is>
      </c>
      <c r="D3" s="18" t="inlineStr">
        <is>
          <t>Medium-High (Foothills gateway)</t>
        </is>
      </c>
      <c r="E3" s="18" t="inlineStr">
        <is>
          <t>Low (Inland)</t>
        </is>
      </c>
      <c r="F3" s="18" t="inlineStr">
        <is>
          <t>Rail, services &amp; access to greener surroundings</t>
        </is>
      </c>
      <c r="G3" s="18" t="n">
        <v>1045000</v>
      </c>
      <c r="H3" s="18" t="inlineStr">
        <is>
          <t>Sale median, rolling 12m (OnTheHouse); unit $650k</t>
        </is>
      </c>
      <c r="I3" s="18" t="n">
        <v>1107700</v>
      </c>
      <c r="J3" s="19" t="n">
        <v>12</v>
      </c>
      <c r="K3" s="19" t="n">
        <v>5</v>
      </c>
      <c r="L3" s="18" t="inlineStr">
        <is>
          <t>Active — provisional pass</t>
        </is>
      </c>
      <c r="M3" s="19">
        <f>IF(J3="","",ROUND(MAX(0,10*(1-J3/Filters!$B$4)),1))</f>
        <v/>
      </c>
      <c r="N3" s="19" t="n">
        <v>4</v>
      </c>
      <c r="O3" s="19">
        <f>IF(K3="","",ROUND(MAX(0,10*(1-K3/Filters!$B$5)),1))</f>
        <v/>
      </c>
      <c r="P3" s="19" t="n">
        <v>6</v>
      </c>
      <c r="Q3" s="19" t="n">
        <v>10</v>
      </c>
      <c r="R3" s="19" t="n">
        <v>3</v>
      </c>
      <c r="S3" s="19" t="n">
        <v>9</v>
      </c>
      <c r="T3" s="19">
        <f>IF(G3="","",ROUND(MAX(0,MIN(10,10*(Filters!$B$2-G3)/(Filters!$B$2-500000))),1))</f>
        <v/>
      </c>
      <c r="U3" s="19" t="n">
        <v>0</v>
      </c>
      <c r="V3" s="19" t="n">
        <v>7</v>
      </c>
      <c r="W3" s="18">
        <f>IF(M3="",0,COUNT(M3:V3))</f>
        <v/>
      </c>
      <c r="X3" s="18">
        <f>IF(W3&lt;10,"",M3*ForcedChoiceCorrections!$B$6+N3*ForcedChoiceCorrections!$B$7+O3*ForcedChoiceCorrections!$B$8+P3*ForcedChoiceCorrections!$B$9+Q3*ForcedChoiceCorrections!$B$10+R3*ForcedChoiceCorrections!$B$11+S3*ForcedChoiceCorrections!$B$12+T3*ForcedChoiceCorrections!$B$13+U3*ForcedChoiceCorrections!$B$14+V3*ForcedChoiceCorrections!$B$15)</f>
        <v/>
      </c>
      <c r="Y3" s="18">
        <f>IF(AND(ISNUMBER(SEARCH("pass",L3)),ISNUMBER(X3)),COUNTIFS(L$2:L$90,"*pass*",X$2:X$90,"&gt;"&amp;X3)+1,"")</f>
        <v/>
      </c>
      <c r="Z3" s="18" t="inlineStr">
        <is>
          <t>ABS 2021: 35.7% overseas-born, 33.3% non-Eng HH. Belgrave/Lilydale rail; Maroondah Hospital ED nearby (verify drive).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19,144; 20 km E of CBD [Wikipedia Ringwood] (23 km per Victorian Places). Train: major hub; Ringwood station is the junction of the Lilydale and Belgrave lines; Heatherdale station also in the suburb; many bus routes [Wikipedia]; S 9 consistent. Shops: Eastland Shopping Centre (opened 1967, redeveloped) and Ringwood Town Square [Wikipedia; Victorian Places]; Q 10 consistent. Nature: Ringwood Lake 8.5 ha park with a bushland walking circuit; Jubilee Park [Wikipedia; Victorian Places]; N 4 consistent. Village: commercial centre on a highway with bypass routes [Victorian Places]; R 3 consistent. Indian community: India-born 3.2% (618), Indian ancestry 3.7%, Hinduism 2.7%, Sikhism 0.7% [ABS 2021 GCP SAL22174]; P 6 generous next to Berwick 7 at 6.1% (4-5 arguable). City trip: 20 km by train; journey time not stated; V 7 estimate. NOT checked: GPs, journey time. Scores unchanged.</t>
        </is>
      </c>
      <c r="AA3" s="16" t="inlineStr">
        <is>
          <t>2. Ringwood | East Melbourne | Active Shortlist | P: Medium-High (Foothills gateway) | Y: Low (Inland) | Lens: Rail, services &amp; access to greener surroundings | Price: 1045000 | Basis: Sale median, rolling 12m (OnTheHouse); unit $650k | Note: ABS 2021: 35.7% overseas-born, 33.3% non-Eng HH. Belgrave/Lilydale rail; Maroondah Hospital ED nearby (verify drive).</t>
        </is>
      </c>
      <c r="AB3" s="16" t="inlineStr">
        <is>
          <t>Yes</t>
        </is>
      </c>
      <c r="AC3" s="16" t="inlineStr">
        <is>
          <t>Ringwood station, Lilydale/Belgrave lines (recall; verify)</t>
        </is>
      </c>
      <c r="AD3" s="16" t="inlineStr">
        <is>
          <t>Maroondah Hospital ED</t>
        </is>
      </c>
      <c r="AE3" s="24" t="n">
        <v>1500000</v>
      </c>
      <c r="AF3" s="22" t="inlineStr">
        <is>
          <t>Maximum purchase price, excluding transaction and moving costs</t>
        </is>
      </c>
      <c r="AG3" s="22" t="inlineStr">
        <is>
          <t>Suburb median</t>
        </is>
      </c>
      <c r="AH3" s="22" t="inlineStr">
        <is>
          <t>26 Oct 2026</t>
        </is>
      </c>
      <c r="AI3" s="22" t="inlineStr">
        <is>
          <t>Pass</t>
        </is>
      </c>
      <c r="AJ3" s="22" t="inlineStr">
        <is>
          <t>Published house price ($1,045,000) is under $1.5M cap.</t>
        </is>
      </c>
      <c r="AK3" s="22" t="inlineStr">
        <is>
          <t>SAL22174</t>
        </is>
      </c>
      <c r="AL3" s="32" t="n">
        <v>19144</v>
      </c>
      <c r="AM3" s="22" t="n">
        <v>38</v>
      </c>
      <c r="AN3" s="33" t="n">
        <v>0.172</v>
      </c>
      <c r="AO3" s="33" t="n">
        <v>0.357</v>
      </c>
      <c r="AP3" s="33" t="n">
        <v>0.034</v>
      </c>
      <c r="AQ3" s="33" t="n">
        <v>0.032</v>
      </c>
      <c r="AR3" s="33" t="n">
        <v>0.03700000000000001</v>
      </c>
      <c r="AS3" s="33" t="n">
        <v>0.027</v>
      </c>
      <c r="AT3" s="33" t="n">
        <v>0.006999999999999999</v>
      </c>
      <c r="AU3" s="33" t="n">
        <v>0.316</v>
      </c>
      <c r="AV3" s="22" t="inlineStr">
        <is>
          <t>Mandarin 9.0%; Cantonese 3.2%; Persian 1.5%</t>
        </is>
      </c>
      <c r="AW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3" s="22">
        <f>IF(AU3="","",IF(OR(AU3&gt;=0.5,AQ3&gt;=0.08),"High",IF(OR(AU3&gt;=0.3,AQ3&gt;=0.04),"Medium","Low")))</f>
        <v/>
      </c>
    </row>
    <row r="4" ht="15.75" customHeight="1" s="15">
      <c r="A4" s="18" t="inlineStr">
        <is>
          <t>Heidelberg</t>
        </is>
      </c>
      <c r="B4" s="18" t="inlineStr">
        <is>
          <t>North-East Melbourne</t>
        </is>
      </c>
      <c r="C4" s="18" t="inlineStr">
        <is>
          <t>Active Shortlist</t>
        </is>
      </c>
      <c r="D4" s="18" t="inlineStr">
        <is>
          <t>Medium (Yarra parkland)</t>
        </is>
      </c>
      <c r="E4" s="18" t="inlineStr">
        <is>
          <t>Low (Inland)</t>
        </is>
      </c>
      <c r="F4" s="18" t="inlineStr">
        <is>
          <t>Healthcare-led established suburb option</t>
        </is>
      </c>
      <c r="G4" s="18" t="n">
        <v>1452000</v>
      </c>
      <c r="H4" s="18" t="inlineStr">
        <is>
          <t>Sale median, rolling 12m (35 sales); unit $700k</t>
        </is>
      </c>
      <c r="I4" s="18" t="n">
        <v>1539120</v>
      </c>
      <c r="J4" s="19" t="n">
        <v>25</v>
      </c>
      <c r="K4" s="19" t="n">
        <v>4</v>
      </c>
      <c r="L4" s="18" t="inlineStr">
        <is>
          <t>Active — provisional pass</t>
        </is>
      </c>
      <c r="M4" s="19">
        <f>IF(J4="","",ROUND(MAX(0,10*(1-J4/Filters!$B$4)),1))</f>
        <v/>
      </c>
      <c r="N4" s="19" t="n">
        <v>6</v>
      </c>
      <c r="O4" s="19">
        <f>IF(K4="","",ROUND(MAX(0,10*(1-K4/Filters!$B$5)),1))</f>
        <v/>
      </c>
      <c r="P4" s="19" t="n">
        <v>5</v>
      </c>
      <c r="Q4" s="19" t="n">
        <v>8</v>
      </c>
      <c r="R4" s="19" t="n">
        <v>4</v>
      </c>
      <c r="S4" s="19" t="n">
        <v>8</v>
      </c>
      <c r="T4" s="19">
        <f>IF(G4="","",ROUND(MAX(0,MIN(10,10*(Filters!$B$2-G4)/(Filters!$B$2-500000))),1))</f>
        <v/>
      </c>
      <c r="U4" s="19" t="n">
        <v>0</v>
      </c>
      <c r="V4" s="19" t="n">
        <v>8</v>
      </c>
      <c r="W4" s="18">
        <f>IF(M4="",0,COUNT(M4:V4))</f>
        <v/>
      </c>
      <c r="X4" s="18">
        <f>IF(W4&lt;10,"",M4*ForcedChoiceCorrections!$B$6+N4*ForcedChoiceCorrections!$B$7+O4*ForcedChoiceCorrections!$B$8+P4*ForcedChoiceCorrections!$B$9+Q4*ForcedChoiceCorrections!$B$10+R4*ForcedChoiceCorrections!$B$11+S4*ForcedChoiceCorrections!$B$12+T4*ForcedChoiceCorrections!$B$13+U4*ForcedChoiceCorrections!$B$14+V4*ForcedChoiceCorrections!$B$15)</f>
        <v/>
      </c>
      <c r="Y4" s="18">
        <f>IF(AND(ISNUMBER(SEARCH("pass",L4)),ISNUMBER(X4)),COUNTIFS(L$2:L$90,"*pass*",X$2:X$90,"&gt;"&amp;X4)+1,"")</f>
        <v/>
      </c>
      <c r="Z4" s="18" t="inlineStr">
        <is>
          <t>ABS 2021: 28.1% overseas-born, 28.4% non-Eng HH. Austin Hospital precinct; verify residential pocket &amp; gradients.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7,360; 11 km NE of CBD, City of Banyule [Wikipedia Heidelberg]. Hospital: Austin Hospital (with Mercy Hospital for Women) is in the suburb [Wikipedia]. Shops: Heidelberg Central (Burgundy St) 'over 230 retail and professional businesses'; Warringal Shopping Centre [Wikipedia]; Q 8 consistent (9 arguable). Train: station at the west end of Burgundy St [Victorian Places]; Hurstbridge line [AC]; S 8 consistent. Nature: eastern flank is the Yarra Flats and Warringal wetlands [Victorian Places]; N 6 consistent. Village: old Waringal village core (St John's 1849, Old England Hotel 1848) but now 'a mature suburb' dominated by the hospital [Victorian Places]; R 4 consistent. Indian community: India-born 3.0%, Indian ancestry 3.5%, Hinduism 2.9% [ABS 2021 GCP SAL21167]; P 5 consistent. City trip: 11 km by train; V 8 consistent. NOT checked: supermarket name, GPs, journey time. Victorian Places gives '2 km', an error; Wikipedia 11 km used. Scores unchanged.</t>
        </is>
      </c>
      <c r="AA4" s="16" t="inlineStr">
        <is>
          <t>3. Heidelberg | North-East Melbourne | Active Shortlist | P: Medium (Yarra parkland) | Y: Low (Inland) | Lens: Healthcare-led established suburb option | Price: 1452000 | Basis: Sale median, rolling 12m (35 sales); unit $700k | Note: ABS 2021: 28.1% overseas-born, 28.4% non-Eng HH. Austin Hospital precinct; verify residential pocket &amp; gradients.</t>
        </is>
      </c>
      <c r="AB4" s="16" t="inlineStr">
        <is>
          <t>Yes</t>
        </is>
      </c>
      <c r="AC4" s="16" t="inlineStr">
        <is>
          <t>Heidelberg station, Hurstbridge line (recall; verify)</t>
        </is>
      </c>
      <c r="AD4" s="16" t="inlineStr">
        <is>
          <t>Austin Hospital ED</t>
        </is>
      </c>
      <c r="AE4" s="24" t="n">
        <v>1500000</v>
      </c>
      <c r="AF4" s="22" t="inlineStr">
        <is>
          <t>Maximum purchase price, excluding transaction and moving costs</t>
        </is>
      </c>
      <c r="AG4" s="22" t="inlineStr">
        <is>
          <t>Suburb median</t>
        </is>
      </c>
      <c r="AH4" s="22" t="inlineStr">
        <is>
          <t>26 Oct 2026</t>
        </is>
      </c>
      <c r="AI4" s="22" t="inlineStr">
        <is>
          <t>Pass</t>
        </is>
      </c>
      <c r="AJ4" s="22" t="inlineStr">
        <is>
          <t>House median $1.452M (35 sales) is under $1.5M cap. Passes GW drive (25m) and ED drive (4m).</t>
        </is>
      </c>
      <c r="AK4" s="22" t="inlineStr">
        <is>
          <t>SAL21167</t>
        </is>
      </c>
      <c r="AL4" s="32" t="n">
        <v>7360</v>
      </c>
      <c r="AM4" s="22" t="n">
        <v>39</v>
      </c>
      <c r="AN4" s="33" t="n">
        <v>0.179</v>
      </c>
      <c r="AO4" s="33" t="n">
        <v>0.281</v>
      </c>
      <c r="AP4" s="33" t="n">
        <v>0.042</v>
      </c>
      <c r="AQ4" s="33" t="n">
        <v>0.03</v>
      </c>
      <c r="AR4" s="33" t="n">
        <v>0.035</v>
      </c>
      <c r="AS4" s="33" t="n">
        <v>0.029</v>
      </c>
      <c r="AT4" s="33" t="n">
        <v>0.002</v>
      </c>
      <c r="AU4" s="33" t="n">
        <v>0.237</v>
      </c>
      <c r="AV4" s="22" t="inlineStr">
        <is>
          <t>Italian 2.7%; Mandarin 2.7%; Greek 1.8%</t>
        </is>
      </c>
      <c r="AW4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4" s="22">
        <f>IF(AU4="","",IF(OR(AU4&gt;=0.5,AQ4&gt;=0.08),"High",IF(OR(AU4&gt;=0.3,AQ4&gt;=0.04),"Medium","Low")))</f>
        <v/>
      </c>
    </row>
    <row r="5" ht="15.75" customHeight="1" s="15">
      <c r="A5" s="18" t="inlineStr">
        <is>
          <t>Eltham</t>
        </is>
      </c>
      <c r="B5" s="18" t="inlineStr">
        <is>
          <t>North-East Melbourne</t>
        </is>
      </c>
      <c r="C5" s="18" t="inlineStr">
        <is>
          <t>Active Shortlist</t>
        </is>
      </c>
      <c r="D5" s="18" t="inlineStr">
        <is>
          <t>High (Bushland/trees)</t>
        </is>
      </c>
      <c r="E5" s="18" t="inlineStr">
        <is>
          <t>Low (Inland)</t>
        </is>
      </c>
      <c r="F5" s="18" t="inlineStr">
        <is>
          <t>Green/scenic lifestyle hypothesis</t>
        </is>
      </c>
      <c r="G5" s="18" t="n">
        <v>1273000</v>
      </c>
      <c r="H5" s="18" t="inlineStr">
        <is>
          <t>Sale median, rolling 12m (195 sales); unit $805k</t>
        </is>
      </c>
      <c r="I5" s="18" t="n">
        <v>1349380</v>
      </c>
      <c r="J5" s="19" t="n">
        <v>26</v>
      </c>
      <c r="K5" s="19" t="n">
        <v>16</v>
      </c>
      <c r="L5" s="18" t="inlineStr">
        <is>
          <t>Active — provisional pass</t>
        </is>
      </c>
      <c r="M5" s="19">
        <f>IF(J5="","",ROUND(MAX(0,10*(1-J5/Filters!$B$4)),1))</f>
        <v/>
      </c>
      <c r="N5" s="19" t="n">
        <v>8</v>
      </c>
      <c r="O5" s="19">
        <f>IF(K5="","",ROUND(MAX(0,10*(1-K5/Filters!$B$5)),1))</f>
        <v/>
      </c>
      <c r="P5" s="19" t="n">
        <v>3</v>
      </c>
      <c r="Q5" s="19" t="n">
        <v>8</v>
      </c>
      <c r="R5" s="19" t="n">
        <v>7</v>
      </c>
      <c r="S5" s="19" t="n">
        <v>8</v>
      </c>
      <c r="T5" s="19">
        <f>IF(G5="","",ROUND(MAX(0,MIN(10,10*(Filters!$B$2-G5)/(Filters!$B$2-500000))),1))</f>
        <v/>
      </c>
      <c r="U5" s="19" t="n">
        <v>0</v>
      </c>
      <c r="V5" s="19" t="n">
        <v>7</v>
      </c>
      <c r="W5" s="18">
        <f>IF(M5="",0,COUNT(M5:V5))</f>
        <v/>
      </c>
      <c r="X5" s="18">
        <f>IF(W5&lt;10,"",M5*ForcedChoiceCorrections!$B$6+N5*ForcedChoiceCorrections!$B$7+O5*ForcedChoiceCorrections!$B$8+P5*ForcedChoiceCorrections!$B$9+Q5*ForcedChoiceCorrections!$B$10+R5*ForcedChoiceCorrections!$B$11+S5*ForcedChoiceCorrections!$B$12+T5*ForcedChoiceCorrections!$B$13+U5*ForcedChoiceCorrections!$B$14+V5*ForcedChoiceCorrections!$B$15)</f>
        <v/>
      </c>
      <c r="Y5" s="18">
        <f>IF(AND(ISNUMBER(SEARCH("pass",L5)),ISNUMBER(X5)),COUNTIFS(L$2:L$90,"*pass*",X$2:X$90,"&gt;"&amp;X5)+1,"")</f>
        <v/>
      </c>
      <c r="Z5" s="18" t="inlineStr">
        <is>
          <t>ABS 2021: 18.5% overseas-born, 14.0% non-Eng HH. Hurstbridge line; verify ED &amp; GW drive times.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18,847; 20 km NE of CBD, Shire of Nillumbik [Wikipedia Eltham]. Nature: green wedge leaves 'extensive areas undeveloped within and to three sides of the suburb'; Barak Bushlands, Laughing Waters bushland (riparian and open forest), Diamond Creek Trail, Maroondah Aqueduct Trail [Wikipedia]; N 8 consistent. Village: central shopping strip on Main Road, Sunday farmers' market, Montsalvat artists' colony, mud-brick heritage (Alistair Knox) [Wikipedia]; R 7 consistent. Train: Eltham station, Hurstbridge line; major bus interchange (SmartBus 902 etc.) [Wikipedia]; S 8 consistent. Shops: supermarket not named; Q 8 estimate. Indian community: India-born 0.7%, Hinduism 0.6% [ABS 2021 GCP SAL20865]; P 3 generous (2 arguable). City trip: 20 km by train; V 7 estimate. NOT checked: GPs, supermarket, journey time. Scores unchanged.</t>
        </is>
      </c>
      <c r="AA5" s="16" t="inlineStr">
        <is>
          <t>4. Eltham | North-East Melbourne | Active Shortlist | P: High (Bushland/trees) | Y: Low (Inland) | Lens: Green/scenic lifestyle hypothesis | Price: 1273000 | Basis: Sale median, rolling 12m (195 sales); unit $805k | Note: ABS 2021: 18.5% overseas-born, 14.0% non-Eng HH. Hurstbridge line; verify ED &amp; GW drive times.</t>
        </is>
      </c>
      <c r="AB5" s="16" t="inlineStr">
        <is>
          <t>Yes</t>
        </is>
      </c>
      <c r="AC5" s="16" t="inlineStr">
        <is>
          <t>Eltham station, Hurstbridge line (recall; verify)</t>
        </is>
      </c>
      <c r="AD5" s="16" t="inlineStr">
        <is>
          <t>Austin Hospital ED</t>
        </is>
      </c>
      <c r="AE5" s="24" t="n">
        <v>1500000</v>
      </c>
      <c r="AF5" s="22" t="inlineStr">
        <is>
          <t>Maximum purchase price, excluding transaction and moving costs</t>
        </is>
      </c>
      <c r="AG5" s="22" t="inlineStr">
        <is>
          <t>Suburb median</t>
        </is>
      </c>
      <c r="AH5" s="22" t="inlineStr">
        <is>
          <t>26 Oct 2026</t>
        </is>
      </c>
      <c r="AI5" s="22" t="inlineStr">
        <is>
          <t>Pass</t>
        </is>
      </c>
      <c r="AJ5" s="22" t="inlineStr">
        <is>
          <t>House median $1.273M (195 sales) is under $1.5M cap. Passes GW drive (26m) and ED drive (16m).</t>
        </is>
      </c>
      <c r="AK5" s="22" t="inlineStr">
        <is>
          <t>SAL20865</t>
        </is>
      </c>
      <c r="AL5" s="32" t="n">
        <v>18847</v>
      </c>
      <c r="AM5" s="22" t="n">
        <v>43</v>
      </c>
      <c r="AN5" s="33" t="n">
        <v>0.185</v>
      </c>
      <c r="AO5" s="33" t="n">
        <v>0.185</v>
      </c>
      <c r="AP5" s="33" t="n">
        <v>0.024</v>
      </c>
      <c r="AQ5" s="33" t="n">
        <v>0.006999999999999999</v>
      </c>
      <c r="AR5" s="33" t="n">
        <v>0.013</v>
      </c>
      <c r="AS5" s="33" t="n">
        <v>0.006</v>
      </c>
      <c r="AT5" s="33" t="n">
        <v>0.001</v>
      </c>
      <c r="AU5" s="33" t="n">
        <v>0.105</v>
      </c>
      <c r="AV5" s="22" t="inlineStr">
        <is>
          <t>Mandarin 1.6%; Italian 1.0%; Greek 0.9%</t>
        </is>
      </c>
      <c r="AW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5" s="22">
        <f>IF(AU5="","",IF(OR(AU5&gt;=0.5,AQ5&gt;=0.08),"High",IF(OR(AU5&gt;=0.3,AQ5&gt;=0.04),"Medium","Low")))</f>
        <v/>
      </c>
    </row>
    <row r="6" ht="15.75" customHeight="1" s="15">
      <c r="A6" s="18" t="inlineStr">
        <is>
          <t>Upper Ferntree Gully</t>
        </is>
      </c>
      <c r="B6" s="18" t="inlineStr">
        <is>
          <t>East / Foothills</t>
        </is>
      </c>
      <c r="C6" s="18" t="inlineStr">
        <is>
          <t>Active Shortlist</t>
        </is>
      </c>
      <c r="D6" s="18" t="inlineStr">
        <is>
          <t>High (Foothills/forest)</t>
        </is>
      </c>
      <c r="E6" s="18" t="inlineStr">
        <is>
          <t>Low (Inland)</t>
        </is>
      </c>
      <c r="F6" s="18" t="inlineStr">
        <is>
          <t>Forest/foothills lifestyle with hospital &amp; rail access</t>
        </is>
      </c>
      <c r="G6" s="18" t="n">
        <v>872133</v>
      </c>
      <c r="H6" s="18" t="inlineStr">
        <is>
          <t>AVM estimate (30 Sep 2026), NOT a verified sale median</t>
        </is>
      </c>
      <c r="I6" s="18" t="n">
        <v>924460.98</v>
      </c>
      <c r="J6" s="19" t="n">
        <v>16</v>
      </c>
      <c r="K6" s="19" t="n">
        <v>2</v>
      </c>
      <c r="L6" s="18" t="inlineStr">
        <is>
          <t>Active — provisional pass</t>
        </is>
      </c>
      <c r="M6" s="19">
        <f>IF(J6="","",ROUND(MAX(0,10*(1-J6/Filters!$B$4)),1))</f>
        <v/>
      </c>
      <c r="N6" s="19" t="n">
        <v>8</v>
      </c>
      <c r="O6" s="19">
        <f>IF(K6="","",ROUND(MAX(0,10*(1-K6/Filters!$B$5)),1))</f>
        <v/>
      </c>
      <c r="P6" s="19" t="n">
        <v>5</v>
      </c>
      <c r="Q6" s="19" t="n">
        <v>6</v>
      </c>
      <c r="R6" s="19" t="n">
        <v>5</v>
      </c>
      <c r="S6" s="19" t="n">
        <v>7</v>
      </c>
      <c r="T6" s="19">
        <f>IF(G6="","",ROUND(MAX(0,MIN(10,10*(Filters!$B$2-G6)/(Filters!$B$2-500000))),1))</f>
        <v/>
      </c>
      <c r="U6" s="19" t="n">
        <v>0</v>
      </c>
      <c r="V6" s="19" t="n">
        <v>6</v>
      </c>
      <c r="W6" s="18">
        <f>IF(M6="",0,COUNT(M6:V6))</f>
        <v/>
      </c>
      <c r="X6" s="18">
        <f>IF(W6&lt;10,"",M6*ForcedChoiceCorrections!$B$6+N6*ForcedChoiceCorrections!$B$7+O6*ForcedChoiceCorrections!$B$8+P6*ForcedChoiceCorrections!$B$9+Q6*ForcedChoiceCorrections!$B$10+R6*ForcedChoiceCorrections!$B$11+S6*ForcedChoiceCorrections!$B$12+T6*ForcedChoiceCorrections!$B$13+U6*ForcedChoiceCorrections!$B$14+V6*ForcedChoiceCorrections!$B$15)</f>
        <v/>
      </c>
      <c r="Y6" s="18">
        <f>IF(AND(ISNUMBER(SEARCH("pass",L6)),ISNUMBER(X6)),COUNTIFS(L$2:L$90,"*pass*",X$2:X$90,"&gt;"&amp;X6)+1,"")</f>
        <v/>
      </c>
      <c r="Z6" s="18" t="inlineStr">
        <is>
          <t>ABS 2021: 19.2% overseas-born, 12.2% non-Eng HH. Belgrave line; 10-min walk/bus 732 to Angliss Hospital (verify 24-hr ED status &amp; drive). 27 Oct 2026: OnTheHouse gives the same house AVM ($872,133) for Upper Ferntree Gully and Ferntree Gully — likely postcode-level, weak. | SCORES 27 Oct 2026: M (near family) and T (price) are formulas from J and G; O from K. N, P, Q, R, S, U, V are ESTIMATES (Claude, general knowledge, not site-checked); S also rests on train Yes/No marked 'verify'. Price = postcode-level AVM shared with FTG. | CHECKED 27 Oct 2026, source run C1 (suburb level; Wikipedia, Victorian Places, ABS 2021 GCP DataPack). Pop 3,417; 32 km E of CBD [Wikipedia Upper Ferntree Gully]. Nature: Ferntree Gully Park (Dandenong Ranges National Park) incl. the '1,000 steps' Kokoda walk; Ferny Creek reserves [Wikipedia]; N 8 consistent. Hospital: Angliss Hospital is in the suburb, with medical consulting rooms nearby [Wikipedia]. Shops: 'limited retail outlets (mainly food, hairdressing, banking, chemist, post office)' along Burwood Hwy; Ferntree Plaza the largest centre [Wikipedia]; Q 6 consistent. Village: highway strip with used-car yards [Wikipedia]; R 5 consistent. Train: station on the Belgrave line [AC]; S 7 not re-checked. Indian community: India-born 1.0%, Hinduism 0.3% [ABS 2021 GCP SAL22614]; P 5 not supported (2 arguable). City trip: 32 km by train; V 6 estimate. NOT checked: GPs by name, supermarket, journey time. Scores unchanged.</t>
        </is>
      </c>
      <c r="AA6" s="16" t="inlineStr">
        <is>
          <t>5. Upper Ferntree Gully | East / Foothills | Active Shortlist | P: High (Foothills/forest) | Y: Low (Inland) | Lens: Forest/foothills lifestyle with hospital &amp; rail access | Price: 872133 | Basis: AVM estimate (30 Sep 2026), NOT a verified sale median | Note: ABS 2021: 19.2% overseas-born, 12.2% non-Eng HH. Belgrave line; 10-min walk/bus 732 to Angliss Hospital (verify 24-hr ED status &amp; drive).</t>
        </is>
      </c>
      <c r="AB6" s="16" t="inlineStr">
        <is>
          <t>Yes</t>
        </is>
      </c>
      <c r="AC6" s="16" t="inlineStr">
        <is>
          <t>Upper Ferntree Gully station, Belgrave line (per sheet note)</t>
        </is>
      </c>
      <c r="AD6" s="16" t="inlineStr">
        <is>
          <t>Angliss Hospital ED (24-hr status still to verify)</t>
        </is>
      </c>
      <c r="AE6" s="24" t="n">
        <v>1500000</v>
      </c>
      <c r="AF6" s="22" t="inlineStr">
        <is>
          <t>Maximum purchase price, excluding transaction and moving costs</t>
        </is>
      </c>
      <c r="AG6" s="22" t="inlineStr">
        <is>
          <t>Suburb median</t>
        </is>
      </c>
      <c r="AH6" s="22" t="inlineStr">
        <is>
          <t>26 Oct 2026</t>
        </is>
      </c>
      <c r="AI6" s="22" t="inlineStr">
        <is>
          <t>Pass</t>
        </is>
      </c>
      <c r="AJ6" s="22" t="inlineStr">
        <is>
          <t>Published house price ($872,133) is under $1.5M cap.</t>
        </is>
      </c>
      <c r="AK6" s="22" t="inlineStr">
        <is>
          <t>SAL22614</t>
        </is>
      </c>
      <c r="AL6" s="32" t="n">
        <v>3417</v>
      </c>
      <c r="AM6" s="22" t="n">
        <v>41</v>
      </c>
      <c r="AN6" s="33" t="n">
        <v>0.184</v>
      </c>
      <c r="AO6" s="33" t="n">
        <v>0.192</v>
      </c>
      <c r="AP6" s="33" t="n">
        <v>0.036</v>
      </c>
      <c r="AQ6" s="33" t="n">
        <v>0.01</v>
      </c>
      <c r="AR6" s="33" t="n">
        <v>0.014</v>
      </c>
      <c r="AS6" s="33" t="n">
        <v>0.003</v>
      </c>
      <c r="AT6" s="33" t="n">
        <v>0</v>
      </c>
      <c r="AU6" s="33" t="n">
        <v>0.083</v>
      </c>
      <c r="AV6" s="22" t="inlineStr">
        <is>
          <t>German 1.2%; Greek 0.8%; Mandarin 0.7%</t>
        </is>
      </c>
      <c r="AW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6" s="22">
        <f>IF(AU6="","",IF(OR(AU6&gt;=0.5,AQ6&gt;=0.08),"High",IF(OR(AU6&gt;=0.3,AQ6&gt;=0.04),"Medium","Low")))</f>
        <v/>
      </c>
    </row>
    <row r="7" ht="15.75" customHeight="1" s="15">
      <c r="A7" s="18" t="inlineStr">
        <is>
          <t>Glen Waverley</t>
        </is>
      </c>
      <c r="B7" s="18" t="inlineStr">
        <is>
          <t>East Melbourne</t>
        </is>
      </c>
      <c r="C7" s="18" t="inlineStr">
        <is>
          <t>Active Shortlist</t>
        </is>
      </c>
      <c r="D7" s="18" t="inlineStr">
        <is>
          <t>Low-Medium (Suburban)</t>
        </is>
      </c>
      <c r="E7" s="18" t="inlineStr">
        <is>
          <t>Low (Inland)</t>
        </is>
      </c>
      <c r="F7" s="18" t="inlineStr">
        <is>
          <t>Current stay baseline — multicultural convenience</t>
        </is>
      </c>
      <c r="G7" s="18" t="n">
        <v>1675000</v>
      </c>
      <c r="H7" s="18" t="inlineStr">
        <is>
          <t>Sale median, all bedrooms, 12 months (442 sales); unit $930k</t>
        </is>
      </c>
      <c r="I7" s="18" t="n">
        <v>1775500</v>
      </c>
      <c r="J7" s="19" t="n">
        <v>0</v>
      </c>
      <c r="K7" s="19" t="n">
        <v>13</v>
      </c>
      <c r="L7" s="18" t="inlineStr">
        <is>
          <t>Active — needs data</t>
        </is>
      </c>
      <c r="M7" s="19" t="n"/>
      <c r="N7" s="19" t="n"/>
      <c r="O7" s="19">
        <f>IF(K7="","",ROUND(MAX(0,10*(1-K7/Filters!$B$5)),1))</f>
        <v/>
      </c>
      <c r="P7" s="19" t="n"/>
      <c r="Q7" s="19" t="n"/>
      <c r="R7" s="19" t="n"/>
      <c r="S7" s="19" t="n"/>
      <c r="T7" s="19" t="n"/>
      <c r="U7" s="19" t="n"/>
      <c r="V7" s="19" t="n"/>
      <c r="W7" s="18">
        <f>IF(M7="",0,COUNT(M7:V7))</f>
        <v/>
      </c>
      <c r="X7" s="18">
        <f>IF(W7&lt;10,"",M7*ForcedChoiceCorrections!$B$6+N7*ForcedChoiceCorrections!$B$7+O7*ForcedChoiceCorrections!$B$8+P7*ForcedChoiceCorrections!$B$9+Q7*ForcedChoiceCorrections!$B$10+R7*ForcedChoiceCorrections!$B$11+S7*ForcedChoiceCorrections!$B$12+T7*ForcedChoiceCorrections!$B$13+U7*ForcedChoiceCorrections!$B$14+V7*ForcedChoiceCorrections!$B$15)</f>
        <v/>
      </c>
      <c r="Y7" s="18">
        <f>IF(AND(ISNUMBER(SEARCH("pass",L7)),ISNUMBER(X7)),COUNTIFS(L$2:L$90,"*pass*",X$2:X$90,"&gt;"&amp;X7)+1,"")</f>
        <v/>
      </c>
      <c r="Z7" s="18" t="inlineStr">
        <is>
          <t>ABS 2021: 58.7% overseas-born, 63.0% non-Eng HH. Baseline benchmark for family proximity. C 29 Oct 2026: G7 $1,675,000 and H7 442 sales from the realestate.com.au Glen Waverley suburb profile (house median, all bedrooms, past 12 months; figure read by the user 29 Oct 2026), CHECKED. Replaces $1,763,500 (454 sales; no source named). Cross-checks: REIV $1,750,000 (1 Jul 2025-30 Jun 2026, via the 5 Northam St Statement of Information); Jellis Craig $1.68m (rolling 12 months, read 28 Oct 2026); realestate.com.au 4-bed median $1,603,000 (Oct 2025-Sep 2026, 175 sales).</t>
        </is>
      </c>
      <c r="AA7" s="16" t="inlineStr">
        <is>
          <t>6. Glen Waverley | East Melbourne | Active Shortlist | P: Low-Medium (Suburban) | Y: Low (Inland) | Lens: Current stay baseline — multicultural convenience | Price: 1763500 | Basis: Sale median, rolling 12m (454 sales); unit $930k | Note: ABS 2021: 58.7% overseas-born, 63.0% non-Eng HH. Baseline benchmark for family proximity.</t>
        </is>
      </c>
      <c r="AB7" s="16" t="inlineStr">
        <is>
          <t>Yes</t>
        </is>
      </c>
      <c r="AC7" s="16" t="inlineStr">
        <is>
          <t>Glen Waverley station, Glen Waverley line (recall; verify)</t>
        </is>
      </c>
      <c r="AD7" s="16" t="inlineStr">
        <is>
          <t>Monash Medical Centre Clayton ED</t>
        </is>
      </c>
      <c r="AE7" s="24" t="n">
        <v>1500000</v>
      </c>
      <c r="AF7" s="22" t="inlineStr">
        <is>
          <t>Maximum purchase price, excluding transaction and moving costs</t>
        </is>
      </c>
      <c r="AG7" s="22" t="inlineStr">
        <is>
          <t>Suburb median</t>
        </is>
      </c>
      <c r="AH7" s="22" t="inlineStr">
        <is>
          <t>29 Oct 2026</t>
        </is>
      </c>
      <c r="AI7" s="22" t="inlineStr">
        <is>
          <t>Needs data</t>
        </is>
      </c>
      <c r="AJ7" s="22" t="inlineStr">
        <is>
          <t>House median $1.68M (442 sales, realestate.com.au) exceeds $1.5M cap; unit median $930k. Awaiting documented search for suitable single-level homes/units under $1.5M.</t>
        </is>
      </c>
      <c r="AK7" s="22" t="inlineStr">
        <is>
          <t>SAL21013</t>
        </is>
      </c>
      <c r="AL7" s="32" t="n">
        <v>42642</v>
      </c>
      <c r="AM7" s="22" t="n">
        <v>40</v>
      </c>
      <c r="AN7" s="33" t="n">
        <v>0.198</v>
      </c>
      <c r="AO7" s="33" t="n">
        <v>0.5870000000000001</v>
      </c>
      <c r="AP7" s="33" t="n">
        <v>0.033</v>
      </c>
      <c r="AQ7" s="33" t="n">
        <v>0.08</v>
      </c>
      <c r="AR7" s="33" t="n">
        <v>0.096</v>
      </c>
      <c r="AS7" s="33" t="n">
        <v>0.098</v>
      </c>
      <c r="AT7" s="33" t="n">
        <v>0.009000000000000001</v>
      </c>
      <c r="AU7" s="33" t="n">
        <v>0.608</v>
      </c>
      <c r="AV7" s="22" t="inlineStr">
        <is>
          <t>Mandarin 23.3%; Cantonese 8.0%; Sinhalese 4.0%</t>
        </is>
      </c>
      <c r="AW7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7" s="22">
        <f>IF(AU7="","",IF(OR(AU7&gt;=0.5,AQ7&gt;=0.08),"High",IF(OR(AU7&gt;=0.3,AQ7&gt;=0.04),"Medium","Low")))</f>
        <v/>
      </c>
    </row>
    <row r="8" ht="15.75" customHeight="1" s="15">
      <c r="A8" s="18" t="inlineStr">
        <is>
          <t>Warrandyte</t>
        </is>
      </c>
      <c r="B8" s="18" t="inlineStr">
        <is>
          <t>North-East / Yarra</t>
        </is>
      </c>
      <c r="C8" s="18" t="inlineStr">
        <is>
          <t>Active Shortlist</t>
        </is>
      </c>
      <c r="D8" s="18" t="inlineStr">
        <is>
          <t>High (River &amp; state park)</t>
        </is>
      </c>
      <c r="E8" s="18" t="inlineStr">
        <is>
          <t>Low (River, non-coastal)</t>
        </is>
      </c>
      <c r="F8" s="18" t="inlineStr">
        <is>
          <t>River-and-bush living within metro boundary</t>
        </is>
      </c>
      <c r="G8" s="18" t="n">
        <v>1348901</v>
      </c>
      <c r="H8" s="18" t="inlineStr">
        <is>
          <t>AVM estimate (30 Sep 2026), NOT a verified sale median; unit $824,796; 84 sales in last 12m (OnTheHouse/Cotality, read 27 Oct 2026)</t>
        </is>
      </c>
      <c r="I8" s="18">
        <f>G8*(1+Settings!$B$6)</f>
        <v/>
      </c>
      <c r="J8" s="19" t="n">
        <v>20</v>
      </c>
      <c r="K8" s="19" t="n">
        <v>14</v>
      </c>
      <c r="L8" s="18" t="inlineStr">
        <is>
          <t>Active — provisional pass</t>
        </is>
      </c>
      <c r="M8" s="19">
        <f>IF(J8="","",ROUND(MAX(0,10*(1-J8/Filters!$B$4)),1))</f>
        <v/>
      </c>
      <c r="N8" s="19" t="n">
        <v>9</v>
      </c>
      <c r="O8" s="19">
        <f>IF(K8="","",ROUND(MAX(0,10*(1-K8/Filters!$B$5)),1))</f>
        <v/>
      </c>
      <c r="P8" s="19" t="n">
        <v>3</v>
      </c>
      <c r="Q8" s="19" t="n">
        <v>6</v>
      </c>
      <c r="R8" s="19" t="n">
        <v>8</v>
      </c>
      <c r="S8" s="19" t="n">
        <v>3</v>
      </c>
      <c r="T8" s="19">
        <f>IF(G8="","",ROUND(MAX(0,MIN(10,10*(Filters!$B$2-G8)/(Filters!$B$2-500000))),1))</f>
        <v/>
      </c>
      <c r="U8" s="19" t="n">
        <v>0</v>
      </c>
      <c r="V8" s="19" t="n">
        <v>4</v>
      </c>
      <c r="W8" s="18">
        <f>IF(M8="",0,COUNT(M8:V8))</f>
        <v/>
      </c>
      <c r="X8" s="18">
        <f>IF(W8&lt;10,"",M8*ForcedChoiceCorrections!$B$6+N8*ForcedChoiceCorrections!$B$7+O8*ForcedChoiceCorrections!$B$8+P8*ForcedChoiceCorrections!$B$9+Q8*ForcedChoiceCorrections!$B$10+R8*ForcedChoiceCorrections!$B$11+S8*ForcedChoiceCorrections!$B$12+T8*ForcedChoiceCorrections!$B$13+U8*ForcedChoiceCorrections!$B$14+V8*ForcedChoiceCorrections!$B$15)</f>
        <v/>
      </c>
      <c r="Y8" s="18">
        <f>IF(AND(ISNUMBER(SEARCH("pass",L8)),ISNUMBER(X8)),COUNTIFS(L$2:L$90,"*pass*",X$2:X$90,"&gt;"&amp;X8)+1,"")</f>
        <v/>
      </c>
      <c r="Z8" s="18" t="inlineStr">
        <is>
          <t>ABS 2021: 17.7% aged 65+, 17.0% non-Eng HH. Direct city bus 906; no local rail; check fire overlay &amp;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5,541; 24 km NE of CBD on the Yarra River; town 'nestled into a gorge on the river' [Wikipedia Warrandyte]. Nature: Warrandyte State Park (Pound Bend, Fourth Hill, Black Flat, Mount Lofty), river swimming, canoeing, bushwalking, many reserves incl. Currawong Bush Park [Wikipedia]; N 9 consistent. Village: surviving colonial-era buildings, shops on Yarra St near the bridge, Mechanics' Institute arts community [Wikipedia]; R 8 consistent. Shops: Goldfields Shopping Centre plus Yarra St shops [Wikipedia]; supermarket not named; Q 6 estimate. Train: no station in either source; S 3 consistent (bus 906 not checked). Two community-run micro-retirement villages [Wikipedia]. Indian community: India-born 0.7%, Hinduism 0.7% [ABS 2021 GCP SAL22702]; P 3 generous (2 arguable). City trip: 24 km but no rail; V 4 estimate. NOT checked: GPs, bus, journey time, bushfire overlay. Scores unchanged.</t>
        </is>
      </c>
      <c r="AA8" s="16" t="inlineStr">
        <is>
          <t>7. Warrandyte | North-East / Yarra | Active Shortlist | P: High (River &amp; state park) | Y: Low (River, non-coastal) | Lens: River-and-bush living within metro boundary | Price: [Blank] | Basis: Not verified in report | Note: ABS 2021: 17.7% aged 65+, 17.0% non-Eng HH. Direct city bus 906; no local rail; check fire overlay &amp; ED drive.</t>
        </is>
      </c>
      <c r="AB8" s="16" t="inlineStr">
        <is>
          <t>No</t>
        </is>
      </c>
      <c r="AC8" s="16" t="inlineStr">
        <is>
          <t>No rail; bus 906 (per sheet note)</t>
        </is>
      </c>
      <c r="AD8" s="16" t="inlineStr">
        <is>
          <t>Maroondah Hospital ED</t>
        </is>
      </c>
      <c r="AE8" s="24" t="n">
        <v>1500000</v>
      </c>
      <c r="AF8" s="22" t="inlineStr">
        <is>
          <t>Maximum purchase price, excluding transaction and moving costs</t>
        </is>
      </c>
      <c r="AG8" s="22" t="inlineStr">
        <is>
          <t>AVM estimate</t>
        </is>
      </c>
      <c r="AH8" s="22" t="inlineStr">
        <is>
          <t>27 Oct 2026</t>
        </is>
      </c>
      <c r="AI8" s="22" t="inlineStr">
        <is>
          <t>Pass</t>
        </is>
      </c>
      <c r="AJ8" s="22" t="inlineStr">
        <is>
          <t>AVM house value ($1,348,901) is under $1.5M cap. Not a sale median.</t>
        </is>
      </c>
      <c r="AK8" s="22" t="inlineStr">
        <is>
          <t>SAL22702</t>
        </is>
      </c>
      <c r="AL8" s="32" t="n">
        <v>5541</v>
      </c>
      <c r="AM8" s="22" t="n">
        <v>45</v>
      </c>
      <c r="AN8" s="33" t="n">
        <v>0.176</v>
      </c>
      <c r="AO8" s="33" t="n">
        <v>0.202</v>
      </c>
      <c r="AP8" s="33" t="n">
        <v>0.024</v>
      </c>
      <c r="AQ8" s="33" t="n">
        <v>0.006999999999999999</v>
      </c>
      <c r="AR8" s="33" t="n">
        <v>0.015</v>
      </c>
      <c r="AS8" s="33" t="n">
        <v>0.006999999999999999</v>
      </c>
      <c r="AT8" s="33" t="n">
        <v>0.004</v>
      </c>
      <c r="AU8" s="33" t="n">
        <v>0.13</v>
      </c>
      <c r="AV8" s="22" t="inlineStr">
        <is>
          <t>Mandarin 2.9%; Greek 1.7%; Italian 1.6%</t>
        </is>
      </c>
      <c r="AW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8" s="22">
        <f>IF(AU8="","",IF(OR(AU8&gt;=0.5,AQ8&gt;=0.08),"High",IF(OR(AU8&gt;=0.3,AQ8&gt;=0.04),"Medium","Low")))</f>
        <v/>
      </c>
    </row>
    <row r="9" ht="15.75" customHeight="1" s="15">
      <c r="A9" s="18" t="inlineStr">
        <is>
          <t>Diamond Creek</t>
        </is>
      </c>
      <c r="B9" s="18" t="inlineStr">
        <is>
          <t>North-East Fringe</t>
        </is>
      </c>
      <c r="C9" s="18" t="inlineStr">
        <is>
          <t>Active Shortlist</t>
        </is>
      </c>
      <c r="D9" s="18" t="inlineStr">
        <is>
          <t>High (Green wedge &amp; trail)</t>
        </is>
      </c>
      <c r="E9" s="18" t="inlineStr">
        <is>
          <t>Low (Inland)</t>
        </is>
      </c>
      <c r="F9" s="18" t="inlineStr">
        <is>
          <t>Practical metro nature compromise with rail</t>
        </is>
      </c>
      <c r="G9" s="18" t="n">
        <v>885000</v>
      </c>
      <c r="H9" s="18" t="inlineStr">
        <is>
          <t>3-bed house median $885k; 4-bed $1,240k (Domain)</t>
        </is>
      </c>
      <c r="I9" s="18" t="n">
        <v>938100</v>
      </c>
      <c r="J9" s="19" t="n">
        <v>33</v>
      </c>
      <c r="K9" s="19" t="n">
        <v>19</v>
      </c>
      <c r="L9" s="18" t="inlineStr">
        <is>
          <t>Active — provisional pass</t>
        </is>
      </c>
      <c r="M9" s="19">
        <f>IF(J9="","",ROUND(MAX(0,10*(1-J9/Filters!$B$4)),1))</f>
        <v/>
      </c>
      <c r="N9" s="19" t="n">
        <v>7</v>
      </c>
      <c r="O9" s="19">
        <f>IF(K9="","",ROUND(MAX(0,10*(1-K9/Filters!$B$5)),1))</f>
        <v/>
      </c>
      <c r="P9" s="19" t="n">
        <v>2</v>
      </c>
      <c r="Q9" s="19" t="n">
        <v>7</v>
      </c>
      <c r="R9" s="19" t="n">
        <v>6</v>
      </c>
      <c r="S9" s="19" t="n">
        <v>7</v>
      </c>
      <c r="T9" s="19">
        <f>IF(G9="","",ROUND(MAX(0,MIN(10,10*(Filters!$B$2-G9)/(Filters!$B$2-500000))),1))</f>
        <v/>
      </c>
      <c r="U9" s="19" t="n">
        <v>0</v>
      </c>
      <c r="V9" s="19" t="n">
        <v>6</v>
      </c>
      <c r="W9" s="18">
        <f>IF(M9="",0,COUNT(M9:V9))</f>
        <v/>
      </c>
      <c r="X9" s="18">
        <f>IF(W9&lt;10,"",M9*ForcedChoiceCorrections!$B$6+N9*ForcedChoiceCorrections!$B$7+O9*ForcedChoiceCorrections!$B$8+P9*ForcedChoiceCorrections!$B$9+Q9*ForcedChoiceCorrections!$B$10+R9*ForcedChoiceCorrections!$B$11+S9*ForcedChoiceCorrections!$B$12+T9*ForcedChoiceCorrections!$B$13+U9*ForcedChoiceCorrections!$B$14+V9*ForcedChoiceCorrections!$B$15)</f>
        <v/>
      </c>
      <c r="Y9" s="18">
        <f>IF(AND(ISNUMBER(SEARCH("pass",L9)),ISNUMBER(X9)),COUNTIFS(L$2:L$90,"*pass*",X$2:X$90,"&gt;"&amp;X9)+1,"")</f>
        <v/>
      </c>
      <c r="Z9" s="18" t="inlineStr">
        <is>
          <t>ABS 2021: 13.1% aged 65+, 12.2% non-Eng HH. Hurstbridge line station &amp; trail; verify ED &amp; GW drive.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12,503; 23 km NE of CBD, Shire of Nillumbik [Wikipedia Diamond Creek]. Train: shopping centre and station sit on the banks of the Diamond Creek; Hurstbridge line [Wikipedia]; S 7 consistent. Shops: a shopping centre near the station and a second centre across the line [Victorian Places]; Q 7 consistent (supermarket not named). Nature: creek corridor and the large Diamond Creek reserve [Victorian Places]; N 7 consistent. Village: 'a pleasant backwater' that grew suburban from the 1970s; heritage St John's (c1867) [Victorian Places; Wikipedia]; R 6 consistent. Community centre was a 2009 bushfire evacuation point [Wikipedia]. Indian community: India-born 0.7%, Hinduism 0.7% [ABS 2021 GCP SAL20752]; P 2 consistent. City trip: 23 km by train; V 6 estimate. NOT checked: GPs, supermarket, journey time. Scores unchanged.</t>
        </is>
      </c>
      <c r="AA9" s="16" t="inlineStr">
        <is>
          <t>8. Diamond Creek | North-East Fringe | Active Shortlist | P: High (Green wedge &amp; trail) | Y: Low (Inland) | Lens: Practical metro nature compromise with rail | Price: 885000 | Basis: 3-bed house median $885k; 4-bed $1,240k (Domain) | Note: ABS 2021: 13.1% aged 65+, 12.2% non-Eng HH. Hurstbridge line station &amp; trail; verify ED &amp; GW drive.</t>
        </is>
      </c>
      <c r="AB9" s="16" t="inlineStr">
        <is>
          <t>Yes</t>
        </is>
      </c>
      <c r="AC9" s="16" t="inlineStr">
        <is>
          <t>Diamond Creek station, Hurstbridge line (per sheet note)</t>
        </is>
      </c>
      <c r="AD9" s="16" t="inlineStr">
        <is>
          <t>Austin Hospital ED</t>
        </is>
      </c>
      <c r="AE9" s="24" t="n">
        <v>1500000</v>
      </c>
      <c r="AF9" s="22" t="inlineStr">
        <is>
          <t>Maximum purchase price, excluding transaction and moving costs</t>
        </is>
      </c>
      <c r="AG9" s="22" t="inlineStr">
        <is>
          <t>Suburb median</t>
        </is>
      </c>
      <c r="AH9" s="22" t="inlineStr">
        <is>
          <t>26 Oct 2026</t>
        </is>
      </c>
      <c r="AI9" s="22" t="inlineStr">
        <is>
          <t>Pass</t>
        </is>
      </c>
      <c r="AJ9" s="22" t="inlineStr">
        <is>
          <t>Published house price ($885,000) is under $1.5M cap.</t>
        </is>
      </c>
      <c r="AK9" s="22" t="inlineStr">
        <is>
          <t>SAL20752</t>
        </is>
      </c>
      <c r="AL9" s="32" t="n">
        <v>12503</v>
      </c>
      <c r="AM9" s="22" t="n">
        <v>39</v>
      </c>
      <c r="AN9" s="33" t="n">
        <v>0.131</v>
      </c>
      <c r="AO9" s="33" t="n">
        <v>0.146</v>
      </c>
      <c r="AP9" s="33" t="n">
        <v>0.022</v>
      </c>
      <c r="AQ9" s="33" t="n">
        <v>0.006999999999999999</v>
      </c>
      <c r="AR9" s="33" t="n">
        <v>0.011</v>
      </c>
      <c r="AS9" s="33" t="n">
        <v>0.006999999999999999</v>
      </c>
      <c r="AT9" s="33" t="n">
        <v>0.002</v>
      </c>
      <c r="AU9" s="33" t="n">
        <v>0.08699999999999999</v>
      </c>
      <c r="AV9" s="22" t="inlineStr">
        <is>
          <t>Italian 1.2%; Greek 0.7%; Mandarin 0.7%</t>
        </is>
      </c>
      <c r="AW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9" s="22">
        <f>IF(AU9="","",IF(OR(AU9&gt;=0.5,AQ9&gt;=0.08),"High",IF(OR(AU9&gt;=0.3,AQ9&gt;=0.04),"Medium","Low")))</f>
        <v/>
      </c>
    </row>
    <row r="10" ht="15.75" customHeight="1" s="15">
      <c r="A10" s="18" t="inlineStr">
        <is>
          <t>Mentone</t>
        </is>
      </c>
      <c r="B10" s="18" t="inlineStr">
        <is>
          <t>Bayside Melbourne</t>
        </is>
      </c>
      <c r="C10" s="18" t="inlineStr">
        <is>
          <t>Active Shortlist</t>
        </is>
      </c>
      <c r="D10" s="18" t="inlineStr">
        <is>
          <t>Low-Medium (Suburban gardens)</t>
        </is>
      </c>
      <c r="E10" s="18" t="inlineStr">
        <is>
          <t>High (Bay beach)</t>
        </is>
      </c>
      <c r="F10" s="18" t="inlineStr">
        <is>
          <t>Coastal daily living on metro rail line</t>
        </is>
      </c>
      <c r="G10" s="18" t="n">
        <v>1497099</v>
      </c>
      <c r="H10" s="18" t="inlineStr">
        <is>
          <t>Sale median (Aussie/CoreLogic); Woodards shows $1.30m</t>
        </is>
      </c>
      <c r="I10" s="18" t="n">
        <v>1586924.94</v>
      </c>
      <c r="J10" s="19" t="n">
        <v>25</v>
      </c>
      <c r="K10" s="19" t="n">
        <v>16</v>
      </c>
      <c r="L10" s="18" t="inlineStr">
        <is>
          <t>Active — provisional pass</t>
        </is>
      </c>
      <c r="M10" s="19">
        <f>IF(J10="","",ROUND(MAX(0,10*(1-J10/Filters!$B$4)),1))</f>
        <v/>
      </c>
      <c r="N10" s="19" t="n">
        <v>4</v>
      </c>
      <c r="O10" s="19">
        <f>IF(K10="","",ROUND(MAX(0,10*(1-K10/Filters!$B$5)),1))</f>
        <v/>
      </c>
      <c r="P10" s="19" t="n">
        <v>5</v>
      </c>
      <c r="Q10" s="19" t="n">
        <v>9</v>
      </c>
      <c r="R10" s="19" t="n">
        <v>6</v>
      </c>
      <c r="S10" s="19" t="n">
        <v>8</v>
      </c>
      <c r="T10" s="19">
        <f>IF(G10="","",ROUND(MAX(0,MIN(10,10*(Filters!$B$2-G10)/(Filters!$B$2-500000))),1))</f>
        <v/>
      </c>
      <c r="U10" s="19" t="n">
        <v>9</v>
      </c>
      <c r="V10" s="19" t="n">
        <v>8</v>
      </c>
      <c r="W10" s="18">
        <f>IF(M10="",0,COUNT(M10:V10))</f>
        <v/>
      </c>
      <c r="X10" s="18">
        <f>IF(W10&lt;10,"",M10*ForcedChoiceCorrections!$B$6+N10*ForcedChoiceCorrections!$B$7+O10*ForcedChoiceCorrections!$B$8+P10*ForcedChoiceCorrections!$B$9+Q10*ForcedChoiceCorrections!$B$10+R10*ForcedChoiceCorrections!$B$11+S10*ForcedChoiceCorrections!$B$12+T10*ForcedChoiceCorrections!$B$13+U10*ForcedChoiceCorrections!$B$14+V10*ForcedChoiceCorrections!$B$15)</f>
        <v/>
      </c>
      <c r="Y10" s="18">
        <f>IF(AND(ISNUMBER(SEARCH("pass",L10)),ISNUMBER(X10)),COUNTIFS(L$2:L$90,"*pass*",X$2:X$90,"&gt;"&amp;X10)+1,"")</f>
        <v/>
      </c>
      <c r="Z10" s="18" t="inlineStr">
        <is>
          <t>ABS 2021: 28.8% overseas-born, 22.4% non-Eng HH. Reconcile price sources &amp; verify ED drive.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Mentone Beach + lifesaving club; Woolworths at Thrift Park; Southland next door (Wikipedia Mentone). GPs: Mentone Medical Clinic, St Kerellos Medical Centre (healthdirect). N, P, R, V remain estimates. | CHECKED 27 Oct 2026, second pass (N, P, R, V; suburb level). Nature: Mentone Beach along Beaumaris Bay [Wikipedia Mentone]; no bushland or large reserve named; N 4 consistent. Village: 'lively shopping area' on Como Pde West, Balcombe Rd, Mentone Pde with cafés, bakeries, bookshops; Mediterranean-named 1880s township streets [Wikipedia; Victorian Places]; R 6 consistent. Indian community: India-born 1.9%, Indian ancestry 2.5%, Hinduism 1.7% [ABS 2021 GCP SAL21648]; P 5 generous (3 arguable). City trip: 21-22 km SE on the Frankston line [Wikipedia; Victorian Places]; journey time not stated; V 8 plausible. Scores unchanged.</t>
        </is>
      </c>
      <c r="AA10" s="16" t="inlineStr">
        <is>
          <t>9. Mentone | Bayside Melbourne | Active Shortlist | P: Low-Medium (Suburban gardens) | Y: High (Bay beach) | Lens: Coastal daily living on metro rail line | Price: 1497099 | Basis: Sale median (Aussie/CoreLogic); Woodards shows $1.30m | Note: ABS 2021: 28.8% overseas-born, 22.4% non-Eng HH. Reconcile price sources &amp; verify ED drive.</t>
        </is>
      </c>
      <c r="AB10" s="16" t="inlineStr">
        <is>
          <t>Yes</t>
        </is>
      </c>
      <c r="AC10" s="16" t="inlineStr">
        <is>
          <t>Mentone station, Frankston line, rebuilt 2020 (checked: Wikipedia Mentone)</t>
        </is>
      </c>
      <c r="AD10" s="16" t="inlineStr">
        <is>
          <t>Monash Medical Centre Clayton ED</t>
        </is>
      </c>
      <c r="AE10" s="24" t="n">
        <v>1500000</v>
      </c>
      <c r="AF10" s="22" t="inlineStr">
        <is>
          <t>Maximum purchase price, excluding transaction and moving costs</t>
        </is>
      </c>
      <c r="AG10" s="22" t="inlineStr">
        <is>
          <t>Suburb median</t>
        </is>
      </c>
      <c r="AH10" s="22" t="inlineStr">
        <is>
          <t>26 Oct 2026</t>
        </is>
      </c>
      <c r="AI10" s="22" t="inlineStr">
        <is>
          <t>Pass</t>
        </is>
      </c>
      <c r="AJ10" s="22" t="inlineStr">
        <is>
          <t>House median $1.497M (CoreLogic) / $1.30M (Woodards) is under $1.5M cap. Passes GW drive (25m) and ED drive (16m).</t>
        </is>
      </c>
      <c r="AK10" s="22" t="inlineStr">
        <is>
          <t>SAL21648</t>
        </is>
      </c>
      <c r="AL10" s="32" t="n">
        <v>13197</v>
      </c>
      <c r="AM10" s="22" t="n">
        <v>42</v>
      </c>
      <c r="AN10" s="33" t="n">
        <v>0.196</v>
      </c>
      <c r="AO10" s="33" t="n">
        <v>0.288</v>
      </c>
      <c r="AP10" s="33" t="n">
        <v>0.025</v>
      </c>
      <c r="AQ10" s="33" t="n">
        <v>0.019</v>
      </c>
      <c r="AR10" s="33" t="n">
        <v>0.025</v>
      </c>
      <c r="AS10" s="33" t="n">
        <v>0.017</v>
      </c>
      <c r="AT10" s="33" t="n">
        <v>0.002</v>
      </c>
      <c r="AU10" s="33" t="n">
        <v>0.198</v>
      </c>
      <c r="AV10" s="22" t="inlineStr">
        <is>
          <t>Greek 3.5%; Mandarin 3.0%; Russian 1.5%</t>
        </is>
      </c>
      <c r="AW10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10" s="22">
        <f>IF(AU10="","",IF(OR(AU10&gt;=0.5,AQ10&gt;=0.08),"High",IF(OR(AU10&gt;=0.3,AQ10&gt;=0.04),"Medium","Low")))</f>
        <v/>
      </c>
    </row>
    <row r="11" ht="15.75" customHeight="1" s="15">
      <c r="A11" s="18" t="inlineStr">
        <is>
          <t>Frankston</t>
        </is>
      </c>
      <c r="B11" s="18" t="inlineStr">
        <is>
          <t>South / Coastal</t>
        </is>
      </c>
      <c r="C11" s="18" t="inlineStr">
        <is>
          <t>Active Shortlist</t>
        </is>
      </c>
      <c r="D11" s="18" t="inlineStr">
        <is>
          <t>Medium (Sweetwater/gullies)</t>
        </is>
      </c>
      <c r="E11" s="18" t="inlineStr">
        <is>
          <t>High (Bay beach)</t>
        </is>
      </c>
      <c r="F11" s="18" t="inlineStr">
        <is>
          <t>Coastal practicality &amp; accessible property price</t>
        </is>
      </c>
      <c r="G11" s="18" t="n">
        <v>834296</v>
      </c>
      <c r="H11" s="18" t="inlineStr">
        <is>
          <t>Sale median, rolling 12m (Aussie/Cotality); unit $573k</t>
        </is>
      </c>
      <c r="I11" s="18" t="n">
        <v>884353.76</v>
      </c>
      <c r="J11" s="19" t="n">
        <v>25</v>
      </c>
      <c r="K11" s="19" t="n">
        <v>4</v>
      </c>
      <c r="L11" s="18" t="inlineStr">
        <is>
          <t>Active — provisional pass</t>
        </is>
      </c>
      <c r="M11" s="19">
        <f>IF(J11="","",ROUND(MAX(0,10*(1-J11/Filters!$B$4)),1))</f>
        <v/>
      </c>
      <c r="N11" s="19" t="n">
        <v>6</v>
      </c>
      <c r="O11" s="19">
        <f>IF(K11="","",ROUND(MAX(0,10*(1-K11/Filters!$B$5)),1))</f>
        <v/>
      </c>
      <c r="P11" s="19" t="n">
        <v>4</v>
      </c>
      <c r="Q11" s="19" t="n">
        <v>9</v>
      </c>
      <c r="R11" s="19" t="n">
        <v>3</v>
      </c>
      <c r="S11" s="19" t="n">
        <v>9</v>
      </c>
      <c r="T11" s="19">
        <f>IF(G11="","",ROUND(MAX(0,MIN(10,10*(Filters!$B$2-G11)/(Filters!$B$2-500000))),1))</f>
        <v/>
      </c>
      <c r="U11" s="19" t="n">
        <v>8</v>
      </c>
      <c r="V11" s="19" t="n">
        <v>6</v>
      </c>
      <c r="W11" s="18">
        <f>IF(M11="",0,COUNT(M11:V11))</f>
        <v/>
      </c>
      <c r="X11" s="18">
        <f>IF(W11&lt;10,"",M11*ForcedChoiceCorrections!$B$6+N11*ForcedChoiceCorrections!$B$7+O11*ForcedChoiceCorrections!$B$8+P11*ForcedChoiceCorrections!$B$9+Q11*ForcedChoiceCorrections!$B$10+R11*ForcedChoiceCorrections!$B$11+S11*ForcedChoiceCorrections!$B$12+T11*ForcedChoiceCorrections!$B$13+U11*ForcedChoiceCorrections!$B$14+V11*ForcedChoiceCorrections!$B$15)</f>
        <v/>
      </c>
      <c r="Y11" s="18">
        <f>IF(AND(ISNUMBER(SEARCH("pass",L11)),ISNUMBER(X11)),COUNTIFS(L$2:L$90,"*pass*",X$2:X$90,"&gt;"&amp;X11)+1,"")</f>
        <v/>
      </c>
      <c r="Z11" s="18" t="inlineStr">
        <is>
          <t>ABS 2021: 22.5% overseas-born, 15.2% non-Eng HH. Peninsula Univ Hospital ED; ~66m train to CBD.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Rail terminus + bus hub to Mornington, Rosebud etc. (Wikipedia). GP: myhealth Bayside (healthdirect). Beach U and supermarket not individually checked. N, P, R, V remain estimates. | CHECKED 27 Oct 2026, second pass (N, P, R, V; suburb level). Nature: 'generally a leafy suburb'; natural reserves Bunarong Park, Frankston Foreshore Reserve, Lower Sweetwater Creek Reserve, Paratea Reserve; over 20 indigenous orchid species; McClelland Sculpture Park in 16 ha of park and reserve [Wikipedia Frankston]; N 5 consistent (6 arguable). Village: regional centre with Bayside (250+ stores) and Karingal Hub; several vacant highway buildings noted [Wikipedia; Victorian Places]; R 3 consistent. Health hub: four hospitals in the suburb [Wikipedia]. Indian community: India-born 1.1%, Hinduism 0.8%; Malayalam 0.5% at home [ABS 2021 GCP SAL20947; Wikipedia]; P 4 generous (2 arguable). City trip: 39-40 km SE, line terminus [Wikipedia; Victorian Places]; V 6 plausible. Scores unchanged. | C3 28 Oct 2026: N 5-&gt;6 (source: 'generally a leafy suburb'; Bunarong Park, Lower Sweetwater Creek and Paratea reserves [Wikipedia Frankston]).</t>
        </is>
      </c>
      <c r="AA11" s="16" t="inlineStr">
        <is>
          <t>10. Frankston | South / Coastal | Active Shortlist | P: Medium (Sweetwater/gullies) | Y: High (Bay beach) | Lens: Coastal practicality &amp; accessible property price | Price: 834296 | Basis: Sale median, rolling 12m (Aussie/Cotality); unit $573k | Note: ABS 2021: 22.5% overseas-born, 15.2% non-Eng HH. Peninsula Univ Hospital ED; ~66m train to CBD.</t>
        </is>
      </c>
      <c r="AB11" s="16" t="inlineStr">
        <is>
          <t>Yes</t>
        </is>
      </c>
      <c r="AC11" s="16" t="inlineStr">
        <is>
          <t>Frankston station, terminus of Frankston and Stony Point lines; bus hub (checked: Wikipedia Frankston station)</t>
        </is>
      </c>
      <c r="AD11" s="16" t="inlineStr">
        <is>
          <t>Peninsula University Hospital ED</t>
        </is>
      </c>
      <c r="AE11" s="24" t="n">
        <v>1500000</v>
      </c>
      <c r="AF11" s="22" t="inlineStr">
        <is>
          <t>Maximum purchase price, excluding transaction and moving costs</t>
        </is>
      </c>
      <c r="AG11" s="22" t="inlineStr">
        <is>
          <t>Suburb median</t>
        </is>
      </c>
      <c r="AH11" s="22" t="inlineStr">
        <is>
          <t>26 Oct 2026</t>
        </is>
      </c>
      <c r="AI11" s="22" t="inlineStr">
        <is>
          <t>Pass</t>
        </is>
      </c>
      <c r="AJ11" s="22" t="inlineStr">
        <is>
          <t>Published house price ($834,296) is under $1.5M cap.</t>
        </is>
      </c>
      <c r="AK11" s="22" t="inlineStr">
        <is>
          <t>SAL20947</t>
        </is>
      </c>
      <c r="AL11" s="32" t="n">
        <v>37331</v>
      </c>
      <c r="AM11" s="22" t="n">
        <v>39</v>
      </c>
      <c r="AN11" s="33" t="n">
        <v>0.179</v>
      </c>
      <c r="AO11" s="33" t="n">
        <v>0.225</v>
      </c>
      <c r="AP11" s="33" t="n">
        <v>0.06900000000000001</v>
      </c>
      <c r="AQ11" s="33" t="n">
        <v>0.011</v>
      </c>
      <c r="AR11" s="33" t="n">
        <v>0.014</v>
      </c>
      <c r="AS11" s="33" t="n">
        <v>0.008</v>
      </c>
      <c r="AT11" s="33" t="n">
        <v>0.001</v>
      </c>
      <c r="AU11" s="33" t="n">
        <v>0.121</v>
      </c>
      <c r="AV11" s="22" t="inlineStr">
        <is>
          <t>Mandarin 1.4%; Greek 1.0%; Russian 0.6%</t>
        </is>
      </c>
      <c r="AW1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11" s="22">
        <f>IF(AU11="","",IF(OR(AU11&gt;=0.5,AQ11&gt;=0.08),"High",IF(OR(AU11&gt;=0.3,AQ11&gt;=0.04),"Medium","Low")))</f>
        <v/>
      </c>
    </row>
    <row r="12" ht="15.75" customHeight="1" s="15">
      <c r="A12" s="18" t="inlineStr">
        <is>
          <t>Altona</t>
        </is>
      </c>
      <c r="B12" s="18" t="inlineStr">
        <is>
          <t>West Coastal</t>
        </is>
      </c>
      <c r="C12" s="18" t="inlineStr">
        <is>
          <t>Active Shortlist</t>
        </is>
      </c>
      <c r="D12" s="18" t="inlineStr">
        <is>
          <t>Low-Medium (Flat coastal)</t>
        </is>
      </c>
      <c r="E12" s="18" t="inlineStr">
        <is>
          <t>High (Bay beach/wetlands)</t>
        </is>
      </c>
      <c r="F12" s="18" t="inlineStr">
        <is>
          <t>Coastal village alternative at lower price point</t>
        </is>
      </c>
      <c r="G12" s="18" t="n">
        <v>1155073</v>
      </c>
      <c r="H12" s="18" t="inlineStr">
        <is>
          <t>AVM estimate (31 Aug 2026), NOT a verified sale median</t>
        </is>
      </c>
      <c r="I12" s="18" t="n">
        <v>1224377.38</v>
      </c>
      <c r="J12" s="19" t="n">
        <v>35</v>
      </c>
      <c r="K12" s="19" t="n">
        <v>15</v>
      </c>
      <c r="L12" s="18" t="inlineStr">
        <is>
          <t>Active — provisional pass</t>
        </is>
      </c>
      <c r="M12" s="19">
        <f>IF(J12="","",ROUND(MAX(0,10*(1-J12/Filters!$B$4)),1))</f>
        <v/>
      </c>
      <c r="N12" s="19" t="n">
        <v>4</v>
      </c>
      <c r="O12" s="19">
        <f>IF(K12="","",ROUND(MAX(0,10*(1-K12/Filters!$B$5)),1))</f>
        <v/>
      </c>
      <c r="P12" s="19" t="n">
        <v>6</v>
      </c>
      <c r="Q12" s="19" t="n">
        <v>8</v>
      </c>
      <c r="R12" s="19" t="n">
        <v>6</v>
      </c>
      <c r="S12" s="19" t="n">
        <v>8</v>
      </c>
      <c r="T12" s="19">
        <f>IF(G12="","",ROUND(MAX(0,MIN(10,10*(Filters!$B$2-G12)/(Filters!$B$2-500000))),1))</f>
        <v/>
      </c>
      <c r="U12" s="19" t="n">
        <v>8</v>
      </c>
      <c r="V12" s="19" t="n">
        <v>8</v>
      </c>
      <c r="W12" s="18">
        <f>IF(M12="",0,COUNT(M12:V12))</f>
        <v/>
      </c>
      <c r="X12" s="18">
        <f>IF(W12&lt;10,"",M12*ForcedChoiceCorrections!$B$6+N12*ForcedChoiceCorrections!$B$7+O12*ForcedChoiceCorrections!$B$8+P12*ForcedChoiceCorrections!$B$9+Q12*ForcedChoiceCorrections!$B$10+R12*ForcedChoiceCorrections!$B$11+S12*ForcedChoiceCorrections!$B$12+T12*ForcedChoiceCorrections!$B$13+U12*ForcedChoiceCorrections!$B$14+V12*ForcedChoiceCorrections!$B$15)</f>
        <v/>
      </c>
      <c r="Y12" s="18">
        <f>IF(AND(ISNUMBER(SEARCH("pass",L12)),ISNUMBER(X12)),COUNTIFS(L$2:L$90,"*pass*",X$2:X$90,"&gt;"&amp;X12)+1,"")</f>
        <v/>
      </c>
      <c r="Z12" s="18" t="inlineStr">
        <is>
          <t>ABS 2021: 28.3% overseas-born, 23.8% non-Eng HH. Cross-city drive to Glen Waverley needs testing.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Altona Bay beach, pier, coastal park (Victorian Places). GP: Pier Street Medical Centre (healthdirect). Coles Altona (grocerize). N, P, R, V remain estimates. | CHECKED 27 Oct 2026, second pass (N, P, R, V; suburb level). Nature: Altona Beach, one of only two swimming beaches in the western suburbs; conservation areas and wetlands along the bay shore; long bayside promenade [Wikipedia Altona]; north-western half is mixed industry [Wikipedia]; N 4 consistent. Village: Pier St and Esplanade precinct; annual beach festival; civic theatre [Wikipedia]; R 6 consistent. Indian community: India-born 1.4%, Indian ancestry 1.9%, Hinduism 1.1% [ABS 2021 GCP SAL20035]; P 6 not supported (3 arguable). City trip: 13 km SW by train (Altona loop) [Wikipedia]; V 8 consistent. Scores unchanged. Victorian Places page not found.</t>
        </is>
      </c>
      <c r="AA12" s="16" t="inlineStr">
        <is>
          <t>11. Altona | West Coastal | Active Shortlist | P: Low-Medium (Flat coastal) | Y: High (Bay beach/wetlands) | Lens: Coastal village alternative at lower price point | Price: 1155073 | Basis: AVM estimate (31 Aug 2026), NOT a verified sale median | Note: ABS 2021: 28.3% overseas-born, 23.8% non-Eng HH. Cross-city drive to Glen Waverley needs testing.</t>
        </is>
      </c>
      <c r="AB12" s="16" t="inlineStr">
        <is>
          <t>Yes</t>
        </is>
      </c>
      <c r="AC12" s="16" t="inlineStr">
        <is>
          <t>Altona station, Altona loop of Werribee line (checked: Wikipedia Altona station)</t>
        </is>
      </c>
      <c r="AD12" s="16" t="inlineStr">
        <is>
          <t>Footscray Hospital ED</t>
        </is>
      </c>
      <c r="AE12" s="24" t="n">
        <v>1500000</v>
      </c>
      <c r="AF12" s="22" t="inlineStr">
        <is>
          <t>Maximum purchase price, excluding transaction and moving costs</t>
        </is>
      </c>
      <c r="AG12" s="22" t="inlineStr">
        <is>
          <t>Suburb median</t>
        </is>
      </c>
      <c r="AH12" s="22" t="inlineStr">
        <is>
          <t>26 Oct 2026</t>
        </is>
      </c>
      <c r="AI12" s="22" t="inlineStr">
        <is>
          <t>Pass</t>
        </is>
      </c>
      <c r="AJ12" s="22" t="inlineStr">
        <is>
          <t>Published house price ($1,155,073) is under $1.5M cap.</t>
        </is>
      </c>
      <c r="AK12" s="22" t="inlineStr">
        <is>
          <t>SAL20035</t>
        </is>
      </c>
      <c r="AL12" s="32" t="n">
        <v>11490</v>
      </c>
      <c r="AM12" s="22" t="n">
        <v>42</v>
      </c>
      <c r="AN12" s="33" t="n">
        <v>0.194</v>
      </c>
      <c r="AO12" s="33" t="n">
        <v>0.283</v>
      </c>
      <c r="AP12" s="33" t="n">
        <v>0.044</v>
      </c>
      <c r="AQ12" s="33" t="n">
        <v>0.014</v>
      </c>
      <c r="AR12" s="33" t="n">
        <v>0.019</v>
      </c>
      <c r="AS12" s="33" t="n">
        <v>0.011</v>
      </c>
      <c r="AT12" s="33" t="n">
        <v>0.003</v>
      </c>
      <c r="AU12" s="33" t="n">
        <v>0.196</v>
      </c>
      <c r="AV12" s="22" t="inlineStr">
        <is>
          <t>Italian 1.6%; Greek 1.4%; Mandarin 1.4%</t>
        </is>
      </c>
      <c r="AW1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12" s="22">
        <f>IF(AU12="","",IF(OR(AU12&gt;=0.5,AQ12&gt;=0.08),"High",IF(OR(AU12&gt;=0.3,AQ12&gt;=0.04),"Medium","Low")))</f>
        <v/>
      </c>
    </row>
    <row r="13" ht="15.75" customHeight="1" s="15">
      <c r="A13" s="18" t="inlineStr">
        <is>
          <t>Williamstown</t>
        </is>
      </c>
      <c r="B13" s="18" t="inlineStr">
        <is>
          <t>West Coastal</t>
        </is>
      </c>
      <c r="C13" s="18" t="inlineStr">
        <is>
          <t>Active Shortlist</t>
        </is>
      </c>
      <c r="D13" s="18" t="inlineStr">
        <is>
          <t>Medium (Botanic gardens)</t>
        </is>
      </c>
      <c r="E13" s="18" t="inlineStr">
        <is>
          <t>High (Historic harbor/beach)</t>
        </is>
      </c>
      <c r="F13" s="18" t="inlineStr">
        <is>
          <t>Picturesque coastal character vs cost</t>
        </is>
      </c>
      <c r="G13" s="18" t="n">
        <v>1642163</v>
      </c>
      <c r="H13" s="18" t="inlineStr">
        <is>
          <t>AVM estimate (30 Sep 2026), NOT a verified sale median</t>
        </is>
      </c>
      <c r="I13" s="18" t="n">
        <v>1740692.78</v>
      </c>
      <c r="J13" s="19" t="n">
        <v>31</v>
      </c>
      <c r="K13" s="19" t="n">
        <v>13</v>
      </c>
      <c r="L13" s="18" t="inlineStr">
        <is>
          <t>Active — needs data</t>
        </is>
      </c>
      <c r="M13" s="19" t="n"/>
      <c r="N13" s="19" t="n"/>
      <c r="O13" s="19">
        <f>IF(K13="","",ROUND(MAX(0,10*(1-K13/Filters!$B$5)),1))</f>
        <v/>
      </c>
      <c r="P13" s="19" t="n"/>
      <c r="Q13" s="19" t="n"/>
      <c r="R13" s="19" t="n"/>
      <c r="S13" s="19" t="n"/>
      <c r="T13" s="19" t="n"/>
      <c r="U13" s="19" t="n"/>
      <c r="V13" s="19" t="n"/>
      <c r="W13" s="18">
        <f>IF(M13="",0,COUNT(M13:V13))</f>
        <v/>
      </c>
      <c r="X13" s="18">
        <f>IF(W13&lt;10,"",M13*ForcedChoiceCorrections!$B$6+N13*ForcedChoiceCorrections!$B$7+O13*ForcedChoiceCorrections!$B$8+P13*ForcedChoiceCorrections!$B$9+Q13*ForcedChoiceCorrections!$B$10+R13*ForcedChoiceCorrections!$B$11+S13*ForcedChoiceCorrections!$B$12+T13*ForcedChoiceCorrections!$B$13+U13*ForcedChoiceCorrections!$B$14+V13*ForcedChoiceCorrections!$B$15)</f>
        <v/>
      </c>
      <c r="Y13" s="18">
        <f>IF(AND(ISNUMBER(SEARCH("pass",L13)),ISNUMBER(X13)),COUNTIFS(L$2:L$90,"*pass*",X$2:X$90,"&gt;"&amp;X13)+1,"")</f>
        <v/>
      </c>
      <c r="Z13" s="18" t="inlineStr">
        <is>
          <t>ABS 2021: 22.6% overseas-born, 20.0% non-Eng HH. Cross-city travel to Glen Waverley &amp; ED capacity need checking.</t>
        </is>
      </c>
      <c r="AA13" s="16" t="inlineStr">
        <is>
          <t>12. Williamstown | West Coastal | Active Shortlist | P: Medium (Botanic gardens) | Y: High (Historic harbor/beach) | Lens: Picturesque coastal character vs cost | Price: 1642163 | Basis: AVM estimate (30 Sep 2026), NOT a verified sale median | Note: ABS 2021: 22.6% overseas-born, 20.0% non-Eng HH. Cross-city travel to Glen Waverley &amp; ED capacity need checking.</t>
        </is>
      </c>
      <c r="AB13" s="16" t="inlineStr">
        <is>
          <t>Yes</t>
        </is>
      </c>
      <c r="AC13" s="16" t="inlineStr">
        <is>
          <t>Williamstown station, Williamstown line (recall; verify)</t>
        </is>
      </c>
      <c r="AD13" s="16" t="inlineStr">
        <is>
          <t>Footscray Hospital ED</t>
        </is>
      </c>
      <c r="AE13" s="24" t="n">
        <v>1500000</v>
      </c>
      <c r="AF13" s="22" t="inlineStr">
        <is>
          <t>Maximum purchase price, excluding transaction and moving costs</t>
        </is>
      </c>
      <c r="AG13" s="22" t="inlineStr">
        <is>
          <t>AVM estimate</t>
        </is>
      </c>
      <c r="AH13" s="22" t="inlineStr">
        <is>
          <t>26 Oct 2026</t>
        </is>
      </c>
      <c r="AI13" s="22" t="inlineStr">
        <is>
          <t>Needs data</t>
        </is>
      </c>
      <c r="AJ13" s="22" t="inlineStr">
        <is>
          <t>Figure is an automated valuation model ($1.64M), not a verified sale median or specific property. Awaiting documented listing search under $1.5M.</t>
        </is>
      </c>
      <c r="AK13" s="22" t="inlineStr">
        <is>
          <t>SAL22792</t>
        </is>
      </c>
      <c r="AL13" s="32" t="n">
        <v>14407</v>
      </c>
      <c r="AM13" s="22" t="n">
        <v>45</v>
      </c>
      <c r="AN13" s="33" t="n">
        <v>0.182</v>
      </c>
      <c r="AO13" s="33" t="n">
        <v>0.226</v>
      </c>
      <c r="AP13" s="33" t="n">
        <v>0.033</v>
      </c>
      <c r="AQ13" s="33" t="n">
        <v>0.005</v>
      </c>
      <c r="AR13" s="33" t="n">
        <v>0.009000000000000001</v>
      </c>
      <c r="AS13" s="33" t="n">
        <v>0.005</v>
      </c>
      <c r="AT13" s="33" t="n">
        <v>0.001</v>
      </c>
      <c r="AU13" s="33" t="n">
        <v>0.149</v>
      </c>
      <c r="AV13" s="22" t="inlineStr">
        <is>
          <t>Greek 2.4%; Italian 1.6%; Vietnamese 1.0%</t>
        </is>
      </c>
      <c r="AW1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13" s="22">
        <f>IF(AU13="","",IF(OR(AU13&gt;=0.5,AQ13&gt;=0.08),"High",IF(OR(AU13&gt;=0.3,AQ13&gt;=0.04),"Medium","Low")))</f>
        <v/>
      </c>
    </row>
    <row r="14" ht="15.75" customHeight="1" s="15">
      <c r="A14" s="18" t="inlineStr">
        <is>
          <t>Healesville</t>
        </is>
      </c>
      <c r="B14" s="18" t="inlineStr">
        <is>
          <t>Yarra Valley</t>
        </is>
      </c>
      <c r="C14" s="18" t="inlineStr">
        <is>
          <t>Active Shortlist</t>
        </is>
      </c>
      <c r="D14" s="18" t="inlineStr">
        <is>
          <t>High (Valley &amp; mountains)</t>
        </is>
      </c>
      <c r="E14" s="18" t="inlineStr">
        <is>
          <t>Low (Inland)</t>
        </is>
      </c>
      <c r="F14" s="18" t="inlineStr">
        <is>
          <t>Larger Yarra Valley town comparator</t>
        </is>
      </c>
      <c r="G14" s="18" t="n">
        <v>837893</v>
      </c>
      <c r="H14" s="18" t="inlineStr">
        <is>
          <t>AVM estimate (30 Sep 2026), NOT a verified sale median; unit $618,926; 160 sales in last 12m (OnTheHouse/Cotality, read 27 Oct 2026)</t>
        </is>
      </c>
      <c r="I14" s="18">
        <f>G14*(1+Settings!$B$6)</f>
        <v/>
      </c>
      <c r="J14" s="19" t="n">
        <v>43</v>
      </c>
      <c r="K14" s="19" t="n">
        <v>33</v>
      </c>
      <c r="L14" s="18" t="inlineStr">
        <is>
          <t>Active — provisional pass</t>
        </is>
      </c>
      <c r="M14" s="19">
        <f>IF(J14="","",ROUND(MAX(0,10*(1-J14/Filters!$B$4)),1))</f>
        <v/>
      </c>
      <c r="N14" s="19" t="n">
        <v>9</v>
      </c>
      <c r="O14" s="19">
        <f>IF(K14="","",ROUND(MAX(0,10*(1-K14/Filters!$B$5)),1))</f>
        <v/>
      </c>
      <c r="P14" s="19" t="n">
        <v>1</v>
      </c>
      <c r="Q14" s="19" t="n">
        <v>6</v>
      </c>
      <c r="R14" s="19" t="n">
        <v>8</v>
      </c>
      <c r="S14" s="19" t="n">
        <v>2</v>
      </c>
      <c r="T14" s="19">
        <f>IF(G14="","",ROUND(MAX(0,MIN(10,10*(Filters!$B$2-G14)/(Filters!$B$2-500000))),1))</f>
        <v/>
      </c>
      <c r="U14" s="19" t="n">
        <v>0</v>
      </c>
      <c r="V14" s="19" t="n">
        <v>2</v>
      </c>
      <c r="W14" s="18">
        <f>IF(M14="",0,COUNT(M14:V14))</f>
        <v/>
      </c>
      <c r="X14" s="18">
        <f>IF(W14&lt;10,"",M14*ForcedChoiceCorrections!$B$6+N14*ForcedChoiceCorrections!$B$7+O14*ForcedChoiceCorrections!$B$8+P14*ForcedChoiceCorrections!$B$9+Q14*ForcedChoiceCorrections!$B$10+R14*ForcedChoiceCorrections!$B$11+S14*ForcedChoiceCorrections!$B$12+T14*ForcedChoiceCorrections!$B$13+U14*ForcedChoiceCorrections!$B$14+V14*ForcedChoiceCorrections!$B$15)</f>
        <v/>
      </c>
      <c r="Y14" s="18">
        <f>IF(AND(ISNUMBER(SEARCH("pass",L14)),ISNUMBER(X14)),COUNTIFS(L$2:L$90,"*pass*",X$2:X$90,"&gt;"&amp;X14)+1,"")</f>
        <v/>
      </c>
      <c r="Z14" s="18" t="inlineStr">
        <is>
          <t>2021 pop 7,589. CAUTION: Eastern Health directs urgent ED patients to Maroondah Hospital ED (not local).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7,589; 64 km NE of CBD on the Watts River [Wikipedia Healesville]. Nature: Healesville Sanctuary, Badger Weir picnic area, Maroondah Dam nearby; southern end of the Bicentennial Heritage Trail [Wikipedia]; N 9 consistent. Village: tourist town since the 1880s; Yarra Valley wine and food centre, organic market, cafés, festivals [Wikipedia]; R 8 consistent. Train: only the Yarra Valley tourist railway (Sundays, some holidays) [Wikipedia]; no metro or V/Line station; S 2 consistent. Indian community: India-born 0.2%, Hinduism 0.2% [ABS 2021 GCP SAL21158]; P 1 consistent. Older: median age 46, 23.7% aged 65+ [ABS]. City trip: 64 km, no rail; V 2 consistent. NOT checked: GPs, supermarket, bus. Scores unchanged.</t>
        </is>
      </c>
      <c r="AA14" s="16" t="inlineStr">
        <is>
          <t>13. Healesville | Yarra Valley | Active Shortlist | P: High (Valley &amp; mountains) | Y: Low (Inland) | Lens: Larger Yarra Valley town comparator | Price: [Blank] | Basis: Not verified in report | Note: 2021 pop 7,589. CAUTION: Eastern Health directs urgent ED patients to Maroondah Hospital ED (not local).</t>
        </is>
      </c>
      <c r="AB14" s="16" t="inlineStr">
        <is>
          <t>No</t>
        </is>
      </c>
      <c r="AC14" s="16" t="inlineStr">
        <is>
          <t>No rail (recall; verify)</t>
        </is>
      </c>
      <c r="AD14" s="16" t="inlineStr">
        <is>
          <t>Maroondah Hospital ED (sheet note: urgent ED cases go here)</t>
        </is>
      </c>
      <c r="AE14" s="24" t="n">
        <v>1500000</v>
      </c>
      <c r="AF14" s="22" t="inlineStr">
        <is>
          <t>Maximum purchase price, excluding transaction and moving costs</t>
        </is>
      </c>
      <c r="AG14" s="22" t="inlineStr">
        <is>
          <t>AVM estimate</t>
        </is>
      </c>
      <c r="AH14" s="22" t="inlineStr">
        <is>
          <t>27 Oct 2026</t>
        </is>
      </c>
      <c r="AI14" s="22" t="inlineStr">
        <is>
          <t>Pass</t>
        </is>
      </c>
      <c r="AJ14" s="22" t="inlineStr">
        <is>
          <t>AVM house value ($837,893) is under $1.5M cap. Not a sale median.</t>
        </is>
      </c>
      <c r="AK14" s="22" t="inlineStr">
        <is>
          <t>SAL21158</t>
        </is>
      </c>
      <c r="AL14" s="32" t="n">
        <v>7589</v>
      </c>
      <c r="AM14" s="22" t="n">
        <v>46</v>
      </c>
      <c r="AN14" s="33" t="n">
        <v>0.237</v>
      </c>
      <c r="AO14" s="33" t="n">
        <v>0.15</v>
      </c>
      <c r="AP14" s="33" t="n">
        <v>0.05599999999999999</v>
      </c>
      <c r="AQ14" s="33" t="n">
        <v>0.002</v>
      </c>
      <c r="AR14" s="33" t="n">
        <v>0.004</v>
      </c>
      <c r="AS14" s="33" t="n">
        <v>0.002</v>
      </c>
      <c r="AT14" s="33" t="n">
        <v>0</v>
      </c>
      <c r="AU14" s="33" t="n">
        <v>0.047</v>
      </c>
      <c r="AV14" s="22" t="inlineStr">
        <is>
          <t>German 0.7%; Italian 0.6%; Mandarin 0.3%</t>
        </is>
      </c>
      <c r="AW14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14" s="22">
        <f>IF(AU14="","",IF(OR(AU14&gt;=0.5,AQ14&gt;=0.08),"High",IF(OR(AU14&gt;=0.3,AQ14&gt;=0.04),"Medium","Low")))</f>
        <v/>
      </c>
    </row>
    <row r="15" ht="15.75" customHeight="1" s="15">
      <c r="A15" s="18" t="inlineStr">
        <is>
          <t>Kyneton</t>
        </is>
      </c>
      <c r="B15" s="18" t="inlineStr">
        <is>
          <t>Macedon Ranges</t>
        </is>
      </c>
      <c r="C15" s="18" t="inlineStr">
        <is>
          <t>Active Shortlist</t>
        </is>
      </c>
      <c r="D15" s="18" t="inlineStr">
        <is>
          <t>High (Country town &amp; gardens)</t>
        </is>
      </c>
      <c r="E15" s="18" t="inlineStr">
        <is>
          <t>Low (Inland river)</t>
        </is>
      </c>
      <c r="F15" s="18" t="inlineStr">
        <is>
          <t>Country-town practicality with V/Line rail</t>
        </is>
      </c>
      <c r="G15" s="18" t="n">
        <v>810000</v>
      </c>
      <c r="H15" s="18" t="inlineStr">
        <is>
          <t>3-bed house median $810k; 4-bed $980k (Domain)</t>
        </is>
      </c>
      <c r="I15" s="18" t="n">
        <v>858600</v>
      </c>
      <c r="J15" s="19" t="n">
        <v>77</v>
      </c>
      <c r="K15" s="19" t="n">
        <v>47</v>
      </c>
      <c r="L15" s="18" t="inlineStr">
        <is>
          <t>Active — provisional pass</t>
        </is>
      </c>
      <c r="M15" s="19">
        <f>IF(J15="","",ROUND(MAX(0,10*(1-J15/Filters!$B$4)),1))</f>
        <v/>
      </c>
      <c r="N15" s="19" t="n">
        <v>7</v>
      </c>
      <c r="O15" s="19">
        <f>IF(K15="","",ROUND(MAX(0,10*(1-K15/Filters!$B$5)),1))</f>
        <v/>
      </c>
      <c r="P15" s="19" t="n">
        <v>1</v>
      </c>
      <c r="Q15" s="19" t="n">
        <v>7</v>
      </c>
      <c r="R15" s="19" t="n">
        <v>9</v>
      </c>
      <c r="S15" s="19" t="n">
        <v>5</v>
      </c>
      <c r="T15" s="19">
        <f>IF(G15="","",ROUND(MAX(0,MIN(10,10*(Filters!$B$2-G15)/(Filters!$B$2-500000))),1))</f>
        <v/>
      </c>
      <c r="U15" s="19" t="n">
        <v>0</v>
      </c>
      <c r="V15" s="19" t="n">
        <v>5</v>
      </c>
      <c r="W15" s="18">
        <f>IF(M15="",0,COUNT(M15:V15))</f>
        <v/>
      </c>
      <c r="X15" s="18">
        <f>IF(W15&lt;10,"",M15*ForcedChoiceCorrections!$B$6+N15*ForcedChoiceCorrections!$B$7+O15*ForcedChoiceCorrections!$B$8+P15*ForcedChoiceCorrections!$B$9+Q15*ForcedChoiceCorrections!$B$10+R15*ForcedChoiceCorrections!$B$11+S15*ForcedChoiceCorrections!$B$12+T15*ForcedChoiceCorrections!$B$13+U15*ForcedChoiceCorrections!$B$14+V15*ForcedChoiceCorrections!$B$15)</f>
        <v/>
      </c>
      <c r="Y15" s="18">
        <f>IF(AND(ISNUMBER(SEARCH("pass",L15)),ISNUMBER(X15)),COUNTIFS(L$2:L$90,"*pass*",X$2:X$90,"&gt;"&amp;X15)+1,"")</f>
        <v/>
      </c>
      <c r="Z15" s="18" t="inlineStr">
        <is>
          <t>ABS 2021: 25.0% aged 65+, 6.9% non-Eng HH. CAUTION: Local facility is 24-hr Urgent Care Centre, NOT a major public 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7,513; Macedon Ranges, ~75 km NW of Melbourne [Wikipedia Kyneton; Victorian Places]. Train: heritage-listed station south of town, ~86 km from Melbourne on the Bendigo line; 'a terminus for two weekday peak-hour trains' [Wikipedia; Victorian Places]; S 5 consistent (frequency not checked). Village: three main streets; Piper St 'has the oldest streetscape', galleries, bookstores, cafés; historic museum [Wikipedia; Victorian Places]; R 9 consistent. Nature: botanic gardens, Campaspe River walks, Black Hill and Bald Hill reserves nearby [Wikipedia]; N 7 consistent. Indian community: India-born 0.5%, Hinduism 0.3% [ABS 2021 GCP SAL21414]; P 1 consistent. Older: median age 47, 25.0% aged 65+ [ABS]. City trip: 86 km by V/Line; V 5 estimate. NOT checked: GPs, supermarket, train journey time. Scores unchanged.</t>
        </is>
      </c>
      <c r="AA15" s="16" t="inlineStr">
        <is>
          <t>14. Kyneton | Macedon Ranges | Active Shortlist | P: High (Country town &amp; gardens) | Y: Low (Inland river) | Lens: Country-town practicality with V/Line rail | Price: 810000 | Basis: 3-bed house median $810k; 4-bed $980k (Domain) | Note: ABS 2021: 25.0% aged 65+, 6.9% non-Eng HH. CAUTION: Local facility is 24-hr Urgent Care Centre, NOT a major public ED.</t>
        </is>
      </c>
      <c r="AB15" s="16" t="inlineStr">
        <is>
          <t>Yes</t>
        </is>
      </c>
      <c r="AC15" s="16" t="inlineStr">
        <is>
          <t>Kyneton station, V/Line Bendigo (per sheet note)</t>
        </is>
      </c>
      <c r="AD15" s="16" t="inlineStr">
        <is>
          <t>Bendigo Hospital ED (local 24-hr urgent care is not an ED)</t>
        </is>
      </c>
      <c r="AE15" s="24" t="n">
        <v>1500000</v>
      </c>
      <c r="AF15" s="22" t="inlineStr">
        <is>
          <t>Maximum purchase price, excluding transaction and moving costs</t>
        </is>
      </c>
      <c r="AG15" s="22" t="inlineStr">
        <is>
          <t>Suburb median</t>
        </is>
      </c>
      <c r="AH15" s="22" t="inlineStr">
        <is>
          <t>26 Oct 2026</t>
        </is>
      </c>
      <c r="AI15" s="22" t="inlineStr">
        <is>
          <t>Pass</t>
        </is>
      </c>
      <c r="AJ15" s="22" t="inlineStr">
        <is>
          <t>Published house price ($810,000) is under $1.5M cap.</t>
        </is>
      </c>
      <c r="AK15" s="22" t="inlineStr">
        <is>
          <t>SAL21414</t>
        </is>
      </c>
      <c r="AL15" s="32" t="n">
        <v>7513</v>
      </c>
      <c r="AM15" s="22" t="n">
        <v>47</v>
      </c>
      <c r="AN15" s="33" t="n">
        <v>0.25</v>
      </c>
      <c r="AO15" s="33" t="n">
        <v>0.145</v>
      </c>
      <c r="AP15" s="33" t="n">
        <v>0.059</v>
      </c>
      <c r="AQ15" s="33" t="n">
        <v>0.005</v>
      </c>
      <c r="AR15" s="33" t="n">
        <v>0.006999999999999999</v>
      </c>
      <c r="AS15" s="33" t="n">
        <v>0.003</v>
      </c>
      <c r="AT15" s="33" t="n">
        <v>0.001</v>
      </c>
      <c r="AU15" s="33" t="n">
        <v>0.055</v>
      </c>
      <c r="AV15" s="22" t="inlineStr">
        <is>
          <t>Mandarin 1.3%; Italian 0.4%; French 0.3%</t>
        </is>
      </c>
      <c r="AW1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15" s="22">
        <f>IF(AU15="","",IF(OR(AU15&gt;=0.5,AQ15&gt;=0.08),"High",IF(OR(AU15&gt;=0.3,AQ15&gt;=0.04),"Medium","Low")))</f>
        <v/>
      </c>
    </row>
    <row r="16" ht="15.75" customHeight="1" s="15">
      <c r="A16" s="18" t="inlineStr">
        <is>
          <t>Woodend</t>
        </is>
      </c>
      <c r="B16" s="18" t="inlineStr">
        <is>
          <t>Macedon Ranges</t>
        </is>
      </c>
      <c r="C16" s="18" t="inlineStr">
        <is>
          <t>Active Shortlist</t>
        </is>
      </c>
      <c r="D16" s="18" t="inlineStr">
        <is>
          <t>High (Macedon Ranges forest)</t>
        </is>
      </c>
      <c r="E16" s="18" t="inlineStr">
        <is>
          <t>Low (Inland)</t>
        </is>
      </c>
      <c r="F16" s="18" t="inlineStr">
        <is>
          <t>Walkable station country town in Macedon Ranges</t>
        </is>
      </c>
      <c r="G16" s="18" t="n">
        <v>890000</v>
      </c>
      <c r="H16" s="18" t="inlineStr">
        <is>
          <t>3-bed house median $890k; 4-bed $1,150k (Domain)</t>
        </is>
      </c>
      <c r="I16" s="18" t="n">
        <v>943400</v>
      </c>
      <c r="J16" s="19" t="n">
        <v>68</v>
      </c>
      <c r="K16" s="19" t="n">
        <v>55</v>
      </c>
      <c r="L16" s="18" t="inlineStr">
        <is>
          <t>Active — provisional pass</t>
        </is>
      </c>
      <c r="M16" s="19">
        <f>IF(J16="","",ROUND(MAX(0,10*(1-J16/Filters!$B$4)),1))</f>
        <v/>
      </c>
      <c r="N16" s="19" t="n">
        <v>8</v>
      </c>
      <c r="O16" s="19">
        <f>IF(K16="","",ROUND(MAX(0,10*(1-K16/Filters!$B$5)),1))</f>
        <v/>
      </c>
      <c r="P16" s="19" t="n">
        <v>1</v>
      </c>
      <c r="Q16" s="19" t="n">
        <v>6</v>
      </c>
      <c r="R16" s="19" t="n">
        <v>9</v>
      </c>
      <c r="S16" s="19" t="n">
        <v>5</v>
      </c>
      <c r="T16" s="19">
        <f>IF(G16="","",ROUND(MAX(0,MIN(10,10*(Filters!$B$2-G16)/(Filters!$B$2-500000))),1))</f>
        <v/>
      </c>
      <c r="U16" s="19" t="n">
        <v>0</v>
      </c>
      <c r="V16" s="19" t="n">
        <v>5</v>
      </c>
      <c r="W16" s="18">
        <f>IF(M16="",0,COUNT(M16:V16))</f>
        <v/>
      </c>
      <c r="X16" s="18">
        <f>IF(W16&lt;10,"",M16*ForcedChoiceCorrections!$B$6+N16*ForcedChoiceCorrections!$B$7+O16*ForcedChoiceCorrections!$B$8+P16*ForcedChoiceCorrections!$B$9+Q16*ForcedChoiceCorrections!$B$10+R16*ForcedChoiceCorrections!$B$11+S16*ForcedChoiceCorrections!$B$12+T16*ForcedChoiceCorrections!$B$13+U16*ForcedChoiceCorrections!$B$14+V16*ForcedChoiceCorrections!$B$15)</f>
        <v/>
      </c>
      <c r="Y16" s="18">
        <f>IF(AND(ISNUMBER(SEARCH("pass",L16)),ISNUMBER(X16)),COUNTIFS(L$2:L$90,"*pass*",X$2:X$90,"&gt;"&amp;X16)+1,"")</f>
        <v/>
      </c>
      <c r="Z16" s="18" t="inlineStr">
        <is>
          <t>V/Line Bendigo line. Check winter comfort, major public ED drive time &amp; family trip frequency. | SCORES 27 Oct 2026: M (near family) and T (price) are formulas from J and G; O from K. N, P, Q, R, S, U, V are ESTIMATES (Claude, general knowledge, not site-checked); S also rests on train Yes/No marked 'verify'. | CHECKED 27 Oct 2026, full pass (suburb level). Pop 6,732, elevation 580 m, ~71 km NW of Melbourne, Great Dividing Range foothills [Wikipedia Woodend]. 'Valley surrounded by forest and bushland'; walk Five Mile Creek through Children's Park; Hanging Rock and Mt Macedon ~10 min drive [Macedon Ranges Shire]; N 8 consistent. Village: 'distinctive rural village character', historic buildings, clock tower, verandahed shopping [Macedon Ranges Shire]; R 9 consistent. Train: station staffed, V/Line Bendigo/Echuca/Swan Hill, 78.09 km from Southern Cross, myki zone 4/5 overlap, parking [Wikipedia Woodend station]; Bendigo line weekend average 60 min frequency 7am-7pm [V/Line fact sheet]; weekday Woodend frequency and journey time NOT confirmed. Shops &amp; doctor: IGA opened Aug 2022 at former Coles site, 19th Hole Shopping Centre, 7am-10pm [Midland Express 16 Aug 2022]; 4 GP clinics (Neal Street Medical, Brooke Street Medical Centre, Lifeline Healthcare Woodend, SkinGP) [healthdirect]; Q 6 supported, 7 arguable. Indian community: India, Indian ancestry, Hinduism/Sikhism, Hindi/Punjabi absent from ABS 2021 top responses (79.5% Australia-born, 53.3% no religion) [ABS SAL22833]; P 1 consistent. Beach 0 correct (inland). NOT checked: ED (AD still unconfirmed), winter comfort, trip frequency to Glen Waverley, city-trip time (V 5 is an estimate). Scores unchanged.</t>
        </is>
      </c>
      <c r="AA16" s="16" t="inlineStr">
        <is>
          <t>15. Woodend | Macedon Ranges | Active Shortlist | P: High (Macedon Ranges forest) | Y: Low (Inland) | Lens: Walkable station country town in Macedon Ranges | Price: 890000 | Basis: 3-bed house median $890k; 4-bed $1,150k (Domain) | Note: V/Line Bendigo line. Check winter comfort, major public ED drive time &amp; family trip frequency.</t>
        </is>
      </c>
      <c r="AB16" s="16" t="inlineStr">
        <is>
          <t>Yes</t>
        </is>
      </c>
      <c r="AC16" s="16" t="inlineStr">
        <is>
          <t>Woodend station, V/Line Bendigo (checked: Wikipedia Woodend station; weekday frequency not confirmed)</t>
        </is>
      </c>
      <c r="AD16" s="16" t="inlineStr">
        <is>
          <t>Bendigo Hospital ED (nearest ED not confirmed; Northern Hospital Epping not tested)</t>
        </is>
      </c>
      <c r="AE16" s="24" t="n">
        <v>1500000</v>
      </c>
      <c r="AF16" s="22" t="inlineStr">
        <is>
          <t>Maximum purchase price, excluding transaction and moving costs</t>
        </is>
      </c>
      <c r="AG16" s="22" t="inlineStr">
        <is>
          <t>Suburb median</t>
        </is>
      </c>
      <c r="AH16" s="22" t="inlineStr">
        <is>
          <t>26 Oct 2026</t>
        </is>
      </c>
      <c r="AI16" s="22" t="inlineStr">
        <is>
          <t>Pass</t>
        </is>
      </c>
      <c r="AJ16" s="22" t="inlineStr">
        <is>
          <t>Published house price ($890,000) is under $1.5M cap.</t>
        </is>
      </c>
      <c r="AK16" s="22" t="inlineStr">
        <is>
          <t>SAL22833</t>
        </is>
      </c>
      <c r="AL16" s="32" t="n">
        <v>6732</v>
      </c>
      <c r="AM16" s="22" t="n">
        <v>45</v>
      </c>
      <c r="AN16" s="33" t="n">
        <v>0.22</v>
      </c>
      <c r="AO16" s="33" t="n">
        <v>0.161</v>
      </c>
      <c r="AP16" s="33" t="n">
        <v>0.044</v>
      </c>
      <c r="AQ16" s="33" t="n">
        <v>0.002</v>
      </c>
      <c r="AR16" s="33" t="n">
        <v>0.004</v>
      </c>
      <c r="AS16" s="33" t="n">
        <v>0.004</v>
      </c>
      <c r="AT16" s="33" t="n">
        <v>0</v>
      </c>
      <c r="AU16" s="33" t="n">
        <v>0.048</v>
      </c>
      <c r="AV16" s="22" t="inlineStr">
        <is>
          <t>German 0.7%; Italian 0.4%; French 0.3%</t>
        </is>
      </c>
      <c r="AW1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16" s="22">
        <f>IF(AU16="","",IF(OR(AU16&gt;=0.5,AQ16&gt;=0.08),"High",IF(OR(AU16&gt;=0.3,AQ16&gt;=0.04),"Medium","Low")))</f>
        <v/>
      </c>
    </row>
    <row r="17" ht="15.75" customHeight="1" s="15">
      <c r="A17" s="18" t="inlineStr">
        <is>
          <t>Macedon</t>
        </is>
      </c>
      <c r="B17" s="18" t="inlineStr">
        <is>
          <t>Macedon Ranges</t>
        </is>
      </c>
      <c r="C17" s="18" t="inlineStr">
        <is>
          <t>Active Shortlist</t>
        </is>
      </c>
      <c r="D17" s="18" t="inlineStr">
        <is>
          <t>High (Forest &amp; Honour Ave)</t>
        </is>
      </c>
      <c r="E17" s="18" t="inlineStr">
        <is>
          <t>Low (Inland)</t>
        </is>
      </c>
      <c r="F17" s="18" t="inlineStr">
        <is>
          <t>Landscape-led Macedon Ranges option</t>
        </is>
      </c>
      <c r="G17" s="18" t="n">
        <v>1147643</v>
      </c>
      <c r="H17" s="18" t="inlineStr">
        <is>
          <t>AVM estimate (30 Sep 2026), NOT a verified sale median; unit $836,750; 31 sales in last 12m (OnTheHouse/Cotality, read 27 Oct 2026) — few sales, weak</t>
        </is>
      </c>
      <c r="I17" s="18">
        <f>G17*(1+Settings!$B$6)</f>
        <v/>
      </c>
      <c r="J17" s="19" t="n">
        <v>62</v>
      </c>
      <c r="K17" s="19" t="n">
        <v>60</v>
      </c>
      <c r="L17" s="18" t="inlineStr">
        <is>
          <t>Active — provisional pass</t>
        </is>
      </c>
      <c r="M17" s="19">
        <f>IF(J17="","",ROUND(MAX(0,10*(1-J17/Filters!$B$4)),1))</f>
        <v/>
      </c>
      <c r="N17" s="19" t="n">
        <v>9</v>
      </c>
      <c r="O17" s="19">
        <f>IF(K17="","",ROUND(MAX(0,10*(1-K17/Filters!$B$5)),1))</f>
        <v/>
      </c>
      <c r="P17" s="19" t="n">
        <v>1</v>
      </c>
      <c r="Q17" s="19" t="n">
        <v>3</v>
      </c>
      <c r="R17" s="19" t="n">
        <v>8</v>
      </c>
      <c r="S17" s="19" t="n">
        <v>5</v>
      </c>
      <c r="T17" s="19">
        <f>IF(G17="","",ROUND(MAX(0,MIN(10,10*(Filters!$B$2-G17)/(Filters!$B$2-500000))),1))</f>
        <v/>
      </c>
      <c r="U17" s="19" t="n">
        <v>0</v>
      </c>
      <c r="V17" s="19" t="n">
        <v>5</v>
      </c>
      <c r="W17" s="18">
        <f>IF(M17="",0,COUNT(M17:V17))</f>
        <v/>
      </c>
      <c r="X17" s="18">
        <f>IF(W17&lt;10,"",M17*ForcedChoiceCorrections!$B$6+N17*ForcedChoiceCorrections!$B$7+O17*ForcedChoiceCorrections!$B$8+P17*ForcedChoiceCorrections!$B$9+Q17*ForcedChoiceCorrections!$B$10+R17*ForcedChoiceCorrections!$B$11+S17*ForcedChoiceCorrections!$B$12+T17*ForcedChoiceCorrections!$B$13+U17*ForcedChoiceCorrections!$B$14+V17*ForcedChoiceCorrections!$B$15)</f>
        <v/>
      </c>
      <c r="Y17" s="18">
        <f>IF(AND(ISNUMBER(SEARCH("pass",L17)),ISNUMBER(X17)),COUNTIFS(L$2:L$90,"*pass*",X$2:X$90,"&gt;"&amp;X17)+1,"")</f>
        <v/>
      </c>
      <c r="Z17" s="18" t="inlineStr">
        <is>
          <t>Distinguish Macedon from Mount Macedon; check bushfire overlay, gradients &amp; major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2,073; foot of Mount Macedon, 58 km NW of Melbourne, on the Melbourne-Bendigo railway [Wikipedia Macedon; Victorian Places]. Nature: bushland foothills of the Mount Macedon range; vineyards nearby [Wikipedia]; N 10 plausible (9 arguable: town is at the foot, not on the mount). Village: rebuilt shops, churches and hall after the 1983 Ash Wednesday fire (499 houses, 8 lives lost in Macedon and Mount Macedon) [Victorian Places]; cafés and B&amp;Bs, new planning controls 'to protect the character' [Wikipedia]; R 8 consistent. Bushfire risk is real and documented. Shops: small; supermarket not named; Q 3 consistent. Train: station on the Bendigo line [Victorian Places]; S 5 consistent (frequency not checked). Indian community: India-born 0.2%, Hinduism 0.2% [ABS 2021 GCP SAL21562]; P 1 consistent. City trip: 58 km by V/Line; V 5 estimate. NOT checked: GPs, nearest ED, journey time. Scores unchanged. | C3 28 Oct 2026: N 10-&gt;9 (source: town sits at the foot of Mount Macedon; surrounding bushland long harvested for timber [Wikipedia Macedon]; 10 kept for national-park settings).</t>
        </is>
      </c>
      <c r="AA17" s="16" t="inlineStr">
        <is>
          <t>16. Macedon | Macedon Ranges | Active Shortlist | P: High (Forest &amp; Honour Ave) | Y: Low (Inland) | Lens: Landscape-led Macedon Ranges option | Price: [Blank] | Basis: Not verified in report | Note: Distinguish Macedon from Mount Macedon; check bushfire overlay, gradients &amp; major ED journey.</t>
        </is>
      </c>
      <c r="AB17" s="16" t="inlineStr">
        <is>
          <t>Yes</t>
        </is>
      </c>
      <c r="AC17" s="16" t="inlineStr">
        <is>
          <t>Macedon station, V/Line Bendigo (recall; verify)</t>
        </is>
      </c>
      <c r="AD17" s="16" t="inlineStr">
        <is>
          <t>Bendigo Hospital ED (nearest ED not confirmed; Northern Hospital Epping not tested)</t>
        </is>
      </c>
      <c r="AE17" s="24" t="n">
        <v>1500000</v>
      </c>
      <c r="AF17" s="22" t="inlineStr">
        <is>
          <t>Maximum purchase price, excluding transaction and moving costs</t>
        </is>
      </c>
      <c r="AG17" s="22" t="inlineStr">
        <is>
          <t>AVM estimate</t>
        </is>
      </c>
      <c r="AH17" s="22" t="inlineStr">
        <is>
          <t>27 Oct 2026</t>
        </is>
      </c>
      <c r="AI17" s="22" t="inlineStr">
        <is>
          <t>Pass</t>
        </is>
      </c>
      <c r="AJ17" s="22" t="inlineStr">
        <is>
          <t>AVM house value ($1,147,643) is under $1.5M cap. Not a sale median.</t>
        </is>
      </c>
      <c r="AK17" s="22" t="inlineStr">
        <is>
          <t>SAL21562</t>
        </is>
      </c>
      <c r="AL17" s="32" t="n">
        <v>2073</v>
      </c>
      <c r="AM17" s="22" t="n">
        <v>44</v>
      </c>
      <c r="AN17" s="33" t="n">
        <v>0.192</v>
      </c>
      <c r="AO17" s="33" t="n">
        <v>0.132</v>
      </c>
      <c r="AP17" s="33" t="n">
        <v>0.053</v>
      </c>
      <c r="AQ17" s="33" t="n">
        <v>0.002</v>
      </c>
      <c r="AR17" s="33" t="n">
        <v>0.004</v>
      </c>
      <c r="AS17" s="33" t="n">
        <v>0.002</v>
      </c>
      <c r="AT17" s="33" t="n">
        <v>0</v>
      </c>
      <c r="AU17" s="33" t="n">
        <v>0.039</v>
      </c>
      <c r="AV17" s="22" t="inlineStr">
        <is>
          <t>French 0.5%; Polish 0.4%; Italian 0.3%</t>
        </is>
      </c>
      <c r="AW17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  <c r="AX17" s="22">
        <f>IF(AU17="","",IF(OR(AU17&gt;=0.5,AQ17&gt;=0.08),"High",IF(OR(AU17&gt;=0.3,AQ17&gt;=0.04),"Medium","Low")))</f>
        <v/>
      </c>
    </row>
    <row r="18" ht="15.75" customHeight="1" s="15">
      <c r="A18" s="18" t="inlineStr">
        <is>
          <t>Torquay</t>
        </is>
      </c>
      <c r="B18" s="18" t="inlineStr">
        <is>
          <t>Surf Coast</t>
        </is>
      </c>
      <c r="C18" s="18" t="inlineStr">
        <is>
          <t>Active Shortlist</t>
        </is>
      </c>
      <c r="D18" s="18" t="inlineStr">
        <is>
          <t>Medium (Coastal heath)</t>
        </is>
      </c>
      <c r="E18" s="18" t="inlineStr">
        <is>
          <t>High (Surf Coast walk/beach)</t>
        </is>
      </c>
      <c r="F18" s="18" t="inlineStr">
        <is>
          <t>Everyday surf-coast walking lifestyle</t>
        </is>
      </c>
      <c r="G18" s="18" t="n">
        <v>1180000</v>
      </c>
      <c r="H18" s="18" t="inlineStr">
        <is>
          <t>House sale median $1,180,000; unit $891,250 (REA)</t>
        </is>
      </c>
      <c r="I18" s="18" t="n">
        <v>1250800</v>
      </c>
      <c r="J18" s="19" t="n">
        <v>88</v>
      </c>
      <c r="K18" s="19" t="n">
        <v>23</v>
      </c>
      <c r="L18" s="18" t="inlineStr">
        <is>
          <t>Active — provisional pass</t>
        </is>
      </c>
      <c r="M18" s="19">
        <f>IF(J18="","",ROUND(MAX(0,10*(1-J18/Filters!$B$4)),1))</f>
        <v/>
      </c>
      <c r="N18" s="19" t="n">
        <v>7</v>
      </c>
      <c r="O18" s="19">
        <f>IF(K18="","",ROUND(MAX(0,10*(1-K18/Filters!$B$5)),1))</f>
        <v/>
      </c>
      <c r="P18" s="19" t="n">
        <v>2</v>
      </c>
      <c r="Q18" s="19" t="n">
        <v>8</v>
      </c>
      <c r="R18" s="19" t="n">
        <v>5</v>
      </c>
      <c r="S18" s="19" t="n">
        <v>4</v>
      </c>
      <c r="T18" s="19">
        <f>IF(G18="","",ROUND(MAX(0,MIN(10,10*(Filters!$B$2-G18)/(Filters!$B$2-500000))),1))</f>
        <v/>
      </c>
      <c r="U18" s="19" t="n">
        <v>10</v>
      </c>
      <c r="V18" s="19" t="n">
        <v>3</v>
      </c>
      <c r="W18" s="18">
        <f>IF(M18="",0,COUNT(M18:V18))</f>
        <v/>
      </c>
      <c r="X18" s="18">
        <f>IF(W18&lt;10,"",M18*ForcedChoiceCorrections!$B$6+N18*ForcedChoiceCorrections!$B$7+O18*ForcedChoiceCorrections!$B$8+P18*ForcedChoiceCorrections!$B$9+Q18*ForcedChoiceCorrections!$B$10+R18*ForcedChoiceCorrections!$B$11+S18*ForcedChoiceCorrections!$B$12+T18*ForcedChoiceCorrections!$B$13+U18*ForcedChoiceCorrections!$B$14+V18*ForcedChoiceCorrections!$B$15)</f>
        <v/>
      </c>
      <c r="Y18" s="18">
        <f>IF(AND(ISNUMBER(SEARCH("pass",L18)),ISNUMBER(X18)),COUNTIFS(L$2:L$90,"*pass*",X$2:X$90,"&gt;"&amp;X18)+1,"")</f>
        <v/>
      </c>
      <c r="Z18" s="18" t="inlineStr">
        <is>
          <t>ABS 2021: 16.4% aged 65+, 7.4% non-Eng HH. Bus 54 to Marshall Station; relies on Univ Hospital Geelong for major public ED. | SCORES 27 Oct 2026: M (near family) and T (price) are formulas from J and G; O from K. N, P, Q, R, S, U, V are ESTIMATES (Claude, general knowledge, not site-checked); S also rests on train Yes/No marked 'verify'. GW drive 88 min, 2 min under cap. | CHECKED 27 Oct 2026 (S train/bus, U beach, Q shops &amp; doctor; web sources, suburb level, not address level): Buses to Geelong/Marshall: S raised 3-&gt;4 (Bus News). GPs: Surfcoast Medical Centre, Orbit Medical, Banksia (healthdirect). Beach and supermarket not individually checked. N, P, R, V remain estimates. | CHECKED 27 Oct 2026, second pass (N, P, R, V; suburb level). Nature: surf beaches (Jan Juc, Bells Beach on the SW outskirts), Point Danger, Zeally Bay, Spring Creek on the western boundary [Wikipedia Torquay]; N 8 rests on coast, not bush (7 arguable). Village: population doubled 1991-2011 and 'some of its former holiday charm has been lost to redevelopment' [Victorian Places]; population triples in Jan-Feb; Surf Coast Plaza [Wikipedia]; R 6 generous (5 arguable). Indian community: India-born 0.2%, Hinduism 0.1% [ABS 2021 GCP SAL22551]; P 2 generous (1 arguable). City trip: 80 km W of Melbourne, 21 km S of Geelong [Victorian Places], no rail; V 3 plausible; journey time not checked. Scores unchanged. | C3 28 Oct 2026: N 8-&gt;7 (source: nature is coastal and already scored under U (10); no bushland named [Wikipedia Torquay]). | C3 28 Oct 2026: R 6-&gt;5 (source: 'some of its former holiday charm has been lost to redevelopment' [Victorian Places Torquay]).</t>
        </is>
      </c>
      <c r="AA18" s="16" t="inlineStr">
        <is>
          <t>17. Torquay | Surf Coast | Active Shortlist | P: Medium (Coastal heath) | Y: High (Surf Coast walk/beach) | Lens: Everyday surf-coast walking lifestyle | Price: 1180000 | Basis: House sale median $1,180,000; unit $891,250 (REA) | Note: ABS 2021: 16.4% aged 65+, 7.4% non-Eng HH. Bus 54 to Marshall Station; relies on Univ Hospital Geelong for major public ED.</t>
        </is>
      </c>
      <c r="AB18" s="16" t="inlineStr">
        <is>
          <t>No</t>
        </is>
      </c>
      <c r="AC18" s="16" t="inlineStr">
        <is>
          <t>No rail; buses to Geelong and Marshall station, ~4 buses/hour on Surf Coast Hwy corridor (checked: Bus News)</t>
        </is>
      </c>
      <c r="AD18" s="16" t="inlineStr">
        <is>
          <t>University Hospital Geelong ED</t>
        </is>
      </c>
      <c r="AE18" s="24" t="n">
        <v>1500000</v>
      </c>
      <c r="AF18" s="22" t="inlineStr">
        <is>
          <t>Maximum purchase price, excluding transaction and moving costs</t>
        </is>
      </c>
      <c r="AG18" s="22" t="inlineStr">
        <is>
          <t>Suburb median</t>
        </is>
      </c>
      <c r="AH18" s="22" t="inlineStr">
        <is>
          <t>26 Oct 2026</t>
        </is>
      </c>
      <c r="AI18" s="22" t="inlineStr">
        <is>
          <t>Pass</t>
        </is>
      </c>
      <c r="AJ18" s="22" t="inlineStr">
        <is>
          <t>House median $1.180M is under $1.5M cap. Passes GW drive (88m &lt;= 90m cap) and ED drive (23m).</t>
        </is>
      </c>
      <c r="AK18" s="22" t="inlineStr">
        <is>
          <t>SAL22551</t>
        </is>
      </c>
      <c r="AL18" s="32" t="n">
        <v>18534</v>
      </c>
      <c r="AM18" s="22" t="n">
        <v>39</v>
      </c>
      <c r="AN18" s="33" t="n">
        <v>0.164</v>
      </c>
      <c r="AO18" s="33" t="n">
        <v>0.134</v>
      </c>
      <c r="AP18" s="33" t="n">
        <v>0.038</v>
      </c>
      <c r="AQ18" s="33" t="n">
        <v>0.002</v>
      </c>
      <c r="AR18" s="33" t="n">
        <v>0.004</v>
      </c>
      <c r="AS18" s="33" t="n">
        <v>0.001</v>
      </c>
      <c r="AT18" s="33" t="n">
        <v>0.001</v>
      </c>
      <c r="AU18" s="33" t="n">
        <v>0.047</v>
      </c>
      <c r="AV18" s="22" t="inlineStr">
        <is>
          <t>German 0.5%; Italian 0.5%; French 0.4%</t>
        </is>
      </c>
      <c r="AW1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18" s="22">
        <f>IF(AU18="","",IF(OR(AU18&gt;=0.5,AQ18&gt;=0.08),"High",IF(OR(AU18&gt;=0.3,AQ18&gt;=0.04),"Medium","Low")))</f>
        <v/>
      </c>
    </row>
    <row r="19" ht="15.75" customHeight="1" s="15">
      <c r="A19" s="18" t="inlineStr">
        <is>
          <t>Ocean Grove</t>
        </is>
      </c>
      <c r="B19" s="18" t="inlineStr">
        <is>
          <t>Bellarine Peninsula</t>
        </is>
      </c>
      <c r="C19" s="18" t="inlineStr">
        <is>
          <t>Active Shortlist</t>
        </is>
      </c>
      <c r="D19" s="18" t="inlineStr">
        <is>
          <t>Medium-High (Nature reserve)</t>
        </is>
      </c>
      <c r="E19" s="18" t="inlineStr">
        <is>
          <t>High (Beach + woodland)</t>
        </is>
      </c>
      <c r="F19" s="18" t="inlineStr">
        <is>
          <t>Coast-plus-bushland alternative to Torquay</t>
        </is>
      </c>
      <c r="G19" s="18" t="n">
        <v>980000</v>
      </c>
      <c r="H19" s="18" t="inlineStr">
        <is>
          <t>House sale median $980,000 (325 sales); unit $770k</t>
        </is>
      </c>
      <c r="I19" s="18" t="n">
        <v>1038800</v>
      </c>
      <c r="J19" s="19" t="n">
        <v>92</v>
      </c>
      <c r="K19" s="19" t="n">
        <v>21</v>
      </c>
      <c r="L19" s="18" t="inlineStr">
        <is>
          <t>Fails: GW drive</t>
        </is>
      </c>
      <c r="M19" s="19" t="n"/>
      <c r="N19" s="19" t="n"/>
      <c r="O19" s="19">
        <f>IF(K19="","",ROUND(MAX(0,10*(1-K19/Filters!$B$5)),1))</f>
        <v/>
      </c>
      <c r="P19" s="19" t="n"/>
      <c r="Q19" s="19" t="n"/>
      <c r="R19" s="19" t="n"/>
      <c r="S19" s="19" t="n"/>
      <c r="T19" s="19" t="n"/>
      <c r="U19" s="19" t="n"/>
      <c r="V19" s="19" t="n"/>
      <c r="W19" s="18">
        <f>IF(M19="",0,COUNT(M19:V19))</f>
        <v/>
      </c>
      <c r="X19" s="18">
        <f>IF(W19&lt;10,"",M19*ForcedChoiceCorrections!$B$6+N19*ForcedChoiceCorrections!$B$7+O19*ForcedChoiceCorrections!$B$8+P19*ForcedChoiceCorrections!$B$9+Q19*ForcedChoiceCorrections!$B$10+R19*ForcedChoiceCorrections!$B$11+S19*ForcedChoiceCorrections!$B$12+T19*ForcedChoiceCorrections!$B$13+U19*ForcedChoiceCorrections!$B$14+V19*ForcedChoiceCorrections!$B$15)</f>
        <v/>
      </c>
      <c r="Y19" s="18">
        <f>IF(AND(ISNUMBER(SEARCH("pass",L19)),ISNUMBER(X19)),COUNTIFS(L$2:L$90,"*pass*",X$2:X$90,"&gt;"&amp;X19)+1,"")</f>
        <v/>
      </c>
      <c r="Z19" s="18" t="inlineStr">
        <is>
          <t>ABS 2021: 22.2% aged 65+, 5.1% non-Eng HH. 143-ha Nature Reserve; bus 55/56 to Geelong; relies on Univ Hospital Geelong ED.</t>
        </is>
      </c>
      <c r="AA19" s="16" t="inlineStr">
        <is>
          <t>18. Ocean Grove | Bellarine Peninsula | Active Shortlist | P: Medium-High (Nature reserve) | Y: High (Beach + woodland) | Lens: Coast-plus-bushland alternative to Torquay | Price: 980000 | Basis: House sale median $980,000 (325 sales); unit $770k | Note: ABS 2021: 22.2% aged 65+, 5.1% non-Eng HH. 143-ha Nature Reserve; bus 55/56 to Geelong; relies on Univ Hospital Geelong ED.</t>
        </is>
      </c>
      <c r="AB19" s="16" t="inlineStr">
        <is>
          <t>No</t>
        </is>
      </c>
      <c r="AC19" s="16" t="inlineStr">
        <is>
          <t>No rail; bus 55/56 to Geelong (per sheet note)</t>
        </is>
      </c>
      <c r="AD19" s="16" t="inlineStr">
        <is>
          <t>University Hospital Geelong ED</t>
        </is>
      </c>
      <c r="AE19" s="24" t="n">
        <v>1500000</v>
      </c>
      <c r="AF19" s="22" t="inlineStr">
        <is>
          <t>Maximum purchase price, excluding transaction and moving costs</t>
        </is>
      </c>
      <c r="AG19" s="22" t="inlineStr">
        <is>
          <t>Suburb median</t>
        </is>
      </c>
      <c r="AH19" s="22" t="inlineStr">
        <is>
          <t>26 Oct 2026</t>
        </is>
      </c>
      <c r="AI19" s="22" t="inlineStr">
        <is>
          <t>Pass</t>
        </is>
      </c>
      <c r="AJ19" s="22" t="inlineStr">
        <is>
          <t>Published house price ($980,000) is under $1.5M cap.</t>
        </is>
      </c>
      <c r="AK19" s="22" t="inlineStr">
        <is>
          <t>SAL22005</t>
        </is>
      </c>
      <c r="AL19" s="32" t="n">
        <v>17714</v>
      </c>
      <c r="AM19" s="22" t="n">
        <v>43</v>
      </c>
      <c r="AN19" s="33" t="n">
        <v>0.222</v>
      </c>
      <c r="AO19" s="33" t="n">
        <v>0.113</v>
      </c>
      <c r="AP19" s="33" t="n">
        <v>0.046</v>
      </c>
      <c r="AQ19" s="33" t="n">
        <v>0.002</v>
      </c>
      <c r="AR19" s="33" t="n">
        <v>0.003</v>
      </c>
      <c r="AS19" s="33" t="n">
        <v>0.001</v>
      </c>
      <c r="AT19" s="33" t="n">
        <v>0.001</v>
      </c>
      <c r="AU19" s="33" t="n">
        <v>0.034</v>
      </c>
      <c r="AV19" s="22" t="inlineStr">
        <is>
          <t>Italian 0.4%; German 0.3%; Mandarin 0.3%</t>
        </is>
      </c>
      <c r="AW1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19" s="22">
        <f>IF(AU19="","",IF(OR(AU19&gt;=0.5,AQ19&gt;=0.08),"High",IF(OR(AU19&gt;=0.3,AQ19&gt;=0.04),"Medium","Low")))</f>
        <v/>
      </c>
    </row>
    <row r="20" ht="15.75" customHeight="1" s="15">
      <c r="A20" s="18" t="inlineStr">
        <is>
          <t>Newtown (Geelong)</t>
        </is>
      </c>
      <c r="B20" s="18" t="inlineStr">
        <is>
          <t>Geelong</t>
        </is>
      </c>
      <c r="C20" s="18" t="inlineStr">
        <is>
          <t>Active Shortlist</t>
        </is>
      </c>
      <c r="D20" s="18" t="inlineStr">
        <is>
          <t>Medium-High (Barwon River)</t>
        </is>
      </c>
      <c r="E20" s="18" t="inlineStr">
        <is>
          <t>Medium (Near bay/coast)</t>
        </is>
      </c>
      <c r="F20" s="18" t="inlineStr">
        <is>
          <t>Regional-city services + river sanctuary</t>
        </is>
      </c>
      <c r="G20" s="18" t="n">
        <v>1182945</v>
      </c>
      <c r="H20" s="18" t="inlineStr">
        <is>
          <t>AVM estimate (30 Sep 2026), NOT a verified sale median; unit $615,303; 216 sales in last 12m (OnTheHouse/Cotality, read 27 Oct 2026)</t>
        </is>
      </c>
      <c r="I20" s="18">
        <f>G20*(1+Settings!$B$6)</f>
        <v/>
      </c>
      <c r="J20" s="19" t="n">
        <v>72</v>
      </c>
      <c r="K20" s="19" t="n">
        <v>7</v>
      </c>
      <c r="L20" s="18" t="inlineStr">
        <is>
          <t>Active — provisional pass</t>
        </is>
      </c>
      <c r="M20" s="19">
        <f>IF(J20="","",ROUND(MAX(0,10*(1-J20/Filters!$B$4)),1))</f>
        <v/>
      </c>
      <c r="N20" s="19" t="n">
        <v>5</v>
      </c>
      <c r="O20" s="19">
        <f>IF(K20="","",ROUND(MAX(0,10*(1-K20/Filters!$B$5)),1))</f>
        <v/>
      </c>
      <c r="P20" s="19" t="n">
        <v>4</v>
      </c>
      <c r="Q20" s="19" t="n">
        <v>8</v>
      </c>
      <c r="R20" s="19" t="n">
        <v>6</v>
      </c>
      <c r="S20" s="19" t="n">
        <v>4</v>
      </c>
      <c r="T20" s="19">
        <f>IF(G20="","",ROUND(MAX(0,MIN(10,10*(Filters!$B$2-G20)/(Filters!$B$2-500000))),1))</f>
        <v/>
      </c>
      <c r="U20" s="19" t="n">
        <v>3</v>
      </c>
      <c r="V20" s="19" t="n">
        <v>5</v>
      </c>
      <c r="W20" s="18">
        <f>IF(M20="",0,COUNT(M20:V20))</f>
        <v/>
      </c>
      <c r="X20" s="18">
        <f>IF(W20&lt;10,"",M20*ForcedChoiceCorrections!$B$6+N20*ForcedChoiceCorrections!$B$7+O20*ForcedChoiceCorrections!$B$8+P20*ForcedChoiceCorrections!$B$9+Q20*ForcedChoiceCorrections!$B$10+R20*ForcedChoiceCorrections!$B$11+S20*ForcedChoiceCorrections!$B$12+T20*ForcedChoiceCorrections!$B$13+U20*ForcedChoiceCorrections!$B$14+V20*ForcedChoiceCorrections!$B$15)</f>
        <v/>
      </c>
      <c r="Y20" s="18">
        <f>IF(AND(ISNUMBER(SEARCH("pass",L20)),ISNUMBER(X20)),COUNTIFS(L$2:L$90,"*pass*",X$2:X$90,"&gt;"&amp;X20)+1,"")</f>
        <v/>
      </c>
      <c r="Z20" s="18" t="inlineStr">
        <is>
          <t>ABS 2021: 17.6% aged 65+, 10.9% non-Eng HH. Balyang Sanctuary on Barwon River; major public ED at Univ Hospital Geelong.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10,445; inner western Geelong, 'one of the highest points of urban Geelong', many of Geelong's oldest houses [Wikipedia Newtown, Victoria]. Nature: Queens Park beside the Barwon River, Balyang Sanctuary, Chilwell Gardens, Windmill Reserve [Wikipedia]; N 5 consistent. Village: established residential suburb incl. Chilwell; R 6 plausible. Train: no station named in the suburb [Wikipedia]; S 4 consistent. Indian community: India-born 1.3%, Indian ancestry 1.6%, Hinduism 1.1% [ABS 2021 GCP SAL21938]; P 4 generous (3 arguable). NOT checked: shops, GPs, beach distance (U 3), city trip (V 5), Victorian Places page not found. Scores unchanged.</t>
        </is>
      </c>
      <c r="AA20" s="16" t="inlineStr">
        <is>
          <t>19. Newtown (Geelong) | Geelong | Active Shortlist | P: Medium-High (Barwon River) | Y: Medium (Near bay/coast) | Lens: Regional-city services + river sanctuary | Price: [Blank] | Basis: Not verified in report | Note: ABS 2021: 17.6% aged 65+, 10.9% non-Eng HH. Balyang Sanctuary on Barwon River; major public ED at Univ Hospital Geelong.</t>
        </is>
      </c>
      <c r="AB20" s="16" t="inlineStr">
        <is>
          <t>No</t>
        </is>
      </c>
      <c r="AC20" s="16" t="inlineStr">
        <is>
          <t>No station in suburb; Geelong stations nearby (recall; verify)</t>
        </is>
      </c>
      <c r="AD20" s="16" t="inlineStr">
        <is>
          <t>University Hospital Geelong ED. Origin approximated (Balyang area); GW time from Geelong centre</t>
        </is>
      </c>
      <c r="AE20" s="24" t="n">
        <v>1500000</v>
      </c>
      <c r="AF20" s="22" t="inlineStr">
        <is>
          <t>Maximum purchase price, excluding transaction and moving costs</t>
        </is>
      </c>
      <c r="AG20" s="22" t="inlineStr">
        <is>
          <t>AVM estimate</t>
        </is>
      </c>
      <c r="AH20" s="22" t="inlineStr">
        <is>
          <t>27 Oct 2026</t>
        </is>
      </c>
      <c r="AI20" s="22" t="inlineStr">
        <is>
          <t>Pass</t>
        </is>
      </c>
      <c r="AJ20" s="22" t="inlineStr">
        <is>
          <t>AVM house value ($1,182,945) is under $1.5M cap. Not a sale median.</t>
        </is>
      </c>
      <c r="AK20" s="22" t="inlineStr">
        <is>
          <t>SAL21938</t>
        </is>
      </c>
      <c r="AL20" s="32" t="n">
        <v>10445</v>
      </c>
      <c r="AM20" s="22" t="n">
        <v>40</v>
      </c>
      <c r="AN20" s="33" t="n">
        <v>0.176</v>
      </c>
      <c r="AO20" s="33" t="n">
        <v>0.145</v>
      </c>
      <c r="AP20" s="33" t="n">
        <v>0.033</v>
      </c>
      <c r="AQ20" s="33" t="n">
        <v>0.013</v>
      </c>
      <c r="AR20" s="33" t="n">
        <v>0.016</v>
      </c>
      <c r="AS20" s="33" t="n">
        <v>0.011</v>
      </c>
      <c r="AT20" s="33" t="n">
        <v>0.003</v>
      </c>
      <c r="AU20" s="33" t="n">
        <v>0.08800000000000001</v>
      </c>
      <c r="AV20" s="22" t="inlineStr">
        <is>
          <t>Mandarin 1.3%; Italian 0.6%; Croatian 0.5%</t>
        </is>
      </c>
      <c r="AW20" s="22" t="inlineStr">
        <is>
          <t>ABS 2021 Census General Community Profile DataPack, Suburbs and Localities (SAL), Victoria (tables G01, G02, G08, G09, G13, G14); downloaded 27 Oct 2026 from abs.gov.au. Place of usual residence. Newtown (Greater Geelong), SAL21938.</t>
        </is>
      </c>
      <c r="AX20" s="22">
        <f>IF(AU20="","",IF(OR(AU20&gt;=0.5,AQ20&gt;=0.08),"High",IF(OR(AU20&gt;=0.3,AQ20&gt;=0.04),"Medium","Low")))</f>
        <v/>
      </c>
    </row>
    <row r="21" ht="15.75" customHeight="1" s="15">
      <c r="A21" s="18" t="inlineStr">
        <is>
          <t>Highton (Geelong)</t>
        </is>
      </c>
      <c r="B21" s="18" t="inlineStr">
        <is>
          <t>Geelong</t>
        </is>
      </c>
      <c r="C21" s="18" t="inlineStr">
        <is>
          <t>Active Shortlist</t>
        </is>
      </c>
      <c r="D21" s="18" t="inlineStr">
        <is>
          <t>Medium-High (Hills/river)</t>
        </is>
      </c>
      <c r="E21" s="18" t="inlineStr">
        <is>
          <t>Medium (Near coast)</t>
        </is>
      </c>
      <c r="F21" s="18" t="inlineStr">
        <is>
          <t>Village-centre regional-city comparator</t>
        </is>
      </c>
      <c r="G21" s="18" t="n">
        <v>957797</v>
      </c>
      <c r="H21" s="18" t="inlineStr">
        <is>
          <t>AVM estimate (30 Sep 2026), NOT a verified sale median; unit $538,492; 504 sales in last 12m (OnTheHouse/Cotality, read 27 Oct 2026)</t>
        </is>
      </c>
      <c r="I21" s="18">
        <f>G21*(1+Settings!$B$6)</f>
        <v/>
      </c>
      <c r="J21" s="19" t="n">
        <v>74</v>
      </c>
      <c r="K21" s="19" t="n">
        <v>9</v>
      </c>
      <c r="L21" s="18" t="inlineStr">
        <is>
          <t>Active — provisional pass</t>
        </is>
      </c>
      <c r="M21" s="19">
        <f>IF(J21="","",ROUND(MAX(0,10*(1-J21/Filters!$B$4)),1))</f>
        <v/>
      </c>
      <c r="N21" s="19" t="n">
        <v>6</v>
      </c>
      <c r="O21" s="19">
        <f>IF(K21="","",ROUND(MAX(0,10*(1-K21/Filters!$B$5)),1))</f>
        <v/>
      </c>
      <c r="P21" s="19" t="n">
        <v>4</v>
      </c>
      <c r="Q21" s="19" t="n">
        <v>8</v>
      </c>
      <c r="R21" s="19" t="n">
        <v>5</v>
      </c>
      <c r="S21" s="19" t="n">
        <v>3</v>
      </c>
      <c r="T21" s="19">
        <f>IF(G21="","",ROUND(MAX(0,MIN(10,10*(Filters!$B$2-G21)/(Filters!$B$2-500000))),1))</f>
        <v/>
      </c>
      <c r="U21" s="19" t="n">
        <v>3</v>
      </c>
      <c r="V21" s="19" t="n">
        <v>4</v>
      </c>
      <c r="W21" s="18">
        <f>IF(M21="",0,COUNT(M21:V21))</f>
        <v/>
      </c>
      <c r="X21" s="18">
        <f>IF(W21&lt;10,"",M21*ForcedChoiceCorrections!$B$6+N21*ForcedChoiceCorrections!$B$7+O21*ForcedChoiceCorrections!$B$8+P21*ForcedChoiceCorrections!$B$9+Q21*ForcedChoiceCorrections!$B$10+R21*ForcedChoiceCorrections!$B$11+S21*ForcedChoiceCorrections!$B$12+T21*ForcedChoiceCorrections!$B$13+U21*ForcedChoiceCorrections!$B$14+V21*ForcedChoiceCorrections!$B$15)</f>
        <v/>
      </c>
      <c r="Y21" s="18">
        <f>IF(AND(ISNUMBER(SEARCH("pass",L21)),ISNUMBER(X21)),COUNTIFS(L$2:L$90,"*pass*",X$2:X$90,"&gt;"&amp;X21)+1,"")</f>
        <v/>
      </c>
      <c r="Z21" s="18" t="inlineStr">
        <is>
          <t>Highton Village UDF; compare pocket gradients, station access &amp; Univ Hospital Geelong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full pass (suburb level). Pop 20,736 [ABS 2021 SAL21187]. Barwon River banks and Barrabool Hills; Queens Park in a river bend; 20 parks/reserves listed; tree-lined streets [Wikipedia Highton; City of Greater Geelong]; N 6 consistent. Village: Highton Village strip on Belle Vue Ave with a supermarket, small strip on Porter Ave, Barrabool Hills Plaza (2016) with Woolworths [Wikipedia Highton]; R 5 left. Shops &amp; doctor: GPs include Highton Village Medical Clinic, The Highton Clinic, 291 Roslyn Road Medical Practice, Barrabool Hills Family Medical [healthdirect]; Q 8 consistent. Train/bus: no station; bus 42 (south) and 43 (north) from Geelong station via CBD to Deakin Waurn Ponds [Wikipedia Highton]; S 3 consistent. Indian community: India-born 505 (2.4%), Hindi 126 (0.6%), Punjabi 119 (0.6%); Indian ancestry and Hinduism/Sikhism not in top 5 [ABS SAL21187]; P 4 consistent. NOT checked: beach access (U 3 is an estimate), city-trip time (V 4 estimate), Indian grocer/temple, Univ Hospital Geelong drive. Scores unchanged.</t>
        </is>
      </c>
      <c r="AA21" s="16" t="inlineStr">
        <is>
          <t>20. Highton (Geelong) | Geelong | Active Shortlist | P: Medium-High (Hills/river) | Y: Medium (Near coast) | Lens: Village-centre regional-city comparator | Price: [Blank] | Basis: Not verified in report | Note: Highton Village UDF; compare pocket gradients, station access &amp; Univ Hospital Geelong ED journey.</t>
        </is>
      </c>
      <c r="AB21" s="16" t="inlineStr">
        <is>
          <t>No</t>
        </is>
      </c>
      <c r="AC21" s="16" t="inlineStr">
        <is>
          <t>No station; bus 42/43 from Geelong station (checked: Wikipedia Highton)</t>
        </is>
      </c>
      <c r="AD21" s="16" t="inlineStr">
        <is>
          <t>University Hospital Geelong ED</t>
        </is>
      </c>
      <c r="AE21" s="24" t="n">
        <v>1500000</v>
      </c>
      <c r="AF21" s="22" t="inlineStr">
        <is>
          <t>Maximum purchase price, excluding transaction and moving costs</t>
        </is>
      </c>
      <c r="AG21" s="22" t="inlineStr">
        <is>
          <t>AVM estimate</t>
        </is>
      </c>
      <c r="AH21" s="22" t="inlineStr">
        <is>
          <t>27 Oct 2026</t>
        </is>
      </c>
      <c r="AI21" s="22" t="inlineStr">
        <is>
          <t>Pass</t>
        </is>
      </c>
      <c r="AJ21" s="22" t="inlineStr">
        <is>
          <t>AVM house value ($957,797) is under $1.5M cap. Not a sale median.</t>
        </is>
      </c>
      <c r="AK21" s="22" t="inlineStr">
        <is>
          <t>SAL21187</t>
        </is>
      </c>
      <c r="AL21" s="32" t="n">
        <v>20736</v>
      </c>
      <c r="AM21" s="22" t="n">
        <v>39</v>
      </c>
      <c r="AN21" s="33" t="n">
        <v>0.183</v>
      </c>
      <c r="AO21" s="33" t="n">
        <v>0.194</v>
      </c>
      <c r="AP21" s="33" t="n">
        <v>0.033</v>
      </c>
      <c r="AQ21" s="33" t="n">
        <v>0.024</v>
      </c>
      <c r="AR21" s="33" t="n">
        <v>0.027</v>
      </c>
      <c r="AS21" s="33" t="n">
        <v>0.018</v>
      </c>
      <c r="AT21" s="33" t="n">
        <v>0.005</v>
      </c>
      <c r="AU21" s="33" t="n">
        <v>0.13</v>
      </c>
      <c r="AV21" s="22" t="inlineStr">
        <is>
          <t>Mandarin 1.9%; Italian 0.8%; Arabic 0.7%</t>
        </is>
      </c>
      <c r="AW2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21" s="22">
        <f>IF(AU21="","",IF(OR(AU21&gt;=0.5,AQ21&gt;=0.08),"High",IF(OR(AU21&gt;=0.3,AQ21&gt;=0.04),"Medium","Low")))</f>
        <v/>
      </c>
    </row>
    <row r="22" ht="15.75" customHeight="1" s="15">
      <c r="A22" s="18" t="inlineStr">
        <is>
          <t>Belgrave</t>
        </is>
      </c>
      <c r="B22" s="18" t="inlineStr">
        <is>
          <t>Dandenong Ranges</t>
        </is>
      </c>
      <c r="C22" s="18" t="inlineStr">
        <is>
          <t>Active Shortlist</t>
        </is>
      </c>
      <c r="D22" s="18" t="inlineStr">
        <is>
          <t>High (Forest &amp; hills)</t>
        </is>
      </c>
      <c r="E22" s="18" t="inlineStr">
        <is>
          <t>Low (Inland)</t>
        </is>
      </c>
      <c r="F22" s="18" t="inlineStr">
        <is>
          <t>Stronger hills lifestyle on metro rail line</t>
        </is>
      </c>
      <c r="G22" s="18" t="n">
        <v>856437</v>
      </c>
      <c r="H22" s="18" t="inlineStr">
        <is>
          <t>AVM estimate (30 Sep 2026), NOT a verified sale median; unit $647,854; 72 sales in last 12m (OnTheHouse/Cotality, read 27 Oct 2026)</t>
        </is>
      </c>
      <c r="I22" s="18">
        <f>G22*(1+Settings!$B$6)</f>
        <v/>
      </c>
      <c r="J22" s="19" t="n">
        <v>21</v>
      </c>
      <c r="K22" s="19" t="n">
        <v>7</v>
      </c>
      <c r="L22" s="18" t="inlineStr">
        <is>
          <t>Active — provisional pass</t>
        </is>
      </c>
      <c r="M22" s="19">
        <f>IF(J22="","",ROUND(MAX(0,10*(1-J22/Filters!$B$4)),1))</f>
        <v/>
      </c>
      <c r="N22" s="19" t="n">
        <v>9</v>
      </c>
      <c r="O22" s="19">
        <f>IF(K22="","",ROUND(MAX(0,10*(1-K22/Filters!$B$5)),1))</f>
        <v/>
      </c>
      <c r="P22" s="19" t="n">
        <v>3</v>
      </c>
      <c r="Q22" s="19" t="n">
        <v>6</v>
      </c>
      <c r="R22" s="19" t="n">
        <v>8</v>
      </c>
      <c r="S22" s="19" t="n">
        <v>7</v>
      </c>
      <c r="T22" s="19">
        <f>IF(G22="","",ROUND(MAX(0,MIN(10,10*(Filters!$B$2-G22)/(Filters!$B$2-500000))),1))</f>
        <v/>
      </c>
      <c r="U22" s="19" t="n">
        <v>0</v>
      </c>
      <c r="V22" s="19" t="n">
        <v>5</v>
      </c>
      <c r="W22" s="18">
        <f>IF(M22="",0,COUNT(M22:V22))</f>
        <v/>
      </c>
      <c r="X22" s="18">
        <f>IF(W22&lt;10,"",M22*ForcedChoiceCorrections!$B$6+N22*ForcedChoiceCorrections!$B$7+O22*ForcedChoiceCorrections!$B$8+P22*ForcedChoiceCorrections!$B$9+Q22*ForcedChoiceCorrections!$B$10+R22*ForcedChoiceCorrections!$B$11+S22*ForcedChoiceCorrections!$B$12+T22*ForcedChoiceCorrections!$B$13+U22*ForcedChoiceCorrections!$B$14+V22*ForcedChoiceCorrections!$B$15)</f>
        <v/>
      </c>
      <c r="Y22" s="18">
        <f>IF(AND(ISNUMBER(SEARCH("pass",L22)),ISNUMBER(X22)),COUNTIFS(L$2:L$90,"*pass*",X$2:X$90,"&gt;"&amp;X22)+1,"")</f>
        <v/>
      </c>
      <c r="Z22" s="18" t="inlineStr">
        <is>
          <t>Belgrave metro rail terminus; check steep gradients, bushfire/storm closures &amp; Angliss/Maroondah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Terminus (weekend off-peak shuttle) so S 7. Puffing Billy 100 m away. GP: Belgrave Medical Clinic (healthdirect). Supermarket not confirmed; Q partly estimate. N, P, R, V remain estimates. | CHECKED 27 Oct 2026, second pass (N, P, R, V; suburb level). Nature: Belgrave Lake Park, a biolink between Dandenong Ranges National Park, Birdsland and Lysterfield Lake Park, with platypus in Monbulk Creek and mountain grey gum slopes; Puffing Billy runs through 24 km of cool temperate rainforest and farmland [Wikipedia Belgrave]; N 9 consistent. Village: Main Street commercial district with galleries and bookshops; shops on Bayview Rd [Wikipedia]; R 8 consistent. Indian community: India-born 0.4%, Hinduism 0.2% [ABS 2021 GCP SAL20188]; P 3 generous (1 arguable). City trip: 36 km E, line terminus [Wikipedia]; V 5 estimate. Scores unchanged.</t>
        </is>
      </c>
      <c r="AA22" s="16" t="inlineStr">
        <is>
          <t>21. Belgrave | Dandenong Ranges | Active Shortlist | P: High (Forest &amp; hills) | Y: Low (Inland) | Lens: Stronger hills lifestyle on metro rail line | Price: [Blank] | Basis: Not verified in report | Note: Belgrave metro rail terminus; check steep gradients, bushfire/storm closures &amp; Angliss/Maroondah ED drive.</t>
        </is>
      </c>
      <c r="AB22" s="16" t="inlineStr">
        <is>
          <t>Yes</t>
        </is>
      </c>
      <c r="AC22" s="16" t="inlineStr">
        <is>
          <t>Belgrave station, Belgrave line terminus; weekend shuttle to Ringwood off-peak; 6 bus routes (checked: Wikipedia Belgrave station)</t>
        </is>
      </c>
      <c r="AD22" s="16" t="inlineStr">
        <is>
          <t>Angliss Hospital ED (24-hr status still to verify)</t>
        </is>
      </c>
      <c r="AE22" s="24" t="n">
        <v>1500000</v>
      </c>
      <c r="AF22" s="22" t="inlineStr">
        <is>
          <t>Maximum purchase price, excluding transaction and moving costs</t>
        </is>
      </c>
      <c r="AG22" s="22" t="inlineStr">
        <is>
          <t>AVM estimate</t>
        </is>
      </c>
      <c r="AH22" s="22" t="inlineStr">
        <is>
          <t>27 Oct 2026</t>
        </is>
      </c>
      <c r="AI22" s="22" t="inlineStr">
        <is>
          <t>Pass</t>
        </is>
      </c>
      <c r="AJ22" s="22" t="inlineStr">
        <is>
          <t>AVM house value ($856,437) is under $1.5M cap. Not a sale median.</t>
        </is>
      </c>
      <c r="AK22" s="22" t="inlineStr">
        <is>
          <t>SAL20188</t>
        </is>
      </c>
      <c r="AL22" s="32" t="n">
        <v>3894</v>
      </c>
      <c r="AM22" s="22" t="n">
        <v>38</v>
      </c>
      <c r="AN22" s="33" t="n">
        <v>0.13</v>
      </c>
      <c r="AO22" s="33" t="n">
        <v>0.186</v>
      </c>
      <c r="AP22" s="33" t="n">
        <v>0.026</v>
      </c>
      <c r="AQ22" s="33" t="n">
        <v>0.004</v>
      </c>
      <c r="AR22" s="33" t="n">
        <v>0.009000000000000001</v>
      </c>
      <c r="AS22" s="33" t="n">
        <v>0.002</v>
      </c>
      <c r="AT22" s="33" t="n">
        <v>0</v>
      </c>
      <c r="AU22" s="33" t="n">
        <v>0.07000000000000001</v>
      </c>
      <c r="AV22" s="22" t="inlineStr">
        <is>
          <t>German 0.8%; Mandarin 0.6%; French 0.5%</t>
        </is>
      </c>
      <c r="AW2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22" s="22">
        <f>IF(AU22="","",IF(OR(AU22&gt;=0.5,AQ22&gt;=0.08),"High",IF(OR(AU22&gt;=0.3,AQ22&gt;=0.04),"Medium","Low")))</f>
        <v/>
      </c>
    </row>
    <row r="23" ht="15.75" customHeight="1" s="15">
      <c r="A23" s="18" t="inlineStr">
        <is>
          <t>Upwey</t>
        </is>
      </c>
      <c r="B23" s="18" t="inlineStr">
        <is>
          <t>Dandenong Ranges</t>
        </is>
      </c>
      <c r="C23" s="18" t="inlineStr">
        <is>
          <t>Active Shortlist</t>
        </is>
      </c>
      <c r="D23" s="18" t="inlineStr">
        <is>
          <t>High (Foothills village)</t>
        </is>
      </c>
      <c r="E23" s="18" t="inlineStr">
        <is>
          <t>Low (Inland)</t>
        </is>
      </c>
      <c r="F23" s="18" t="inlineStr">
        <is>
          <t>Village character vs healthcare/transport practicality</t>
        </is>
      </c>
      <c r="G23" s="18" t="n">
        <v>929500</v>
      </c>
      <c r="H23" s="18" t="inlineStr">
        <is>
          <t>House sale median $929,500 (104 sales, Property.com.au)</t>
        </is>
      </c>
      <c r="I23" s="18" t="n">
        <v>985270</v>
      </c>
      <c r="J23" s="19" t="n">
        <v>17</v>
      </c>
      <c r="K23" s="19" t="n">
        <v>4</v>
      </c>
      <c r="L23" s="18" t="inlineStr">
        <is>
          <t>Active — provisional pass</t>
        </is>
      </c>
      <c r="M23" s="19">
        <f>IF(J23="","",ROUND(MAX(0,10*(1-J23/Filters!$B$4)),1))</f>
        <v/>
      </c>
      <c r="N23" s="19" t="n">
        <v>9</v>
      </c>
      <c r="O23" s="19">
        <f>IF(K23="","",ROUND(MAX(0,10*(1-K23/Filters!$B$5)),1))</f>
        <v/>
      </c>
      <c r="P23" s="19" t="n">
        <v>3</v>
      </c>
      <c r="Q23" s="19" t="n">
        <v>5</v>
      </c>
      <c r="R23" s="19" t="n">
        <v>8</v>
      </c>
      <c r="S23" s="19" t="n">
        <v>8</v>
      </c>
      <c r="T23" s="19">
        <f>IF(G23="","",ROUND(MAX(0,MIN(10,10*(Filters!$B$2-G23)/(Filters!$B$2-500000))),1))</f>
        <v/>
      </c>
      <c r="U23" s="19" t="n">
        <v>0</v>
      </c>
      <c r="V23" s="19" t="n">
        <v>5</v>
      </c>
      <c r="W23" s="18">
        <f>IF(M23="",0,COUNT(M23:V23))</f>
        <v/>
      </c>
      <c r="X23" s="18">
        <f>IF(W23&lt;10,"",M23*ForcedChoiceCorrections!$B$6+N23*ForcedChoiceCorrections!$B$7+O23*ForcedChoiceCorrections!$B$8+P23*ForcedChoiceCorrections!$B$9+Q23*ForcedChoiceCorrections!$B$10+R23*ForcedChoiceCorrections!$B$11+S23*ForcedChoiceCorrections!$B$12+T23*ForcedChoiceCorrections!$B$13+U23*ForcedChoiceCorrections!$B$14+V23*ForcedChoiceCorrections!$B$15)</f>
        <v/>
      </c>
      <c r="Y23" s="18">
        <f>IF(AND(ISNUMBER(SEARCH("pass",L23)),ISNUMBER(X23)),COUNTIFS(L$2:L$90,"*pass*",X$2:X$90,"&gt;"&amp;X23)+1,"")</f>
        <v/>
      </c>
      <c r="Z23" s="18" t="inlineStr">
        <is>
          <t>Belgrave rail line township; closer to foothills edge than Belgrave.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 beside Main St; medical centre on Main St; no supermarket mentioned: Q lowered 6-&gt;5. Adjoins Dandenong Ranges NP; Ferny, Monbulk creeks (Wikipedia Upwey). N, P, R, V remain estimates. | CHECKED 27 Oct 2026, second pass (N, P, R, V; suburb level). Nature: Glenfern Valley Bushlands, 40 ha of remnant and rehabilitated forest down to Ferny Creek; ridge-top Glenfern Rd with views [Wikipedia Upwey]; N 9 consistent. Village: Main Street 'instilling a traditional community village nature', cafés with kerbside dining, medical and dental centre [Wikipedia]; R 7 consistent (8 arguable); medical centre on Main St supports Q. Indian community: India-born 0.6%, Hinduism 0.3%; 80.7% Australia-born [ABS 2021 GCP SAL22620; Wikipedia]; P 3 generous (1 arguable). City trip: 33 km E on the Belgrave line [Wikipedia]; V 5 estimate. Scores unchanged. | C3 28 Oct 2026: R 7-&gt;8 (source: Main Street 'instilling a traditional community village nature', kerbside cafés [Wikipedia Upwey]).</t>
        </is>
      </c>
      <c r="AA23" s="16" t="inlineStr">
        <is>
          <t>22. Upwey | Dandenong Ranges | Active Shortlist | P: High (Foothills village) | Y: Low (Inland) | Lens: Village character vs healthcare/transport practicality | Price: 929500 | Basis: House sale median $929,500 (104 sales, Property.com.au) | Note: Belgrave rail line township; closer to foothills edge than Belgrave.</t>
        </is>
      </c>
      <c r="AB23" s="16" t="inlineStr">
        <is>
          <t>Yes</t>
        </is>
      </c>
      <c r="AC23" s="16" t="inlineStr">
        <is>
          <t>Upwey station, Belgrave line, beside Main Street (checked: Wikipedia Upwey)</t>
        </is>
      </c>
      <c r="AD23" s="16" t="inlineStr">
        <is>
          <t>Angliss Hospital ED (24-hr status still to verify)</t>
        </is>
      </c>
      <c r="AE23" s="24" t="n">
        <v>1500000</v>
      </c>
      <c r="AF23" s="22" t="inlineStr">
        <is>
          <t>Maximum purchase price, excluding transaction and moving costs</t>
        </is>
      </c>
      <c r="AG23" s="22" t="inlineStr">
        <is>
          <t>Suburb median</t>
        </is>
      </c>
      <c r="AH23" s="22" t="inlineStr">
        <is>
          <t>26 Oct 2026</t>
        </is>
      </c>
      <c r="AI23" s="22" t="inlineStr">
        <is>
          <t>Pass</t>
        </is>
      </c>
      <c r="AJ23" s="22" t="inlineStr">
        <is>
          <t>Published house price ($929,500) is under $1.5M cap.</t>
        </is>
      </c>
      <c r="AK23" s="22" t="inlineStr">
        <is>
          <t>SAL22620</t>
        </is>
      </c>
      <c r="AL23" s="32" t="n">
        <v>6818</v>
      </c>
      <c r="AM23" s="22" t="n">
        <v>41</v>
      </c>
      <c r="AN23" s="33" t="n">
        <v>0.147</v>
      </c>
      <c r="AO23" s="33" t="n">
        <v>0.169</v>
      </c>
      <c r="AP23" s="33" t="n">
        <v>0.024</v>
      </c>
      <c r="AQ23" s="33" t="n">
        <v>0.006</v>
      </c>
      <c r="AR23" s="33" t="n">
        <v>0.01</v>
      </c>
      <c r="AS23" s="33" t="n">
        <v>0.003</v>
      </c>
      <c r="AT23" s="33" t="n">
        <v>0</v>
      </c>
      <c r="AU23" s="33" t="n">
        <v>0.063</v>
      </c>
      <c r="AV23" s="22" t="inlineStr">
        <is>
          <t>Mandarin 0.5%; Italian 0.4%; Russian 0.4%</t>
        </is>
      </c>
      <c r="AW2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23" s="22">
        <f>IF(AU23="","",IF(OR(AU23&gt;=0.5,AQ23&gt;=0.08),"High",IF(OR(AU23&gt;=0.3,AQ23&gt;=0.04),"Medium","Low")))</f>
        <v/>
      </c>
    </row>
    <row r="24" ht="15.75" customHeight="1" s="15">
      <c r="A24" s="18" t="inlineStr">
        <is>
          <t>Tecoma</t>
        </is>
      </c>
      <c r="B24" s="18" t="inlineStr">
        <is>
          <t>Dandenong Ranges</t>
        </is>
      </c>
      <c r="C24" s="18" t="inlineStr">
        <is>
          <t>Active Shortlist</t>
        </is>
      </c>
      <c r="D24" s="18" t="inlineStr">
        <is>
          <t>High (Foothills/forest)</t>
        </is>
      </c>
      <c r="E24" s="18" t="inlineStr">
        <is>
          <t>Low (Inland)</t>
        </is>
      </c>
      <c r="F24" s="18" t="inlineStr">
        <is>
          <t>Established rail township between Upwey &amp; Belgrave</t>
        </is>
      </c>
      <c r="G24" s="18" t="n">
        <v>894304</v>
      </c>
      <c r="H24" s="18" t="inlineStr">
        <is>
          <t>AVM estimate (30 Sep 2026), NOT a verified sale median; unit $655,831; 38 sales in last 12m (OnTheHouse/Cotality, read 27 Oct 2026) — few sales, weak</t>
        </is>
      </c>
      <c r="I24" s="18">
        <f>G24*(1+Settings!$B$6)</f>
        <v/>
      </c>
      <c r="J24" s="19" t="n">
        <v>19</v>
      </c>
      <c r="K24" s="19" t="n">
        <v>5</v>
      </c>
      <c r="L24" s="18" t="inlineStr">
        <is>
          <t>Active — provisional pass</t>
        </is>
      </c>
      <c r="M24" s="19">
        <f>IF(J24="","",ROUND(MAX(0,10*(1-J24/Filters!$B$4)),1))</f>
        <v/>
      </c>
      <c r="N24" s="19" t="n">
        <v>9</v>
      </c>
      <c r="O24" s="19">
        <f>IF(K24="","",ROUND(MAX(0,10*(1-K24/Filters!$B$5)),1))</f>
        <v/>
      </c>
      <c r="P24" s="19" t="n">
        <v>3</v>
      </c>
      <c r="Q24" s="19" t="n">
        <v>4</v>
      </c>
      <c r="R24" s="19" t="n">
        <v>6</v>
      </c>
      <c r="S24" s="19" t="n">
        <v>7</v>
      </c>
      <c r="T24" s="19">
        <f>IF(G24="","",ROUND(MAX(0,MIN(10,10*(Filters!$B$2-G24)/(Filters!$B$2-500000))),1))</f>
        <v/>
      </c>
      <c r="U24" s="19" t="n">
        <v>0</v>
      </c>
      <c r="V24" s="19" t="n">
        <v>5</v>
      </c>
      <c r="W24" s="18">
        <f>IF(M24="",0,COUNT(M24:V24))</f>
        <v/>
      </c>
      <c r="X24" s="18">
        <f>IF(W24&lt;10,"",M24*ForcedChoiceCorrections!$B$6+N24*ForcedChoiceCorrections!$B$7+O24*ForcedChoiceCorrections!$B$8+P24*ForcedChoiceCorrections!$B$9+Q24*ForcedChoiceCorrections!$B$10+R24*ForcedChoiceCorrections!$B$11+S24*ForcedChoiceCorrections!$B$12+T24*ForcedChoiceCorrections!$B$13+U24*ForcedChoiceCorrections!$B$14+V24*ForcedChoiceCorrections!$B$15)</f>
        <v/>
      </c>
      <c r="Y24" s="18">
        <f>IF(AND(ISNUMBER(SEARCH("pass",L24)),ISNUMBER(X24)),COUNTIFS(L$2:L$90,"*pass*",X$2:X$90,"&gt;"&amp;X24)+1,"")</f>
        <v/>
      </c>
      <c r="Z24" s="18" t="inlineStr">
        <is>
          <t>Belgrave rail line; council groups Belgrave-Tecoma-Upwey as established townships.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2,064; 35 km E of CBD, 1 km W of Belgrave, adjoining Sherbrooke Forest to the north [Wikipedia Tecoma]. Nature: 'residences are built in hilly country, well planted with trees'; bushfire exposure from the National Park to the north [Victorian Places]; N 9 consistent. Village: 'a small strip shopping centre, somewhat held in check by its proximity to Belgrave'; residents campaigned against a fast-food chain as out of character [Victorian Places]; R 6 consistent. Shops: Q 4 consistent (Belgrave next door). Train: Tecoma station on the Belgrave line [Victorian Places]; S 7 consistent. Indian community: India-born 0.3%, Hinduism 0.3%, Sikhism 0.4% [ABS 2021 GCP SAL22476]; P 3 generous (1-2 arguable). City trip: 35 km by train; V 5 estimate. NOT checked: GPs, journey time. Scores unchanged.</t>
        </is>
      </c>
      <c r="AA24" s="16" t="inlineStr">
        <is>
          <t>23. Tecoma | Dandenong Ranges | Active Shortlist | P: High (Foothills/forest) | Y: Low (Inland) | Lens: Established rail township between Upwey &amp; Belgrave | Price: [Blank] | Basis: Not verified in report | Note: Belgrave rail line; council groups Belgrave-Tecoma-Upwey as established townships.</t>
        </is>
      </c>
      <c r="AB24" s="16" t="inlineStr">
        <is>
          <t>Yes</t>
        </is>
      </c>
      <c r="AC24" s="16" t="inlineStr">
        <is>
          <t>Tecoma station, Belgrave line (per sheet note)</t>
        </is>
      </c>
      <c r="AD24" s="16" t="inlineStr">
        <is>
          <t>Angliss Hospital ED (24-hr status still to verify)</t>
        </is>
      </c>
      <c r="AE24" s="24" t="n">
        <v>1500000</v>
      </c>
      <c r="AF24" s="22" t="inlineStr">
        <is>
          <t>Maximum purchase price, excluding transaction and moving costs</t>
        </is>
      </c>
      <c r="AG24" s="22" t="inlineStr">
        <is>
          <t>AVM estimate</t>
        </is>
      </c>
      <c r="AH24" s="22" t="inlineStr">
        <is>
          <t>27 Oct 2026</t>
        </is>
      </c>
      <c r="AI24" s="22" t="inlineStr">
        <is>
          <t>Pass</t>
        </is>
      </c>
      <c r="AJ24" s="22" t="inlineStr">
        <is>
          <t>AVM house value ($894,304) is under $1.5M cap. Not a sale median.</t>
        </is>
      </c>
      <c r="AK24" s="22" t="inlineStr">
        <is>
          <t>SAL22476</t>
        </is>
      </c>
      <c r="AL24" s="32" t="n">
        <v>2064</v>
      </c>
      <c r="AM24" s="22" t="n">
        <v>42</v>
      </c>
      <c r="AN24" s="33" t="n">
        <v>0.153</v>
      </c>
      <c r="AO24" s="33" t="n">
        <v>0.17</v>
      </c>
      <c r="AP24" s="33" t="n">
        <v>0.029</v>
      </c>
      <c r="AQ24" s="33" t="n">
        <v>0.003</v>
      </c>
      <c r="AR24" s="33" t="n">
        <v>0.009000000000000001</v>
      </c>
      <c r="AS24" s="33" t="n">
        <v>0.003</v>
      </c>
      <c r="AT24" s="33" t="n">
        <v>0.004</v>
      </c>
      <c r="AU24" s="33" t="n">
        <v>0.045</v>
      </c>
      <c r="AV24" s="22" t="inlineStr">
        <is>
          <t>German 0.7%; Italian 0.5%; Hindi 0.4%</t>
        </is>
      </c>
      <c r="AW24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  <c r="AX24" s="22">
        <f>IF(AU24="","",IF(OR(AU24&gt;=0.5,AQ24&gt;=0.08),"High",IF(OR(AU24&gt;=0.3,AQ24&gt;=0.04),"Medium","Low")))</f>
        <v/>
      </c>
    </row>
    <row r="25" ht="15.75" customHeight="1" s="15">
      <c r="A25" s="18" t="inlineStr">
        <is>
          <t>The Basin</t>
        </is>
      </c>
      <c r="B25" s="18" t="inlineStr">
        <is>
          <t>Dandenong Foothills</t>
        </is>
      </c>
      <c r="C25" s="18" t="inlineStr">
        <is>
          <t>Active Shortlist</t>
        </is>
      </c>
      <c r="D25" s="18" t="inlineStr">
        <is>
          <t>High (National park edge)</t>
        </is>
      </c>
      <c r="E25" s="18" t="inlineStr">
        <is>
          <t>Low (Inland)</t>
        </is>
      </c>
      <c r="F25" s="18" t="inlineStr">
        <is>
          <t>Forest-edge living without a ridge village</t>
        </is>
      </c>
      <c r="G25" s="18" t="n">
        <v>845187</v>
      </c>
      <c r="H25" s="18" t="inlineStr">
        <is>
          <t>AVM estimate (30 Sep 2026), NOT a verified sale median; unit $728,871; 66 sales in last 12m (OnTheHouse/Cotality, read 27 Oct 2026)</t>
        </is>
      </c>
      <c r="I25" s="18">
        <f>G25*(1+Settings!$B$6)</f>
        <v/>
      </c>
      <c r="J25" s="19" t="n">
        <v>17</v>
      </c>
      <c r="K25" s="19" t="n">
        <v>10</v>
      </c>
      <c r="L25" s="18" t="inlineStr">
        <is>
          <t>Active — provisional pass</t>
        </is>
      </c>
      <c r="M25" s="19">
        <f>IF(J25="","",ROUND(MAX(0,10*(1-J25/Filters!$B$4)),1))</f>
        <v/>
      </c>
      <c r="N25" s="19" t="n">
        <v>8</v>
      </c>
      <c r="O25" s="19">
        <f>IF(K25="","",ROUND(MAX(0,10*(1-K25/Filters!$B$5)),1))</f>
        <v/>
      </c>
      <c r="P25" s="19" t="n">
        <v>4</v>
      </c>
      <c r="Q25" s="19" t="n">
        <v>4</v>
      </c>
      <c r="R25" s="19" t="n">
        <v>7</v>
      </c>
      <c r="S25" s="19" t="n">
        <v>3</v>
      </c>
      <c r="T25" s="19">
        <f>IF(G25="","",ROUND(MAX(0,MIN(10,10*(Filters!$B$2-G25)/(Filters!$B$2-500000))),1))</f>
        <v/>
      </c>
      <c r="U25" s="19" t="n">
        <v>0</v>
      </c>
      <c r="V25" s="19" t="n">
        <v>4</v>
      </c>
      <c r="W25" s="18">
        <f>IF(M25="",0,COUNT(M25:V25))</f>
        <v/>
      </c>
      <c r="X25" s="18">
        <f>IF(W25&lt;10,"",M25*ForcedChoiceCorrections!$B$6+N25*ForcedChoiceCorrections!$B$7+O25*ForcedChoiceCorrections!$B$8+P25*ForcedChoiceCorrections!$B$9+Q25*ForcedChoiceCorrections!$B$10+R25*ForcedChoiceCorrections!$B$11+S25*ForcedChoiceCorrections!$B$12+T25*ForcedChoiceCorrections!$B$13+U25*ForcedChoiceCorrections!$B$14+V25*ForcedChoiceCorrections!$B$15)</f>
        <v/>
      </c>
      <c r="Y25" s="18">
        <f>IF(AND(ISNUMBER(SEARCH("pass",L25)),ISNUMBER(X25)),COUNTIFS(L$2:L$90,"*pass*",X$2:X$90,"&gt;"&amp;X25)+1,"")</f>
        <v/>
      </c>
      <c r="Z25" s="18" t="inlineStr">
        <is>
          <t>Adjoins Dandenong Ranges National Park; verify bus/station link &amp; Angliss Hospital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4,497; 31 km E of CBD; part of a Melbourne green wedge, 'nestled into the forest covered foothills of Mount Dandenong' and Dandenong Ranges National Park incl. Doongalla Forest; bushy parks (Wicks Reserve) and farmland [Wikipedia The Basin]. N 8 consistent. Village: shops round 'The Basin Triangle' 'amidst a village atmosphere': licensed post office, two pubs, cafés, greengrocer, butcher, bookstore [Wikipedia]; R 7 consistent. Shops: no supermarket listed; Q 4 consistent. Transport: no station; bus 755 to Bayswater, Boronia and Ferntree Gully stations [Wikipedia]; S 3 consistent. Indian community: Vinayagar Hindu Temple is in the suburb [Wikipedia; Victorian Places 'a Hindu temple']; residents India-born 0.2%, Indian ancestry 0.9%, Hinduism 0.5% [ABS 2021 GCP SAL22496]; P 4 rests on the temple, not on residents. Hazards: 'topography causes strong wind which can fan severe fires'; 'much of the area is also flood prone' [Victorian Places]. City trip: 31 km [Wikipedia]; journey time not stated; V 4 estimate. NOT checked: GPs, bus frequency, journey time. Scores unchanged.</t>
        </is>
      </c>
      <c r="AA25" s="16" t="inlineStr">
        <is>
          <t>24. The Basin | Dandenong Foothills | Active Shortlist | P: High (National park edge) | Y: Low (Inland) | Lens: Forest-edge living without a ridge village | Price: [Blank] | Basis: Not verified in report | Note: Adjoins Dandenong Ranges National Park; verify bus/station link &amp; Angliss Hospital ED drive.</t>
        </is>
      </c>
      <c r="AB25" s="16" t="inlineStr">
        <is>
          <t>No</t>
        </is>
      </c>
      <c r="AC25" s="16" t="inlineStr">
        <is>
          <t>No station; bus link unverified (per sheet note)</t>
        </is>
      </c>
      <c r="AD25" s="16" t="inlineStr">
        <is>
          <t>Angliss Hospital ED (24-hr status still to verify)</t>
        </is>
      </c>
      <c r="AE25" s="24" t="n">
        <v>1500000</v>
      </c>
      <c r="AF25" s="22" t="inlineStr">
        <is>
          <t>Maximum purchase price, excluding transaction and moving costs</t>
        </is>
      </c>
      <c r="AG25" s="22" t="inlineStr">
        <is>
          <t>AVM estimate</t>
        </is>
      </c>
      <c r="AH25" s="22" t="inlineStr">
        <is>
          <t>27 Oct 2026</t>
        </is>
      </c>
      <c r="AI25" s="22" t="inlineStr">
        <is>
          <t>Pass</t>
        </is>
      </c>
      <c r="AJ25" s="22" t="inlineStr">
        <is>
          <t>AVM house value ($845,187) is under $1.5M cap. Not a sale median.</t>
        </is>
      </c>
      <c r="AK25" s="22" t="inlineStr">
        <is>
          <t>SAL22496</t>
        </is>
      </c>
      <c r="AL25" s="32" t="n">
        <v>4497</v>
      </c>
      <c r="AM25" s="22" t="n">
        <v>40</v>
      </c>
      <c r="AN25" s="33" t="n">
        <v>0.172</v>
      </c>
      <c r="AO25" s="33" t="n">
        <v>0.17</v>
      </c>
      <c r="AP25" s="33" t="n">
        <v>0.034</v>
      </c>
      <c r="AQ25" s="33" t="n">
        <v>0.002</v>
      </c>
      <c r="AR25" s="33" t="n">
        <v>0.009000000000000001</v>
      </c>
      <c r="AS25" s="33" t="n">
        <v>0.005</v>
      </c>
      <c r="AT25" s="33" t="n">
        <v>0</v>
      </c>
      <c r="AU25" s="33" t="n">
        <v>0.08199999999999999</v>
      </c>
      <c r="AV25" s="22" t="inlineStr">
        <is>
          <t>German 1.8%; Mandarin 1.1%; Italian 0.5%</t>
        </is>
      </c>
      <c r="AW2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25" s="22">
        <f>IF(AU25="","",IF(OR(AU25&gt;=0.5,AQ25&gt;=0.08),"High",IF(OR(AU25&gt;=0.3,AQ25&gt;=0.04),"Medium","Low")))</f>
        <v/>
      </c>
    </row>
    <row r="26" ht="15.75" customHeight="1" s="15">
      <c r="A26" s="18" t="inlineStr">
        <is>
          <t>Montrose</t>
        </is>
      </c>
      <c r="B26" s="18" t="inlineStr">
        <is>
          <t>Dandenong Foothills</t>
        </is>
      </c>
      <c r="C26" s="18" t="inlineStr">
        <is>
          <t>Active Shortlist</t>
        </is>
      </c>
      <c r="D26" s="18" t="inlineStr">
        <is>
          <t>High (Mountain backdrop)</t>
        </is>
      </c>
      <c r="E26" s="18" t="inlineStr">
        <is>
          <t>Low (Inland)</t>
        </is>
      </c>
      <c r="F26" s="18" t="inlineStr">
        <is>
          <t>Foothills township between suburbs &amp; ridge</t>
        </is>
      </c>
      <c r="G26" s="18" t="n">
        <v>968458</v>
      </c>
      <c r="H26" s="18" t="inlineStr">
        <is>
          <t>AVM estimate (30 Sep 2026), NOT a verified sale median; unit $712,988; 85 sales in last 12m (OnTheHouse/Cotality, read 27 Oct 2026)</t>
        </is>
      </c>
      <c r="I26" s="18">
        <f>G26*(1+Settings!$B$6)</f>
        <v/>
      </c>
      <c r="J26" s="19" t="n">
        <v>22</v>
      </c>
      <c r="K26" s="19" t="n">
        <v>12</v>
      </c>
      <c r="L26" s="18" t="inlineStr">
        <is>
          <t>Active — provisional pass</t>
        </is>
      </c>
      <c r="M26" s="19">
        <f>IF(J26="","",ROUND(MAX(0,10*(1-J26/Filters!$B$4)),1))</f>
        <v/>
      </c>
      <c r="N26" s="19" t="n">
        <v>8</v>
      </c>
      <c r="O26" s="19">
        <f>IF(K26="","",ROUND(MAX(0,10*(1-K26/Filters!$B$5)),1))</f>
        <v/>
      </c>
      <c r="P26" s="19" t="n">
        <v>3</v>
      </c>
      <c r="Q26" s="19" t="n">
        <v>5</v>
      </c>
      <c r="R26" s="19" t="n">
        <v>6</v>
      </c>
      <c r="S26" s="19" t="n">
        <v>3</v>
      </c>
      <c r="T26" s="19">
        <f>IF(G26="","",ROUND(MAX(0,MIN(10,10*(Filters!$B$2-G26)/(Filters!$B$2-500000))),1))</f>
        <v/>
      </c>
      <c r="U26" s="19" t="n">
        <v>0</v>
      </c>
      <c r="V26" s="19" t="n">
        <v>4</v>
      </c>
      <c r="W26" s="18">
        <f>IF(M26="",0,COUNT(M26:V26))</f>
        <v/>
      </c>
      <c r="X26" s="18">
        <f>IF(W26&lt;10,"",M26*ForcedChoiceCorrections!$B$6+N26*ForcedChoiceCorrections!$B$7+O26*ForcedChoiceCorrections!$B$8+P26*ForcedChoiceCorrections!$B$9+Q26*ForcedChoiceCorrections!$B$10+R26*ForcedChoiceCorrections!$B$11+S26*ForcedChoiceCorrections!$B$12+T26*ForcedChoiceCorrections!$B$13+U26*ForcedChoiceCorrections!$B$14+V26*ForcedChoiceCorrections!$B$15)</f>
        <v/>
      </c>
      <c r="Y26" s="18">
        <f>IF(AND(ISNUMBER(SEARCH("pass",L26)),ISNUMBER(X26)),COUNTIFS(L$2:L$90,"*pass*",X$2:X$90,"&gt;"&amp;X26)+1,"")</f>
        <v/>
      </c>
      <c r="Z26" s="18" t="inlineStr">
        <is>
          <t>Township shopping &amp; community hub; verify non-rail transport, fire exposure &amp;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6,900; 33 km E of CBD at the foothills of Mount Dandenong, altitude 91-324 m [Wikipedia Montrose]. Nature: 'five bush reserves and two linear reserves'; government buy-back of steep land to protect bush; houses lost to fire in 1961 [Victorian Places]; N 8 consistent. Village: shopping area at Mount Dandenong and Swansea Rds with community centre and pioneer cottage; strong local preservation groups [Victorian Places]; R 6 consistent. Train: no station; 'not far from the Mooroolbark railway station' [Victorian Places]; S 3 consistent (bus not checked). Indian community: India-born 0.4%, Hinduism 0.2% [ABS 2021 GCP SAL21736]; P 3 generous (1-2 arguable). City trip: 33 km, no station; V 4 estimate. NOT checked: GPs, supermarket, bus. Scores unchanged.</t>
        </is>
      </c>
      <c r="AA26" s="16" t="inlineStr">
        <is>
          <t>25. Montrose | Dandenong Foothills | Active Shortlist | P: High (Mountain backdrop) | Y: Low (Inland) | Lens: Foothills township between suburbs &amp; ridge | Price: [Blank] | Basis: Not verified in report | Note: Township shopping &amp; community hub; verify non-rail transport, fire exposure &amp; ED journey.</t>
        </is>
      </c>
      <c r="AB26" s="16" t="inlineStr">
        <is>
          <t>No</t>
        </is>
      </c>
      <c r="AC26" s="16" t="inlineStr">
        <is>
          <t>No station; Mooroolbark/Lilydale stations nearby (recall; verify)</t>
        </is>
      </c>
      <c r="AD26" s="16" t="inlineStr">
        <is>
          <t>Maroondah Hospital ED</t>
        </is>
      </c>
      <c r="AE26" s="24" t="n">
        <v>1500000</v>
      </c>
      <c r="AF26" s="22" t="inlineStr">
        <is>
          <t>Maximum purchase price, excluding transaction and moving costs</t>
        </is>
      </c>
      <c r="AG26" s="22" t="inlineStr">
        <is>
          <t>AVM estimate</t>
        </is>
      </c>
      <c r="AH26" s="22" t="inlineStr">
        <is>
          <t>27 Oct 2026</t>
        </is>
      </c>
      <c r="AI26" s="22" t="inlineStr">
        <is>
          <t>Pass</t>
        </is>
      </c>
      <c r="AJ26" s="22" t="inlineStr">
        <is>
          <t>AVM house value ($968,458) is under $1.5M cap. Not a sale median.</t>
        </is>
      </c>
      <c r="AK26" s="22" t="inlineStr">
        <is>
          <t>SAL21736</t>
        </is>
      </c>
      <c r="AL26" s="32" t="n">
        <v>6900</v>
      </c>
      <c r="AM26" s="22" t="n">
        <v>41</v>
      </c>
      <c r="AN26" s="33" t="n">
        <v>0.195</v>
      </c>
      <c r="AO26" s="33" t="n">
        <v>0.145</v>
      </c>
      <c r="AP26" s="33" t="n">
        <v>0.026</v>
      </c>
      <c r="AQ26" s="33" t="n">
        <v>0.004</v>
      </c>
      <c r="AR26" s="33" t="n">
        <v>0.006999999999999999</v>
      </c>
      <c r="AS26" s="33" t="n">
        <v>0.002</v>
      </c>
      <c r="AT26" s="33" t="n">
        <v>0.001</v>
      </c>
      <c r="AU26" s="33" t="n">
        <v>0.048</v>
      </c>
      <c r="AV26" s="22" t="inlineStr">
        <is>
          <t>German 0.5%; Greek 0.3%; Italian 0.3%</t>
        </is>
      </c>
      <c r="AW2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26" s="22">
        <f>IF(AU26="","",IF(OR(AU26&gt;=0.5,AQ26&gt;=0.08),"High",IF(OR(AU26&gt;=0.3,AQ26&gt;=0.04),"Medium","Low")))</f>
        <v/>
      </c>
    </row>
    <row r="27" ht="15.75" customHeight="1" s="15">
      <c r="A27" s="18" t="inlineStr">
        <is>
          <t>Mount Evelyn</t>
        </is>
      </c>
      <c r="B27" s="18" t="inlineStr">
        <is>
          <t>Yarra Ranges</t>
        </is>
      </c>
      <c r="C27" s="18" t="inlineStr">
        <is>
          <t>Active Shortlist</t>
        </is>
      </c>
      <c r="D27" s="18" t="inlineStr">
        <is>
          <t>High (Aqueduct &amp; rail trails)</t>
        </is>
      </c>
      <c r="E27" s="18" t="inlineStr">
        <is>
          <t>Low (Inland)</t>
        </is>
      </c>
      <c r="F27" s="18" t="inlineStr">
        <is>
          <t>Forest village closer than Warburton</t>
        </is>
      </c>
      <c r="G27" s="18" t="n">
        <v>915472</v>
      </c>
      <c r="H27" s="18" t="inlineStr">
        <is>
          <t>AVM estimate (30 Sep 2026), NOT a verified sale median; unit $693,463; 130 sales in last 12m (OnTheHouse/Cotality, read 27 Oct 2026)</t>
        </is>
      </c>
      <c r="I27" s="18">
        <f>G27*(1+Settings!$B$6)</f>
        <v/>
      </c>
      <c r="J27" s="19" t="n">
        <v>27</v>
      </c>
      <c r="K27" s="19" t="n">
        <v>17</v>
      </c>
      <c r="L27" s="18" t="inlineStr">
        <is>
          <t>Active — provisional pass</t>
        </is>
      </c>
      <c r="M27" s="19">
        <f>IF(J27="","",ROUND(MAX(0,10*(1-J27/Filters!$B$4)),1))</f>
        <v/>
      </c>
      <c r="N27" s="19" t="n">
        <v>8</v>
      </c>
      <c r="O27" s="19">
        <f>IF(K27="","",ROUND(MAX(0,10*(1-K27/Filters!$B$5)),1))</f>
        <v/>
      </c>
      <c r="P27" s="19" t="n">
        <v>2</v>
      </c>
      <c r="Q27" s="19" t="n">
        <v>5</v>
      </c>
      <c r="R27" s="19" t="n">
        <v>6</v>
      </c>
      <c r="S27" s="19" t="n">
        <v>3</v>
      </c>
      <c r="T27" s="19">
        <f>IF(G27="","",ROUND(MAX(0,MIN(10,10*(Filters!$B$2-G27)/(Filters!$B$2-500000))),1))</f>
        <v/>
      </c>
      <c r="U27" s="19" t="n">
        <v>0</v>
      </c>
      <c r="V27" s="19" t="n">
        <v>4</v>
      </c>
      <c r="W27" s="18">
        <f>IF(M27="",0,COUNT(M27:V27))</f>
        <v/>
      </c>
      <c r="X27" s="18">
        <f>IF(W27&lt;10,"",M27*ForcedChoiceCorrections!$B$6+N27*ForcedChoiceCorrections!$B$7+O27*ForcedChoiceCorrections!$B$8+P27*ForcedChoiceCorrections!$B$9+Q27*ForcedChoiceCorrections!$B$10+R27*ForcedChoiceCorrections!$B$11+S27*ForcedChoiceCorrections!$B$12+T27*ForcedChoiceCorrections!$B$13+U27*ForcedChoiceCorrections!$B$14+V27*ForcedChoiceCorrections!$B$15)</f>
        <v/>
      </c>
      <c r="Y27" s="18">
        <f>IF(AND(ISNUMBER(SEARCH("pass",L27)),ISNUMBER(X27)),COUNTIFS(L$2:L$90,"*pass*",X$2:X$90,"&gt;"&amp;X27)+1,"")</f>
        <v/>
      </c>
      <c r="Z27" s="18" t="inlineStr">
        <is>
          <t>Warburton Rail Trail &amp; Aqueduct Trail (no passenger rail); verify Maroondah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9,799; 37 km E of CBD, in a bend of Olinda Creek [Wikipedia Mount Evelyn]. Nature: Mount Evelyn Forest (part of Dandenong Ranges National Park) in the south; Warburton Rail Trail and Aqueduct Walk pass through [Wikipedia; Victorian Places]; N 8 consistent. Village: shopping centre west of the former station 'accompanied by several community meeting places and churches' [Victorian Places]; R 6 consistent. Train: railway closed 1965, now the rail trail [Wikipedia]; no station; S 3 consistent (bus not checked). Shops: supermarket not named; Q 5 estimate. Indian community: India-born 0.2%, Hinduism 0.2% [ABS 2021 GCP SAL21795]; P 2 consistent (1 arguable). City trip: 37 km, no rail; V 4 estimate. NOT checked: GPs, supermarket, bus, journey time. Scores unchanged.</t>
        </is>
      </c>
      <c r="AA27" s="16" t="inlineStr">
        <is>
          <t>26. Mount Evelyn | Yarra Ranges | Active Shortlist | P: High (Aqueduct &amp; rail trails) | Y: Low (Inland) | Lens: Forest village closer than Warburton | Price: [Blank] | Basis: Not verified in report | Note: Warburton Rail Trail &amp; Aqueduct Trail (no passenger rail); verify Maroondah ED journey.</t>
        </is>
      </c>
      <c r="AB27" s="16" t="inlineStr">
        <is>
          <t>No</t>
        </is>
      </c>
      <c r="AC27" s="16" t="inlineStr">
        <is>
          <t>No passenger rail (per sheet note)</t>
        </is>
      </c>
      <c r="AD27" s="16" t="inlineStr">
        <is>
          <t>Maroondah Hospital ED</t>
        </is>
      </c>
      <c r="AE27" s="24" t="n">
        <v>1500000</v>
      </c>
      <c r="AF27" s="22" t="inlineStr">
        <is>
          <t>Maximum purchase price, excluding transaction and moving costs</t>
        </is>
      </c>
      <c r="AG27" s="22" t="inlineStr">
        <is>
          <t>AVM estimate</t>
        </is>
      </c>
      <c r="AH27" s="22" t="inlineStr">
        <is>
          <t>27 Oct 2026</t>
        </is>
      </c>
      <c r="AI27" s="22" t="inlineStr">
        <is>
          <t>Pass</t>
        </is>
      </c>
      <c r="AJ27" s="22" t="inlineStr">
        <is>
          <t>AVM house value ($915,472) is under $1.5M cap. Not a sale median.</t>
        </is>
      </c>
      <c r="AK27" s="22" t="inlineStr">
        <is>
          <t>SAL21795</t>
        </is>
      </c>
      <c r="AL27" s="32" t="n">
        <v>9799</v>
      </c>
      <c r="AM27" s="22" t="n">
        <v>38</v>
      </c>
      <c r="AN27" s="33" t="n">
        <v>0.149</v>
      </c>
      <c r="AO27" s="33" t="n">
        <v>0.127</v>
      </c>
      <c r="AP27" s="33" t="n">
        <v>0.018</v>
      </c>
      <c r="AQ27" s="33" t="n">
        <v>0.002</v>
      </c>
      <c r="AR27" s="33" t="n">
        <v>0.005</v>
      </c>
      <c r="AS27" s="33" t="n">
        <v>0.002</v>
      </c>
      <c r="AT27" s="33" t="n">
        <v>0</v>
      </c>
      <c r="AU27" s="33" t="n">
        <v>0.042</v>
      </c>
      <c r="AV27" s="22" t="inlineStr">
        <is>
          <t>Italian 0.4%; German 0.2%; French 0.2%</t>
        </is>
      </c>
      <c r="AW27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27" s="22">
        <f>IF(AU27="","",IF(OR(AU27&gt;=0.5,AQ27&gt;=0.08),"High",IF(OR(AU27&gt;=0.3,AQ27&gt;=0.04),"Medium","Low")))</f>
        <v/>
      </c>
    </row>
    <row r="28" ht="15.75" customHeight="1" s="15">
      <c r="A28" s="18" t="inlineStr">
        <is>
          <t>Croydon</t>
        </is>
      </c>
      <c r="B28" s="18" t="inlineStr">
        <is>
          <t>Outer East Melbourne</t>
        </is>
      </c>
      <c r="C28" s="18" t="inlineStr">
        <is>
          <t>Active Shortlist</t>
        </is>
      </c>
      <c r="D28" s="18" t="inlineStr">
        <is>
          <t>Medium (Leafy parks)</t>
        </is>
      </c>
      <c r="E28" s="18" t="inlineStr">
        <is>
          <t>Low (Inland)</t>
        </is>
      </c>
      <c r="F28" s="18" t="inlineStr">
        <is>
          <t>Practical outer-east control with rail &amp; services</t>
        </is>
      </c>
      <c r="G28" s="18" t="n">
        <v>898896</v>
      </c>
      <c r="H28" s="18" t="inlineStr">
        <is>
          <t>AVM estimate (30 Sep 2026), NOT a verified sale median; unit $670,300; 704 sales in last 12m (OnTheHouse/Cotality, read 27 Oct 2026)</t>
        </is>
      </c>
      <c r="I28" s="18">
        <f>G28*(1+Settings!$B$6)</f>
        <v/>
      </c>
      <c r="J28" s="19" t="n">
        <v>18</v>
      </c>
      <c r="K28" s="19" t="n">
        <v>6</v>
      </c>
      <c r="L28" s="18" t="inlineStr">
        <is>
          <t>Active — provisional pass</t>
        </is>
      </c>
      <c r="M28" s="19">
        <f>IF(J28="","",ROUND(MAX(0,10*(1-J28/Filters!$B$4)),1))</f>
        <v/>
      </c>
      <c r="N28" s="19" t="n">
        <v>5</v>
      </c>
      <c r="O28" s="19">
        <f>IF(K28="","",ROUND(MAX(0,10*(1-K28/Filters!$B$5)),1))</f>
        <v/>
      </c>
      <c r="P28" s="19" t="n">
        <v>5</v>
      </c>
      <c r="Q28" s="19" t="n">
        <v>9</v>
      </c>
      <c r="R28" s="19" t="n">
        <v>4</v>
      </c>
      <c r="S28" s="19" t="n">
        <v>8</v>
      </c>
      <c r="T28" s="19">
        <f>IF(G28="","",ROUND(MAX(0,MIN(10,10*(Filters!$B$2-G28)/(Filters!$B$2-500000))),1))</f>
        <v/>
      </c>
      <c r="U28" s="19" t="n">
        <v>0</v>
      </c>
      <c r="V28" s="19" t="n">
        <v>6</v>
      </c>
      <c r="W28" s="18">
        <f>IF(M28="",0,COUNT(M28:V28))</f>
        <v/>
      </c>
      <c r="X28" s="18">
        <f>IF(W28&lt;10,"",M28*ForcedChoiceCorrections!$B$6+N28*ForcedChoiceCorrections!$B$7+O28*ForcedChoiceCorrections!$B$8+P28*ForcedChoiceCorrections!$B$9+Q28*ForcedChoiceCorrections!$B$10+R28*ForcedChoiceCorrections!$B$11+S28*ForcedChoiceCorrections!$B$12+T28*ForcedChoiceCorrections!$B$13+U28*ForcedChoiceCorrections!$B$14+V28*ForcedChoiceCorrections!$B$15)</f>
        <v/>
      </c>
      <c r="Y28" s="18">
        <f>IF(AND(ISNUMBER(SEARCH("pass",L28)),ISNUMBER(X28)),COUNTIFS(L$2:L$90,"*pass*",X$2:X$90,"&gt;"&amp;X28)+1,"")</f>
        <v/>
      </c>
      <c r="Z28" s="18" t="inlineStr">
        <is>
          <t>Main St activity centre, train/bus interchange &amp; Croydon Park; benchmark near Maroondah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full pass (suburb level). Pop 28,608, 30 km E of CBD, elevation 124 m [Wikipedia Croydon; ABS SAL20682]. Nature: named green spaces are Croydon Park, Dorset Recreational Reserve, Silcock Reserve; Wikipedia does not describe bushland or hills, so N 5 rests on estimate only. Village: Croydon Main Street 187+ traders, Arndale Centre, Croydon Central, long-running Monday market; page also notes denser housing since late 1990s [Wikipedia]; R 4 consistent. Train: Croydon station (Lilydale line, myki zone 2) was closed 30 Jan 2024 for the Coolstore Rd level-crossing removal and REOPENED 12 Aug 2024; platforms to Flinders St via City Loop; 14-bay bus interchange (Nov 2024); 578 car spaces [Wikipedia Croydon station]; S 8 consistent. Shops &amp; doctor: 8 GP clinics incl. Croydon Medical Centre, Main Medical Centre, Wicklow Ave Medical Centre, HealthMint Croydon [healthdirect]; Q 9 consistent. Indian community: India-born 665 (2.3%), Hindi 223 (0.8%); Indian ancestry and Hinduism/Sikhism not in top 5 [ABS SAL20682]; P 5 looks generous vs Highton 4 at similar share, left unchanged. NOT checked: city-trip time (V 6 estimate), Indian grocer/temple, Maroondah ED drive. Scores unchanged.</t>
        </is>
      </c>
      <c r="AA28" s="16" t="inlineStr">
        <is>
          <t>27. Croydon | Outer East Melbourne | Active Shortlist | P: Medium (Leafy parks) | Y: Low (Inland) | Lens: Practical outer-east control with rail &amp; services | Price: [Blank] | Basis: Not verified in report | Note: Main St activity centre, train/bus interchange &amp; Croydon Park; benchmark near Maroondah ED.</t>
        </is>
      </c>
      <c r="AB28" s="16" t="inlineStr">
        <is>
          <t>Yes</t>
        </is>
      </c>
      <c r="AC28" s="16" t="inlineStr">
        <is>
          <t>Croydon station, Lilydale line, reopened 12 Aug 2024 (checked: Wikipedia Croydon station)</t>
        </is>
      </c>
      <c r="AD28" s="16" t="inlineStr">
        <is>
          <t>Maroondah Hospital ED</t>
        </is>
      </c>
      <c r="AE28" s="24" t="n">
        <v>1500000</v>
      </c>
      <c r="AF28" s="22" t="inlineStr">
        <is>
          <t>Maximum purchase price, excluding transaction and moving costs</t>
        </is>
      </c>
      <c r="AG28" s="22" t="inlineStr">
        <is>
          <t>AVM estimate</t>
        </is>
      </c>
      <c r="AH28" s="22" t="inlineStr">
        <is>
          <t>27 Oct 2026</t>
        </is>
      </c>
      <c r="AI28" s="22" t="inlineStr">
        <is>
          <t>Pass</t>
        </is>
      </c>
      <c r="AJ28" s="22" t="inlineStr">
        <is>
          <t>AVM house value ($898,896) is under $1.5M cap. Not a sale median.</t>
        </is>
      </c>
      <c r="AK28" s="22" t="inlineStr">
        <is>
          <t>SAL20682</t>
        </is>
      </c>
      <c r="AL28" s="32" t="n">
        <v>28608</v>
      </c>
      <c r="AM28" s="22" t="n">
        <v>39</v>
      </c>
      <c r="AN28" s="33" t="n">
        <v>0.204</v>
      </c>
      <c r="AO28" s="33" t="n">
        <v>0.254</v>
      </c>
      <c r="AP28" s="33" t="n">
        <v>0.035</v>
      </c>
      <c r="AQ28" s="33" t="n">
        <v>0.023</v>
      </c>
      <c r="AR28" s="33" t="n">
        <v>0.029</v>
      </c>
      <c r="AS28" s="33" t="n">
        <v>0.022</v>
      </c>
      <c r="AT28" s="33" t="n">
        <v>0.005</v>
      </c>
      <c r="AU28" s="33" t="n">
        <v>0.189</v>
      </c>
      <c r="AV28" s="22" t="inlineStr">
        <is>
          <t>Mandarin 3.5%; Cantonese 1.2%; Hindi 0.8%</t>
        </is>
      </c>
      <c r="AW2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28" s="22">
        <f>IF(AU28="","",IF(OR(AU28&gt;=0.5,AQ28&gt;=0.08),"High",IF(OR(AU28&gt;=0.3,AQ28&gt;=0.04),"Medium","Low")))</f>
        <v/>
      </c>
    </row>
    <row r="29" ht="15.75" customHeight="1" s="15">
      <c r="A29" s="18" t="inlineStr">
        <is>
          <t>Warragul</t>
        </is>
      </c>
      <c r="B29" s="18" t="inlineStr">
        <is>
          <t>West Gippsland</t>
        </is>
      </c>
      <c r="C29" s="18" t="inlineStr">
        <is>
          <t>Active Shortlist</t>
        </is>
      </c>
      <c r="D29" s="18" t="inlineStr">
        <is>
          <t>High (Rolling hills/gardens)</t>
        </is>
      </c>
      <c r="E29" s="18" t="inlineStr">
        <is>
          <t>Low (Inland)</t>
        </is>
      </c>
      <c r="F29" s="18" t="inlineStr">
        <is>
          <t>Regional town with V/Line rail &amp; local hospital ED</t>
        </is>
      </c>
      <c r="G29" s="18" t="n">
        <v>620000</v>
      </c>
      <c r="H29" s="18" t="inlineStr">
        <is>
          <t>3-bed house median $620k; 4-bed $732.5k (Domain)</t>
        </is>
      </c>
      <c r="I29" s="18" t="n">
        <v>657200</v>
      </c>
      <c r="J29" s="19" t="n">
        <v>58</v>
      </c>
      <c r="K29" s="19" t="n">
        <v>2</v>
      </c>
      <c r="L29" s="18" t="inlineStr">
        <is>
          <t>Active — provisional pass</t>
        </is>
      </c>
      <c r="M29" s="19">
        <f>IF(J29="","",ROUND(MAX(0,10*(1-J29/Filters!$B$4)),1))</f>
        <v/>
      </c>
      <c r="N29" s="19" t="n">
        <v>5</v>
      </c>
      <c r="O29" s="19">
        <f>IF(K29="","",ROUND(MAX(0,10*(1-K29/Filters!$B$5)),1))</f>
        <v/>
      </c>
      <c r="P29" s="19" t="n">
        <v>3</v>
      </c>
      <c r="Q29" s="19" t="n">
        <v>8</v>
      </c>
      <c r="R29" s="19" t="n">
        <v>6</v>
      </c>
      <c r="S29" s="19" t="n">
        <v>6</v>
      </c>
      <c r="T29" s="19">
        <f>IF(G29="","",ROUND(MAX(0,MIN(10,10*(Filters!$B$2-G29)/(Filters!$B$2-500000))),1))</f>
        <v/>
      </c>
      <c r="U29" s="19" t="n">
        <v>0</v>
      </c>
      <c r="V29" s="19" t="n">
        <v>4</v>
      </c>
      <c r="W29" s="18">
        <f>IF(M29="",0,COUNT(M29:V29))</f>
        <v/>
      </c>
      <c r="X29" s="18">
        <f>IF(W29&lt;10,"",M29*ForcedChoiceCorrections!$B$6+N29*ForcedChoiceCorrections!$B$7+O29*ForcedChoiceCorrections!$B$8+P29*ForcedChoiceCorrections!$B$9+Q29*ForcedChoiceCorrections!$B$10+R29*ForcedChoiceCorrections!$B$11+S29*ForcedChoiceCorrections!$B$12+T29*ForcedChoiceCorrections!$B$13+U29*ForcedChoiceCorrections!$B$14+V29*ForcedChoiceCorrections!$B$15)</f>
        <v/>
      </c>
      <c r="Y29" s="18">
        <f>IF(AND(ISNUMBER(SEARCH("pass",L29)),ISNUMBER(X29)),COUNTIFS(L$2:L$90,"*pass*",X$2:X$90,"&gt;"&amp;X29)+1,"")</f>
        <v/>
      </c>
      <c r="Z29" s="18" t="inlineStr">
        <is>
          <t>Town-centre V/Line station &amp; West Gippsland Hospital ED (verify wait times &amp; GW drive). | SCORES 27 Oct 2026: M (near family) and T (price) are formulas from J and G; O from K. N, P, Q, R, S, U, V are ESTIMATES (Claude, general knowledge, not site-checked); S also rests on train Yes/No marked 'verify'. | CHECKED 27 Oct 2026, full pass (suburb level). Pop 19,856; ~102 km SE of Melbourne; between the Strzelecki Ranges and Mt Baw Baw plateau [Wikipedia Warragul; ABS SAL22698]. Nature: Linear Park Arts Discovery Trail through town parks [Wikipedia]; Mount Worth State Park (temperate rainforest, Strzelecki Ranges) is the only outdoor site listed [Monash Rural Health Warragul page]; N 5 looks low for the setting, 6 arguable, but no trail detail found. Train: staffed V/Line station, Gippsland line (Traralgon/Bairnsdale), 99.67 km from Southern Cross, myki zone 6/7, 200 parking spaces [Wikipedia Warragul station]; at-least-hourly services and ~1 h 40 min from Southern Cross [Monash page; secondary source]; S 6 consistent. Shops &amp; doctor: 7 GP clinics (Warragul Family Medicine, West Gippsland Medical Clinic x2, Latrobe Community Health, Warragul Medical Centre, Central Clinic, Gladstone St Medical) [healthdirect]; public hospital = West Gippsland Healthcare Group [Wikipedia]; supermarket names NOT confirmed; Q 8 consistent. Indian community: India-born 194 (1.0%), Punjabi 86 (0.4%); Indian ancestry and Hinduism/Sikhism not in top 5 [ABS SAL22698]; P 3 consistent. Village: Wikipedia calls it the main service centre of West Gippsland, with a monthly farmers' market in Civic Park (3rd Saturday); no village-character description found; R 6 unverified. NOT checked: city-trip (V 4 estimate), beach (0, inland), weekday frequency from official timetable. Scores unchanged.</t>
        </is>
      </c>
      <c r="AA29" s="16" t="inlineStr">
        <is>
          <t>28. Warragul | West Gippsland | Active Shortlist | P: High (Rolling hills/gardens) | Y: Low (Inland) | Lens: Regional town with V/Line rail &amp; local hospital ED | Price: 620000 | Basis: 3-bed house median $620k; 4-bed $732.5k (Domain) | Note: Town-centre V/Line station &amp; West Gippsland Hospital ED (verify wait times &amp; GW drive).</t>
        </is>
      </c>
      <c r="AB29" s="16" t="inlineStr">
        <is>
          <t>Yes</t>
        </is>
      </c>
      <c r="AC29" s="16" t="inlineStr">
        <is>
          <t>Warragul station, V/Line Gippsland line, myki 6/7, at-least-hourly (checked: Wikipedia Warragul station; Monash Rural Health)</t>
        </is>
      </c>
      <c r="AD29" s="16" t="inlineStr">
        <is>
          <t>West Gippsland Hospital ED (local)</t>
        </is>
      </c>
      <c r="AE29" s="24" t="n">
        <v>1500000</v>
      </c>
      <c r="AF29" s="22" t="inlineStr">
        <is>
          <t>Maximum purchase price, excluding transaction and moving costs</t>
        </is>
      </c>
      <c r="AG29" s="22" t="inlineStr">
        <is>
          <t>Suburb median</t>
        </is>
      </c>
      <c r="AH29" s="22" t="inlineStr">
        <is>
          <t>26 Oct 2026</t>
        </is>
      </c>
      <c r="AI29" s="22" t="inlineStr">
        <is>
          <t>Pass</t>
        </is>
      </c>
      <c r="AJ29" s="22" t="inlineStr">
        <is>
          <t>Published house price ($620,000) is under $1.5M cap.</t>
        </is>
      </c>
      <c r="AK29" s="22" t="inlineStr">
        <is>
          <t>SAL22698</t>
        </is>
      </c>
      <c r="AL29" s="32" t="n">
        <v>19856</v>
      </c>
      <c r="AM29" s="22" t="n">
        <v>40</v>
      </c>
      <c r="AN29" s="33" t="n">
        <v>0.216</v>
      </c>
      <c r="AO29" s="33" t="n">
        <v>0.14</v>
      </c>
      <c r="AP29" s="33" t="n">
        <v>0.05</v>
      </c>
      <c r="AQ29" s="33" t="n">
        <v>0.01</v>
      </c>
      <c r="AR29" s="33" t="n">
        <v>0.013</v>
      </c>
      <c r="AS29" s="33" t="n">
        <v>0.006999999999999999</v>
      </c>
      <c r="AT29" s="33" t="n">
        <v>0.004</v>
      </c>
      <c r="AU29" s="33" t="n">
        <v>0.068</v>
      </c>
      <c r="AV29" s="22" t="inlineStr">
        <is>
          <t>Mandarin 0.8%; Punjabi 0.4%; Italian 0.3%</t>
        </is>
      </c>
      <c r="AW2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29" s="22">
        <f>IF(AU29="","",IF(OR(AU29&gt;=0.5,AQ29&gt;=0.08),"High",IF(OR(AU29&gt;=0.3,AQ29&gt;=0.04),"Medium","Low")))</f>
        <v/>
      </c>
    </row>
    <row r="30" ht="15.75" customHeight="1" s="15">
      <c r="A30" s="18" t="inlineStr">
        <is>
          <t>Mount Eliza</t>
        </is>
      </c>
      <c r="B30" s="18" t="inlineStr">
        <is>
          <t>Mornington Peninsula</t>
        </is>
      </c>
      <c r="C30" s="18" t="inlineStr">
        <is>
          <t>Active Shortlist</t>
        </is>
      </c>
      <c r="D30" s="18" t="inlineStr">
        <is>
          <t>High (Woodland &amp; gullies)</t>
        </is>
      </c>
      <c r="E30" s="18" t="inlineStr">
        <is>
          <t>High (Canadian Bay/coast)</t>
        </is>
      </c>
      <c r="F30" s="18" t="inlineStr">
        <is>
          <t>Rare overlap of bushland reserves, village &amp; bay</t>
        </is>
      </c>
      <c r="G30" s="18" t="n">
        <v>1610862</v>
      </c>
      <c r="H30" s="18" t="inlineStr">
        <is>
          <t>AVM estimate (30 Sep 2026), NOT a verified sale median; unit $778,590; 313 sales in last 12m (OnTheHouse/Cotality, read 27 Oct 2026)</t>
        </is>
      </c>
      <c r="I30" s="18">
        <f>G30*(1+Settings!$B$6)</f>
        <v/>
      </c>
      <c r="J30" s="19" t="n">
        <v>34</v>
      </c>
      <c r="K30" s="19" t="n">
        <v>10</v>
      </c>
      <c r="L30" s="18" t="inlineStr">
        <is>
          <t>Active — needs data</t>
        </is>
      </c>
      <c r="M30" s="19" t="n"/>
      <c r="N30" s="19" t="n"/>
      <c r="O30" s="19">
        <f>IF(K30="","",ROUND(MAX(0,10*(1-K30/Filters!$B$5)),1))</f>
        <v/>
      </c>
      <c r="P30" s="19" t="n"/>
      <c r="Q30" s="19" t="n"/>
      <c r="R30" s="19" t="n"/>
      <c r="S30" s="19" t="n"/>
      <c r="T30" s="19" t="n"/>
      <c r="U30" s="19" t="n"/>
      <c r="V30" s="19" t="n"/>
      <c r="W30" s="18">
        <f>IF(M30="",0,COUNT(M30:V30))</f>
        <v/>
      </c>
      <c r="X30" s="18">
        <f>IF(W30&lt;10,"",M30*ForcedChoiceCorrections!$B$6+N30*ForcedChoiceCorrections!$B$7+O30*ForcedChoiceCorrections!$B$8+P30*ForcedChoiceCorrections!$B$9+Q30*ForcedChoiceCorrections!$B$10+R30*ForcedChoiceCorrections!$B$11+S30*ForcedChoiceCorrections!$B$12+T30*ForcedChoiceCorrections!$B$13+U30*ForcedChoiceCorrections!$B$14+V30*ForcedChoiceCorrections!$B$15)</f>
        <v/>
      </c>
      <c r="Y30" s="18">
        <f>IF(AND(ISNUMBER(SEARCH("pass",L30)),ISNUMBER(X30)),COUNTIFS(L$2:L$90,"*pass*",X$2:X$90,"&gt;"&amp;X30)+1,"")</f>
        <v/>
      </c>
      <c r="Z30" s="18" t="inlineStr">
        <is>
          <t>Tests BOTH parents' bushland preference and your coastal-nature preference; verify bus 781 &amp; Frankston ED drive. 27 Oct 2026 research pass: drive times/ED and/or AVM price added; L re-evaluated.</t>
        </is>
      </c>
      <c r="AA30" s="16" t="inlineStr">
        <is>
          <t>29. Mount Eliza | Mornington Peninsula | Active Shortlist | P: High (Woodland &amp; gullies) | Y: High (Canadian Bay/coast) | Lens: Rare overlap of bushland reserves, village &amp; bay | Price: [Blank] | Basis: Not verified in report | Note: Tests BOTH parents' bushland preference and your coastal-nature preference; verify bus 781 &amp; Frankston ED drive.</t>
        </is>
      </c>
      <c r="AB30" s="16" t="inlineStr">
        <is>
          <t>No</t>
        </is>
      </c>
      <c r="AC30" s="16" t="inlineStr">
        <is>
          <t>No rail; bus 781 to Frankston (per sheet note)</t>
        </is>
      </c>
      <c r="AD30" s="16" t="inlineStr">
        <is>
          <t>Peninsula University Hospital ED</t>
        </is>
      </c>
      <c r="AE30" s="24" t="n">
        <v>1500000</v>
      </c>
      <c r="AF30" s="22" t="inlineStr">
        <is>
          <t>Maximum purchase price, excluding transaction and moving costs</t>
        </is>
      </c>
      <c r="AG30" s="22" t="inlineStr">
        <is>
          <t>AVM estimate</t>
        </is>
      </c>
      <c r="AH30" s="22" t="inlineStr">
        <is>
          <t>27 Oct 2026</t>
        </is>
      </c>
      <c r="AI30" s="22" t="inlineStr">
        <is>
          <t>Needs data</t>
        </is>
      </c>
      <c r="AJ30" s="22" t="inlineStr">
        <is>
          <t>AVM house value ($1,610,862) is over the $1.5M cap; needs a documented search for 3+ bed homes under the cap.</t>
        </is>
      </c>
      <c r="AK30" s="22" t="inlineStr">
        <is>
          <t>SAL21793</t>
        </is>
      </c>
      <c r="AL30" s="32" t="n">
        <v>18734</v>
      </c>
      <c r="AM30" s="22" t="n">
        <v>45</v>
      </c>
      <c r="AN30" s="33" t="n">
        <v>0.223</v>
      </c>
      <c r="AO30" s="33" t="n">
        <v>0.223</v>
      </c>
      <c r="AP30" s="33" t="n">
        <v>0.032</v>
      </c>
      <c r="AQ30" s="33" t="n">
        <v>0.004</v>
      </c>
      <c r="AR30" s="33" t="n">
        <v>0.01</v>
      </c>
      <c r="AS30" s="33" t="n">
        <v>0.005</v>
      </c>
      <c r="AT30" s="33" t="n">
        <v>0.001</v>
      </c>
      <c r="AU30" s="33" t="n">
        <v>0.063</v>
      </c>
      <c r="AV30" s="22" t="inlineStr">
        <is>
          <t>Mandarin 0.8%; Greek 0.7%; Italian 0.5%</t>
        </is>
      </c>
      <c r="AW30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30" s="22">
        <f>IF(AU30="","",IF(OR(AU30&gt;=0.5,AQ30&gt;=0.08),"High",IF(OR(AU30&gt;=0.3,AQ30&gt;=0.04),"Medium","Low")))</f>
        <v/>
      </c>
    </row>
    <row r="31" ht="15.75" customHeight="1" s="15">
      <c r="A31" s="18" t="inlineStr">
        <is>
          <t>Mornington</t>
        </is>
      </c>
      <c r="B31" s="18" t="inlineStr">
        <is>
          <t>Mornington Peninsula</t>
        </is>
      </c>
      <c r="C31" s="18" t="inlineStr">
        <is>
          <t>Active Shortlist</t>
        </is>
      </c>
      <c r="D31" s="18" t="inlineStr">
        <is>
          <t>Medium (Parks &amp; gardens)</t>
        </is>
      </c>
      <c r="E31" s="18" t="inlineStr">
        <is>
          <t>High (Bay beaches/harbor)</t>
        </is>
      </c>
      <c r="F31" s="18" t="inlineStr">
        <is>
          <t>Established coastal town centre &amp; Main Street</t>
        </is>
      </c>
      <c r="G31" s="18" t="n">
        <v>1096505</v>
      </c>
      <c r="H31" s="18" t="inlineStr">
        <is>
          <t>AVM estimate (30 Sep 2026), NOT a verified sale median; unit $790,244; 629 sales in last 12m (OnTheHouse/Cotality, read 27 Oct 2026)</t>
        </is>
      </c>
      <c r="I31" s="18">
        <f>G31*(1+Settings!$B$6)</f>
        <v/>
      </c>
      <c r="J31" s="19" t="n">
        <v>40</v>
      </c>
      <c r="K31" s="19" t="n">
        <v>15</v>
      </c>
      <c r="L31" s="18" t="inlineStr">
        <is>
          <t>Active — provisional pass</t>
        </is>
      </c>
      <c r="M31" s="19">
        <f>IF(J31="","",ROUND(MAX(0,10*(1-J31/Filters!$B$4)),1))</f>
        <v/>
      </c>
      <c r="N31" s="19" t="n">
        <v>6</v>
      </c>
      <c r="O31" s="19">
        <f>IF(K31="","",ROUND(MAX(0,10*(1-K31/Filters!$B$5)),1))</f>
        <v/>
      </c>
      <c r="P31" s="19" t="n">
        <v>3</v>
      </c>
      <c r="Q31" s="19" t="n">
        <v>9</v>
      </c>
      <c r="R31" s="19" t="n">
        <v>7</v>
      </c>
      <c r="S31" s="19" t="n">
        <v>3</v>
      </c>
      <c r="T31" s="19">
        <f>IF(G31="","",ROUND(MAX(0,MIN(10,10*(Filters!$B$2-G31)/(Filters!$B$2-500000))),1))</f>
        <v/>
      </c>
      <c r="U31" s="19" t="n">
        <v>9</v>
      </c>
      <c r="V31" s="19" t="n">
        <v>3</v>
      </c>
      <c r="W31" s="18">
        <f>IF(M31="",0,COUNT(M31:V31))</f>
        <v/>
      </c>
      <c r="X31" s="18">
        <f>IF(W31&lt;10,"",M31*ForcedChoiceCorrections!$B$6+N31*ForcedChoiceCorrections!$B$7+O31*ForcedChoiceCorrections!$B$8+P31*ForcedChoiceCorrections!$B$9+Q31*ForcedChoiceCorrections!$B$10+R31*ForcedChoiceCorrections!$B$11+S31*ForcedChoiceCorrections!$B$12+T31*ForcedChoiceCorrections!$B$13+U31*ForcedChoiceCorrections!$B$14+V31*ForcedChoiceCorrections!$B$15)</f>
        <v/>
      </c>
      <c r="Y31" s="18">
        <f>IF(AND(ISNUMBER(SEARCH("pass",L31)),ISNUMBER(X31)),COUNTIFS(L$2:L$90,"*pass*",X$2:X$90,"&gt;"&amp;X31)+1,"")</f>
        <v/>
      </c>
      <c r="Z31" s="18" t="inlineStr">
        <is>
          <t>Substantial town services on bay; no passenger train (bus to Frankston); verify Frankston/Rosebud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No rail; bus to Frankston. Mothers Beach, Mills Beach patrolled (Visit Mornington Peninsula). GPs: Mornington Village Medical Centre, Mornington Medical Group (healthdirect). Supermarket not confirmed; Q partly estimate. N, P, R, V remain estimates. | CHECKED 27 Oct 2026, second pass (N, P, R, V; suburb level). Indian community: India-born, Indian ancestry, Hinduism/Sikhism and Hindi/Punjabi are all absent from the ABS 2021 top responses (pop 25,759; 74.0% Australia-born) [ABS QuickStats SAL21763]; web search found no Indian grocer or temple (no result is not proof). Nature: sources name parks and gardens only (Botanical Rose Gardens, Alexandra Park, Dallas Brooks Park, Narambi Reserve), no bushland, creeks or trails [Wikipedia Mornington; Visit Mornington Peninsula], so N 7 is NOT supported by what was found; left at 7, consider 6. Village: 'cosmopolitan seaside village', 1 km+ of shopping, 370+ retail outlets, Wednesday main-street market [Visit Mornington Peninsula]; R 7 consistent. City trip: 46 km SE of CBD, 13 km to Frankston, no rail (heritage line only), buses 781/784/785/788 to Frankston [Wikipedia]; V 3 consistent. NOT checked: supermarket names, drive time to CBD. Scores unchanged. | C3 28 Oct 2026: N 7-&gt;6 (source: earlier source run found parks and gardens only, no bushland named (flagged 'consider 6')).</t>
        </is>
      </c>
      <c r="AA31" s="16" t="inlineStr">
        <is>
          <t>30. Mornington | Mornington Peninsula | Active Shortlist | P: Medium (Parks &amp; gardens) | Y: High (Bay beaches/harbor) | Lens: Established coastal town centre &amp; Main Street | Price: [Blank] | Basis: Not verified in report | Note: Substantial town services on bay; no passenger train (bus to Frankston); verify Frankston/Rosebud ED drive.</t>
        </is>
      </c>
      <c r="AB31" s="16" t="inlineStr">
        <is>
          <t>No</t>
        </is>
      </c>
      <c r="AC31" s="16" t="inlineStr">
        <is>
          <t>No rail; buses to Frankston station (checked: Wikipedia Frankston station bus list)</t>
        </is>
      </c>
      <c r="AD31" s="16" t="inlineStr">
        <is>
          <t>Peninsula University Hospital ED</t>
        </is>
      </c>
      <c r="AE31" s="24" t="n">
        <v>1500000</v>
      </c>
      <c r="AF31" s="22" t="inlineStr">
        <is>
          <t>Maximum purchase price, excluding transaction and moving costs</t>
        </is>
      </c>
      <c r="AG31" s="22" t="inlineStr">
        <is>
          <t>AVM estimate</t>
        </is>
      </c>
      <c r="AH31" s="22" t="inlineStr">
        <is>
          <t>27 Oct 2026</t>
        </is>
      </c>
      <c r="AI31" s="22" t="inlineStr">
        <is>
          <t>Pass</t>
        </is>
      </c>
      <c r="AJ31" s="22" t="inlineStr">
        <is>
          <t>AVM house value ($1,096,505) is under $1.5M cap. Not a sale median.</t>
        </is>
      </c>
      <c r="AK31" s="22" t="inlineStr">
        <is>
          <t>SAL21763</t>
        </is>
      </c>
      <c r="AL31" s="32" t="n">
        <v>25759</v>
      </c>
      <c r="AM31" s="22" t="n">
        <v>50</v>
      </c>
      <c r="AN31" s="33" t="n">
        <v>0.312</v>
      </c>
      <c r="AO31" s="33" t="n">
        <v>0.212</v>
      </c>
      <c r="AP31" s="33" t="n">
        <v>0.048</v>
      </c>
      <c r="AQ31" s="33" t="n">
        <v>0.004</v>
      </c>
      <c r="AR31" s="33" t="n">
        <v>0.005</v>
      </c>
      <c r="AS31" s="33" t="n">
        <v>0.003</v>
      </c>
      <c r="AT31" s="33" t="n">
        <v>0.001</v>
      </c>
      <c r="AU31" s="33" t="n">
        <v>0.05599999999999999</v>
      </c>
      <c r="AV31" s="22" t="inlineStr">
        <is>
          <t>Italian 0.7%; Greek 0.6%; Spanish 0.4%</t>
        </is>
      </c>
      <c r="AW3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31" s="22">
        <f>IF(AU31="","",IF(OR(AU31&gt;=0.5,AQ31&gt;=0.08),"High",IF(OR(AU31&gt;=0.3,AQ31&gt;=0.04),"Medium","Low")))</f>
        <v/>
      </c>
    </row>
    <row r="32" ht="15.75" customHeight="1" s="15">
      <c r="A32" s="18" t="inlineStr">
        <is>
          <t>Clifton Springs</t>
        </is>
      </c>
      <c r="B32" s="18" t="inlineStr">
        <is>
          <t>Bellarine Peninsula</t>
        </is>
      </c>
      <c r="C32" s="18" t="inlineStr">
        <is>
          <t>Active Shortlist</t>
        </is>
      </c>
      <c r="D32" s="18" t="inlineStr">
        <is>
          <t>Medium (Dell &amp; coastal reserve)</t>
        </is>
      </c>
      <c r="E32" s="18" t="inlineStr">
        <is>
          <t>High (Bay views &amp; foreshore)</t>
        </is>
      </c>
      <c r="F32" s="18" t="inlineStr">
        <is>
          <t>High-value Bellarine coastal alternative</t>
        </is>
      </c>
      <c r="G32" s="18" t="n">
        <v>715000</v>
      </c>
      <c r="H32" s="18" t="inlineStr">
        <is>
          <t>House sale median $715,000 (196 sales, Property.com.au)</t>
        </is>
      </c>
      <c r="I32" s="18" t="n">
        <v>757900</v>
      </c>
      <c r="J32" s="19" t="n">
        <v>95</v>
      </c>
      <c r="K32" s="19" t="n">
        <v>23</v>
      </c>
      <c r="L32" s="18" t="inlineStr">
        <is>
          <t>Fails: GW drive</t>
        </is>
      </c>
      <c r="M32" s="19" t="n"/>
      <c r="N32" s="19" t="n"/>
      <c r="O32" s="19">
        <f>IF(K32="","",ROUND(MAX(0,10*(1-K32/Filters!$B$5)),1))</f>
        <v/>
      </c>
      <c r="P32" s="19" t="n"/>
      <c r="Q32" s="19" t="n"/>
      <c r="R32" s="19" t="n"/>
      <c r="S32" s="19" t="n"/>
      <c r="T32" s="19" t="n"/>
      <c r="U32" s="19" t="n"/>
      <c r="V32" s="19" t="n"/>
      <c r="W32" s="18">
        <f>IF(M32="",0,COUNT(M32:V32))</f>
        <v/>
      </c>
      <c r="X32" s="18">
        <f>IF(W32&lt;10,"",M32*ForcedChoiceCorrections!$B$6+N32*ForcedChoiceCorrections!$B$7+O32*ForcedChoiceCorrections!$B$8+P32*ForcedChoiceCorrections!$B$9+Q32*ForcedChoiceCorrections!$B$10+R32*ForcedChoiceCorrections!$B$11+S32*ForcedChoiceCorrections!$B$12+T32*ForcedChoiceCorrections!$B$13+U32*ForcedChoiceCorrections!$B$14+V32*ForcedChoiceCorrections!$B$15)</f>
        <v/>
      </c>
      <c r="Y32" s="18">
        <f>IF(AND(ISNUMBER(SEARCH("pass",L32)),ISNUMBER(X32)),COUNTIFS(L$2:L$90,"*pass*",X$2:X$90,"&gt;"&amp;X32)+1,"")</f>
        <v/>
      </c>
      <c r="Z32" s="18" t="inlineStr">
        <is>
          <t>Port Phillip bay frontage &amp; Dell picnic area; verify Univ Hospital Geelong ED drive &amp; public transport.</t>
        </is>
      </c>
      <c r="AA32" s="16" t="inlineStr">
        <is>
          <t>31. Clifton Springs | Bellarine Peninsula | Active Shortlist | P: Medium (Dell &amp; coastal reserve) | Y: High (Bay views &amp; foreshore) | Lens: High-value Bellarine coastal alternative | Price: 715000 | Basis: House sale median $715,000 (196 sales, Property.com.au) | Note: Port Phillip bay frontage &amp; Dell picnic area; verify Univ Hospital Geelong ED drive &amp; public transport.</t>
        </is>
      </c>
      <c r="AB32" s="16" t="inlineStr">
        <is>
          <t>No</t>
        </is>
      </c>
      <c r="AC32" s="16" t="inlineStr">
        <is>
          <t>No rail; Geelong via bus (recall; verify)</t>
        </is>
      </c>
      <c r="AD32" s="16" t="inlineStr">
        <is>
          <t>University Hospital Geelong ED</t>
        </is>
      </c>
      <c r="AE32" s="24" t="n">
        <v>1500000</v>
      </c>
      <c r="AF32" s="22" t="inlineStr">
        <is>
          <t>Maximum purchase price, excluding transaction and moving costs</t>
        </is>
      </c>
      <c r="AG32" s="22" t="inlineStr">
        <is>
          <t>Suburb median</t>
        </is>
      </c>
      <c r="AH32" s="22" t="inlineStr">
        <is>
          <t>26 Oct 2026</t>
        </is>
      </c>
      <c r="AI32" s="22" t="inlineStr">
        <is>
          <t>Pass</t>
        </is>
      </c>
      <c r="AJ32" s="22" t="inlineStr">
        <is>
          <t>Published house price ($715,000) is under $1.5M cap.</t>
        </is>
      </c>
      <c r="AK32" s="22" t="inlineStr">
        <is>
          <t>SAL20575</t>
        </is>
      </c>
      <c r="AL32" s="32" t="n">
        <v>7646</v>
      </c>
      <c r="AM32" s="22" t="n">
        <v>48</v>
      </c>
      <c r="AN32" s="33" t="n">
        <v>0.267</v>
      </c>
      <c r="AO32" s="33" t="n">
        <v>0.16</v>
      </c>
      <c r="AP32" s="33" t="n">
        <v>0.032</v>
      </c>
      <c r="AQ32" s="33" t="n">
        <v>0.002</v>
      </c>
      <c r="AR32" s="33" t="n">
        <v>0.003</v>
      </c>
      <c r="AS32" s="33" t="n">
        <v>0.001</v>
      </c>
      <c r="AT32" s="33" t="n">
        <v>0</v>
      </c>
      <c r="AU32" s="33" t="n">
        <v>0.046</v>
      </c>
      <c r="AV32" s="22" t="inlineStr">
        <is>
          <t>Italian 0.6%; Greek 0.4%; German 0.4%</t>
        </is>
      </c>
      <c r="AW3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32" s="22">
        <f>IF(AU32="","",IF(OR(AU32&gt;=0.5,AQ32&gt;=0.08),"High",IF(OR(AU32&gt;=0.3,AQ32&gt;=0.04),"Medium","Low")))</f>
        <v/>
      </c>
    </row>
    <row r="33" ht="15.75" customHeight="1" s="15">
      <c r="A33" s="18" t="inlineStr">
        <is>
          <t>Warburton</t>
        </is>
      </c>
      <c r="B33" s="18" t="inlineStr">
        <is>
          <t>Yarra Valley</t>
        </is>
      </c>
      <c r="C33" s="18" t="inlineStr">
        <is>
          <t>Watchlist</t>
        </is>
      </c>
      <c r="D33" s="18" t="inlineStr">
        <is>
          <t>Very High (Mountain &amp; river)</t>
        </is>
      </c>
      <c r="E33" s="18" t="inlineStr">
        <is>
          <t>Low (River, non-coastal)</t>
        </is>
      </c>
      <c r="F33" s="18" t="inlineStr">
        <is>
          <t>Maximum forest/mountain scenery test</t>
        </is>
      </c>
      <c r="G33" s="18" t="n">
        <v>717500</v>
      </c>
      <c r="H33" s="18" t="inlineStr">
        <is>
          <t>3-bed house median $717.5k (34 sales); 4-bed $702.5k</t>
        </is>
      </c>
      <c r="I33" s="18" t="n">
        <v>760550</v>
      </c>
      <c r="J33" s="19" t="n">
        <v>65</v>
      </c>
      <c r="K33" s="19" t="n">
        <v>53</v>
      </c>
      <c r="L33" s="18" t="inlineStr">
        <is>
          <t>Provisional pass</t>
        </is>
      </c>
      <c r="M33" s="19">
        <f>IF(J33="","",ROUND(MAX(0,10*(1-J33/Filters!$B$4)),1))</f>
        <v/>
      </c>
      <c r="N33" s="19" t="n">
        <v>10</v>
      </c>
      <c r="O33" s="19">
        <f>IF(K33="","",ROUND(MAX(0,10*(1-K33/Filters!$B$5)),1))</f>
        <v/>
      </c>
      <c r="P33" s="19" t="n">
        <v>1</v>
      </c>
      <c r="Q33" s="19" t="n">
        <v>4</v>
      </c>
      <c r="R33" s="19" t="n">
        <v>8</v>
      </c>
      <c r="S33" s="19" t="n">
        <v>1</v>
      </c>
      <c r="T33" s="19">
        <f>IF(G33="","",ROUND(MAX(0,MIN(10,10*(Filters!$B$2-G33)/(Filters!$B$2-500000))),1))</f>
        <v/>
      </c>
      <c r="U33" s="19" t="n">
        <v>0</v>
      </c>
      <c r="V33" s="19" t="n">
        <v>1</v>
      </c>
      <c r="W33" s="18">
        <f>IF(M33="",0,COUNT(M33:V33))</f>
        <v/>
      </c>
      <c r="X33" s="18">
        <f>IF(W33&lt;10,"",M33*ForcedChoiceCorrections!$B$6+N33*ForcedChoiceCorrections!$B$7+O33*ForcedChoiceCorrections!$B$8+P33*ForcedChoiceCorrections!$B$9+Q33*ForcedChoiceCorrections!$B$10+R33*ForcedChoiceCorrections!$B$11+S33*ForcedChoiceCorrections!$B$12+T33*ForcedChoiceCorrections!$B$13+U33*ForcedChoiceCorrections!$B$14+V33*ForcedChoiceCorrections!$B$15)</f>
        <v/>
      </c>
      <c r="Y33" s="18">
        <f>IF(AND(ISNUMBER(SEARCH("pass",L33)),ISNUMBER(X33)),COUNTIFS(L$2:L$90,"*pass*",X$2:X$90,"&gt;"&amp;X33)+1,"")</f>
        <v/>
      </c>
      <c r="Z33" s="18" t="inlineStr">
        <is>
          <t>ABS 2021: 24.3% aged 65+, 8.1% non-Eng HH. Tough practicality test on winter comfort, fire risk &amp; distant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2,020; on the Yarra River, 76 km E of CBD [Wikipedia Warburton] (60 km per Victorian Places), foothills of the Great Dividing Range, adjoining Yarra State Forest via East Warburton [Victorian Places]. Nature: extensive walking trails, Warburton Bridges and River Walk, rail trail to Lilydale [Victorian Places]; N 10 consistent. Village: main street mostly retail, constrained by floodplain to the north; B&amp;Bs, health resorts, golf course, festivals [Victorian Places]; R 8 consistent. Train: line closed (now rail trail) [Victorian Places]; S 1 consistent. Indian community: India-born 0.3%, Hinduism 0.4% [ABS 2021 GCP SAL22689]; P 1 consistent. Older: median age 50; 13.7% birthplace not stated [ABS]. City trip: 60-76 km, no rail; V 1 consistent. NOT checked: GPs, supermarket, bus, flood overlay. Scores unchanged.</t>
        </is>
      </c>
      <c r="AA33" s="16" t="inlineStr">
        <is>
          <t>32. Warburton | Yarra Valley | Watchlist | P: Very High (Mountain &amp; river) | Y: Low (River, non-coastal) | Lens: Maximum forest/mountain scenery test | Price: 717500 | Basis: 3-bed house median $717.5k (34 sales); 4-bed $702.5k | Note: ABS 2021: 24.3% aged 65+, 8.1% non-Eng HH. Tough practicality test on winter comfort, fire risk &amp; distant ED.</t>
        </is>
      </c>
      <c r="AB33" s="22" t="inlineStr">
        <is>
          <t>No</t>
        </is>
      </c>
      <c r="AC33" s="22" t="inlineStr">
        <is>
          <t>No passenger rail (recall; verify)</t>
        </is>
      </c>
      <c r="AD33" s="22" t="inlineStr">
        <is>
          <t>Maroondah Hospital ED (drive times added 27 Oct 2026, Google Maps leave-now, not peak; Angliss may be closer, 24-hr status unverified)</t>
        </is>
      </c>
      <c r="AE33" s="24" t="n">
        <v>1500000</v>
      </c>
      <c r="AF33" s="22" t="inlineStr">
        <is>
          <t>Maximum purchase price, excluding transaction and moving costs</t>
        </is>
      </c>
      <c r="AG33" s="22" t="inlineStr">
        <is>
          <t>Suburb median</t>
        </is>
      </c>
      <c r="AH33" s="22" t="inlineStr">
        <is>
          <t>26 Oct 2026</t>
        </is>
      </c>
      <c r="AI33" s="22" t="inlineStr">
        <is>
          <t>Pass</t>
        </is>
      </c>
      <c r="AJ33" s="22" t="inlineStr">
        <is>
          <t>Published house price ($717,500) is under $1.5M cap.</t>
        </is>
      </c>
      <c r="AK33" s="22" t="inlineStr">
        <is>
          <t>SAL22689</t>
        </is>
      </c>
      <c r="AL33" s="32" t="n">
        <v>2020</v>
      </c>
      <c r="AM33" s="22" t="n">
        <v>50</v>
      </c>
      <c r="AN33" s="33" t="n">
        <v>0.243</v>
      </c>
      <c r="AO33" s="33" t="n">
        <v>0.186</v>
      </c>
      <c r="AP33" s="33" t="n">
        <v>0.137</v>
      </c>
      <c r="AQ33" s="33" t="n">
        <v>0.003</v>
      </c>
      <c r="AR33" s="33" t="n">
        <v>0.002</v>
      </c>
      <c r="AS33" s="33" t="n">
        <v>0.004</v>
      </c>
      <c r="AT33" s="33" t="n">
        <v>0</v>
      </c>
      <c r="AU33" s="33" t="n">
        <v>0.053</v>
      </c>
      <c r="AV33" s="22" t="inlineStr">
        <is>
          <t>German 0.8%; Japanese 0.5%; Polish 0.3%</t>
        </is>
      </c>
      <c r="AW33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  <c r="AX33" s="22">
        <f>IF(AU33="","",IF(OR(AU33&gt;=0.5,AQ33&gt;=0.08),"High",IF(OR(AU33&gt;=0.3,AQ33&gt;=0.04),"Medium","Low")))</f>
        <v/>
      </c>
    </row>
    <row r="34" ht="15.75" customHeight="1" s="15">
      <c r="A34" s="18" t="inlineStr">
        <is>
          <t>Trentham</t>
        </is>
      </c>
      <c r="B34" s="18" t="inlineStr">
        <is>
          <t>Macedon Ranges</t>
        </is>
      </c>
      <c r="C34" s="18" t="inlineStr">
        <is>
          <t>Watchlist</t>
        </is>
      </c>
      <c r="D34" s="18" t="inlineStr">
        <is>
          <t>High (Wombat Forest village)</t>
        </is>
      </c>
      <c r="E34" s="18" t="inlineStr">
        <is>
          <t>Low (Inland)</t>
        </is>
      </c>
      <c r="F34" s="18" t="inlineStr">
        <is>
          <t>Intimate forest village with older age profile</t>
        </is>
      </c>
      <c r="G34" s="18" t="n">
        <v>978750</v>
      </c>
      <c r="H34" s="18" t="inlineStr">
        <is>
          <t>3-bed house median $978,750 (30 sales, Domain)</t>
        </is>
      </c>
      <c r="I34" s="18" t="n">
        <v>1037475</v>
      </c>
      <c r="J34" s="19" t="n">
        <v>97</v>
      </c>
      <c r="K34" s="19" t="n">
        <v>59</v>
      </c>
      <c r="L34" s="18" t="inlineStr">
        <is>
          <t>Fails: GW drive</t>
        </is>
      </c>
      <c r="M34" s="19" t="n"/>
      <c r="N34" s="19" t="n"/>
      <c r="O34" s="19">
        <f>IF(K34="","",ROUND(MAX(0,10*(1-K34/Filters!$B$5)),1))</f>
        <v/>
      </c>
      <c r="P34" s="19" t="n"/>
      <c r="Q34" s="19" t="n"/>
      <c r="R34" s="19" t="n"/>
      <c r="S34" s="19" t="n"/>
      <c r="T34" s="19" t="n"/>
      <c r="U34" s="19" t="n"/>
      <c r="V34" s="19" t="n"/>
      <c r="W34" s="18">
        <f>IF(M34="",0,COUNT(M34:V34))</f>
        <v/>
      </c>
      <c r="X34" s="18">
        <f>IF(W34&lt;10,"",M34*ForcedChoiceCorrections!$B$6+N34*ForcedChoiceCorrections!$B$7+O34*ForcedChoiceCorrections!$B$8+P34*ForcedChoiceCorrections!$B$9+Q34*ForcedChoiceCorrections!$B$10+R34*ForcedChoiceCorrections!$B$11+S34*ForcedChoiceCorrections!$B$12+T34*ForcedChoiceCorrections!$B$13+U34*ForcedChoiceCorrections!$B$14+V34*ForcedChoiceCorrections!$B$15)</f>
        <v/>
      </c>
      <c r="Y34" s="18">
        <f>IF(AND(ISNUMBER(SEARCH("pass",L34)),ISNUMBER(X34)),COUNTIFS(L$2:L$90,"*pass*",X$2:X$90,"&gt;"&amp;X34)+1,"")</f>
        <v/>
      </c>
      <c r="Z34" s="18" t="inlineStr">
        <is>
          <t>ABS 2021: 33.6% aged 65+, 4.7% non-Eng HH. CAUTION: Local health campus is community/aged care ONLY, not an ED. 27 Oct 2026 research pass: drive times/ED and/or AVM price added; L re-evaluated.</t>
        </is>
      </c>
      <c r="AA34" s="16" t="inlineStr">
        <is>
          <t>33. Trentham | Macedon Ranges | Watchlist | P: High (Wombat Forest village) | Y: Low (Inland) | Lens: Intimate forest village with older age profile | Price: 978750 | Basis: 3-bed house median $978,750 (30 sales, Domain) | Note: ABS 2021: 33.6% aged 65+, 4.7% non-Eng HH. CAUTION: Local health campus is community/aged care ONLY, not an ED.</t>
        </is>
      </c>
      <c r="AB34" s="22" t="inlineStr">
        <is>
          <t>No</t>
        </is>
      </c>
      <c r="AC34" s="22" t="inlineStr">
        <is>
          <t>No station (line closed); nearest Woodend or Kyneton V/Line (recall; verify)</t>
        </is>
      </c>
      <c r="AD34" s="22" t="inlineStr">
        <is>
          <t>Grampians Health Ballarat (Ballarat Base) ED (24-hr: recall (major regional ED); Bendigo 68 min) (drive times: Google Maps leave-now, 27 Oct 2026 ~13:15–13:45 AEDT (midday, not peak), suburb name)</t>
        </is>
      </c>
      <c r="AE34" s="24" t="n">
        <v>1500000</v>
      </c>
      <c r="AF34" s="22" t="inlineStr">
        <is>
          <t>Maximum purchase price, excluding transaction and moving costs</t>
        </is>
      </c>
      <c r="AG34" s="22" t="inlineStr">
        <is>
          <t>Suburb median</t>
        </is>
      </c>
      <c r="AH34" s="22" t="inlineStr">
        <is>
          <t>26 Oct 2026</t>
        </is>
      </c>
      <c r="AI34" s="22" t="inlineStr">
        <is>
          <t>Pass</t>
        </is>
      </c>
      <c r="AJ34" s="22" t="inlineStr">
        <is>
          <t>Published house price ($978,750) is under $1.5M cap.</t>
        </is>
      </c>
      <c r="AK34" s="22" t="inlineStr">
        <is>
          <t>SAL22577</t>
        </is>
      </c>
      <c r="AL34" s="32" t="n">
        <v>1382</v>
      </c>
      <c r="AM34" s="22" t="n">
        <v>56</v>
      </c>
      <c r="AN34" s="33" t="n">
        <v>0.336</v>
      </c>
      <c r="AO34" s="33" t="n">
        <v>0.179</v>
      </c>
      <c r="AP34" s="33" t="n">
        <v>0.083</v>
      </c>
      <c r="AQ34" s="33" t="n">
        <v>0.002</v>
      </c>
      <c r="AR34" s="33" t="n">
        <v>0.006</v>
      </c>
      <c r="AS34" s="33" t="n">
        <v>0</v>
      </c>
      <c r="AT34" s="33" t="n">
        <v>0</v>
      </c>
      <c r="AU34" s="33" t="n">
        <v>0.03</v>
      </c>
      <c r="AV34" s="22" t="inlineStr">
        <is>
          <t>French 0.8%; Croatian 0.4%; Turkish 0.3%</t>
        </is>
      </c>
      <c r="AW34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  <c r="AX34" s="22">
        <f>IF(AU34="","",IF(OR(AU34&gt;=0.5,AQ34&gt;=0.08),"High",IF(OR(AU34&gt;=0.3,AQ34&gt;=0.04),"Medium","Low")))</f>
        <v/>
      </c>
    </row>
    <row r="35" ht="15.75" customHeight="1" s="15">
      <c r="A35" s="18" t="inlineStr">
        <is>
          <t>Olinda</t>
        </is>
      </c>
      <c r="B35" s="18" t="inlineStr">
        <is>
          <t>Dandenong Ridge</t>
        </is>
      </c>
      <c r="C35" s="18" t="inlineStr">
        <is>
          <t>Watchlist</t>
        </is>
      </c>
      <c r="D35" s="18" t="inlineStr">
        <is>
          <t>Very High (Botanic gardens/ridge)</t>
        </is>
      </c>
      <c r="E35" s="18" t="inlineStr">
        <is>
          <t>Low (Inland)</t>
        </is>
      </c>
      <c r="F35" s="18" t="inlineStr">
        <is>
          <t>Dandenongs ridge village — high scenic appeal</t>
        </is>
      </c>
      <c r="G35" s="18" t="n">
        <v>1020069</v>
      </c>
      <c r="H35" s="18" t="inlineStr">
        <is>
          <t>AVM estimate (30 Sep 2026), NOT a verified sale median; unit $1,214,582; 37 sales in last 12m (OnTheHouse/Cotality, read 27 Oct 2026) — few sales, weak</t>
        </is>
      </c>
      <c r="I35" s="18">
        <f>G35*(1+Settings!$B$6)</f>
        <v/>
      </c>
      <c r="J35" s="19" t="n">
        <v>33</v>
      </c>
      <c r="K35" s="19" t="n">
        <v>15</v>
      </c>
      <c r="L35" s="18" t="inlineStr">
        <is>
          <t>Provisional pass</t>
        </is>
      </c>
      <c r="M35" s="19">
        <f>IF(J35="","",ROUND(MAX(0,10*(1-J35/Filters!$B$4)),1))</f>
        <v/>
      </c>
      <c r="N35" s="19" t="n">
        <v>10</v>
      </c>
      <c r="O35" s="19">
        <f>IF(K35="","",ROUND(MAX(0,10*(1-K35/Filters!$B$5)),1))</f>
        <v/>
      </c>
      <c r="P35" s="19" t="n">
        <v>2</v>
      </c>
      <c r="Q35" s="19" t="n">
        <v>3</v>
      </c>
      <c r="R35" s="19" t="n">
        <v>9</v>
      </c>
      <c r="S35" s="19" t="n">
        <v>2</v>
      </c>
      <c r="T35" s="19">
        <f>IF(G35="","",ROUND(MAX(0,MIN(10,10*(Filters!$B$2-G35)/(Filters!$B$2-500000))),1))</f>
        <v/>
      </c>
      <c r="U35" s="19" t="n">
        <v>0</v>
      </c>
      <c r="V35" s="19" t="n">
        <v>3</v>
      </c>
      <c r="W35" s="18">
        <f>IF(M35="",0,COUNT(M35:V35))</f>
        <v/>
      </c>
      <c r="X35" s="18">
        <f>IF(W35&lt;10,"",M35*ForcedChoiceCorrections!$B$6+N35*ForcedChoiceCorrections!$B$7+O35*ForcedChoiceCorrections!$B$8+P35*ForcedChoiceCorrections!$B$9+Q35*ForcedChoiceCorrections!$B$10+R35*ForcedChoiceCorrections!$B$11+S35*ForcedChoiceCorrections!$B$12+T35*ForcedChoiceCorrections!$B$13+U35*ForcedChoiceCorrections!$B$14+V35*ForcedChoiceCorrections!$B$15)</f>
        <v/>
      </c>
      <c r="Y35" s="18">
        <f>IF(AND(ISNUMBER(SEARCH("pass",L35)),ISNUMBER(X35)),COUNTIFS(L$2:L$90,"*pass*",X$2:X$90,"&gt;"&amp;X35)+1,"")</f>
        <v/>
      </c>
      <c r="Z35" s="18" t="inlineStr">
        <is>
          <t>Parks Vic documents severe-weather/fire closures; bus 694 to Belgrave; verify winter damp, slopes &amp; insurance.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1,773; Dandenong Ranges township at the southern foot of Mount Dandenong, 37 km E of Melbourne [Wikipedia Olinda; Victorian Places]. Nature: Dandenong Ranges Botanic Garden (National Rhododendron Garden), R.J. Hamer Arboretum, Olinda Falls and Cascade walk, many walking trails [Wikipedia; Victorian Places]; N 10 consistent. Village: 'the highest number of hospitality, gallery and garden attractions of any location in the Dandenongs'; cafés, galleries, craft shops; shopping centre with hotel and post office [Victorian Places]; R 9 consistent. Shops: small centre, no supermarket named; Q 3 consistent. Train: none named; S 2 consistent. Indian community: India-born 0.2%, Hinduism 0.6% [ABS 2021 GCP SAL22009]; P 2 consistent (1 arguable). City trip: 37 km, no rail; V 3 estimate. NOT checked: GPs, bus, bushfire overlay. Scores unchanged.</t>
        </is>
      </c>
      <c r="AA35" s="16" t="inlineStr">
        <is>
          <t>34. Olinda | Dandenong Ridge | Watchlist | P: Very High (Botanic gardens/ridge) | Y: Low (Inland) | Lens: Dandenongs ridge village — high scenic appeal | Price: [Blank] | Basis: Not verified in report | Note: Parks Vic documents severe-weather/fire closures; bus 694 to Belgrave; verify winter damp, slopes &amp; insurance.</t>
        </is>
      </c>
      <c r="AB35" s="22" t="inlineStr">
        <is>
          <t>No</t>
        </is>
      </c>
      <c r="AC35" s="22" t="inlineStr">
        <is>
          <t>No station; nearest Upwey/Belgrave (recall; verify)</t>
        </is>
      </c>
      <c r="AD35" s="22" t="inlineStr">
        <is>
          <t>Angliss Hospital ED (24-hr: verified, Eastern Health site) (drive times: Google Maps leave-now, 27 Oct 2026 ~13:15–13:45 AEDT (midday, not peak), suburb name)</t>
        </is>
      </c>
      <c r="AE35" s="24" t="n">
        <v>1500000</v>
      </c>
      <c r="AF35" s="22" t="inlineStr">
        <is>
          <t>Maximum purchase price, excluding transaction and moving costs</t>
        </is>
      </c>
      <c r="AG35" s="22" t="inlineStr">
        <is>
          <t>AVM estimate</t>
        </is>
      </c>
      <c r="AH35" s="22" t="inlineStr">
        <is>
          <t>27 Oct 2026</t>
        </is>
      </c>
      <c r="AI35" s="22" t="inlineStr">
        <is>
          <t>Pass</t>
        </is>
      </c>
      <c r="AJ35" s="22" t="inlineStr">
        <is>
          <t>AVM house value ($1,020,069) is under $1.5M cap. Not a sale median.</t>
        </is>
      </c>
      <c r="AK35" s="22" t="inlineStr">
        <is>
          <t>SAL22009</t>
        </is>
      </c>
      <c r="AL35" s="32" t="n">
        <v>1773</v>
      </c>
      <c r="AM35" s="22" t="n">
        <v>45</v>
      </c>
      <c r="AN35" s="33" t="n">
        <v>0.191</v>
      </c>
      <c r="AO35" s="33" t="n">
        <v>0.186</v>
      </c>
      <c r="AP35" s="33" t="n">
        <v>0.047</v>
      </c>
      <c r="AQ35" s="33" t="n">
        <v>0.002</v>
      </c>
      <c r="AR35" s="33" t="n">
        <v>0.008</v>
      </c>
      <c r="AS35" s="33" t="n">
        <v>0.006</v>
      </c>
      <c r="AT35" s="33" t="n">
        <v>0</v>
      </c>
      <c r="AU35" s="33" t="n">
        <v>0.07099999999999999</v>
      </c>
      <c r="AV35" s="22" t="inlineStr">
        <is>
          <t>French 1.5%; Mandarin 0.8%; Japanese 0.5%</t>
        </is>
      </c>
      <c r="AW35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  <c r="AX35" s="22">
        <f>IF(AU35="","",IF(OR(AU35&gt;=0.5,AQ35&gt;=0.08),"High",IF(OR(AU35&gt;=0.3,AQ35&gt;=0.04),"Medium","Low")))</f>
        <v/>
      </c>
    </row>
    <row r="36" ht="15.75" customHeight="1" s="15">
      <c r="A36" s="18" t="inlineStr">
        <is>
          <t>Sassafras</t>
        </is>
      </c>
      <c r="B36" s="18" t="inlineStr">
        <is>
          <t>Dandenong Ridge</t>
        </is>
      </c>
      <c r="C36" s="18" t="inlineStr">
        <is>
          <t>Watchlist</t>
        </is>
      </c>
      <c r="D36" s="18" t="inlineStr">
        <is>
          <t>Very High (Forest ridge village)</t>
        </is>
      </c>
      <c r="E36" s="18" t="inlineStr">
        <is>
          <t>Low (Inland)</t>
        </is>
      </c>
      <c r="F36" s="18" t="inlineStr">
        <is>
          <t>Dandenongs ridge village comparator</t>
        </is>
      </c>
      <c r="G36" s="18" t="n">
        <v>1006318</v>
      </c>
      <c r="H36" s="18" t="inlineStr">
        <is>
          <t>AVM estimate (30 Sep 2026), NOT a verified sale median; unit $1,279,170; 17 sales in last 12m (OnTheHouse/Cotality, read 27 Oct 2026) — few sales, weak</t>
        </is>
      </c>
      <c r="I36" s="18">
        <f>G36*(1+Settings!$B$6)</f>
        <v/>
      </c>
      <c r="J36" s="19" t="n">
        <v>29</v>
      </c>
      <c r="K36" s="19" t="n">
        <v>11</v>
      </c>
      <c r="L36" s="18" t="inlineStr">
        <is>
          <t>Provisional pass</t>
        </is>
      </c>
      <c r="M36" s="19">
        <f>IF(J36="","",ROUND(MAX(0,10*(1-J36/Filters!$B$4)),1))</f>
        <v/>
      </c>
      <c r="N36" s="19" t="n">
        <v>10</v>
      </c>
      <c r="O36" s="19">
        <f>IF(K36="","",ROUND(MAX(0,10*(1-K36/Filters!$B$5)),1))</f>
        <v/>
      </c>
      <c r="P36" s="19" t="n">
        <v>2</v>
      </c>
      <c r="Q36" s="19" t="n">
        <v>3</v>
      </c>
      <c r="R36" s="19" t="n">
        <v>9</v>
      </c>
      <c r="S36" s="19" t="n">
        <v>2</v>
      </c>
      <c r="T36" s="19">
        <f>IF(G36="","",ROUND(MAX(0,MIN(10,10*(Filters!$B$2-G36)/(Filters!$B$2-500000))),1))</f>
        <v/>
      </c>
      <c r="U36" s="19" t="n">
        <v>0</v>
      </c>
      <c r="V36" s="19" t="n">
        <v>3</v>
      </c>
      <c r="W36" s="18">
        <f>IF(M36="",0,COUNT(M36:V36))</f>
        <v/>
      </c>
      <c r="X36" s="18">
        <f>IF(W36&lt;10,"",M36*ForcedChoiceCorrections!$B$6+N36*ForcedChoiceCorrections!$B$7+O36*ForcedChoiceCorrections!$B$8+P36*ForcedChoiceCorrections!$B$9+Q36*ForcedChoiceCorrections!$B$10+R36*ForcedChoiceCorrections!$B$11+S36*ForcedChoiceCorrections!$B$12+T36*ForcedChoiceCorrections!$B$13+U36*ForcedChoiceCorrections!$B$14+V36*ForcedChoiceCorrections!$B$15)</f>
        <v/>
      </c>
      <c r="Y36" s="18">
        <f>IF(AND(ISNUMBER(SEARCH("pass",L36)),ISNUMBER(X36)),COUNTIFS(L$2:L$90,"*pass*",X$2:X$90,"&gt;"&amp;X36)+1,"")</f>
        <v/>
      </c>
      <c r="Z36" s="18" t="inlineStr">
        <is>
          <t>High tourism traffic on weekends; check everyday grocery/medical convenience &amp; bushfire overlay.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970; village ~500 m up in a saddle on the Dandenong Ranges ridgeline; much of the locality's west is Dandenong Ranges National Park; Sassafras Creek's banks almost entirely protected public land; Dandenong Ranges Tourist Track runs 15 km beside the creek [Wikipedia Sassafras]. N 10 consistent. Village: tourist village of boutique shops, cafés, Devonshire tea, toy and antique shops, nurseries [Wikipedia]; 'has a shopping centre, a hall, a school' [Victorian Places]; R 9 consistent. Shops: small centre only, no supermarket named; Q 3 consistent (estimate). Train: no station named in either source; S 2 consistent. Indian community: India-born 0, Hinduism 0.0% [ABS 2021 GCP SAL22239]; P 2 generous (1 arguable). City trip: 43 km E of CBD [Wikipedia]; journey time not stated; V 3 estimate. Hazard: area has burnt repeatedly since the 1850s, most recently 1962 [Wikipedia]. Small population: ABS perturbs small counts. NOT checked: GPs, supermarket, bus, journey time. Scores unchanged.</t>
        </is>
      </c>
      <c r="AA36" s="16" t="inlineStr">
        <is>
          <t>35. Sassafras | Dandenong Ridge | Watchlist | P: Very High (Forest ridge village) | Y: Low (Inland) | Lens: Dandenongs ridge village comparator | Price: [Blank] | Basis: Not verified in report | Note: High tourism traffic on weekends; check everyday grocery/medical convenience &amp; bushfire overlay.</t>
        </is>
      </c>
      <c r="AB36" s="22" t="inlineStr">
        <is>
          <t>No</t>
        </is>
      </c>
      <c r="AC36" s="22" t="inlineStr">
        <is>
          <t>No station; nearest Upwey/Belgrave (recall; verify)</t>
        </is>
      </c>
      <c r="AD36" s="22" t="inlineStr">
        <is>
          <t>Angliss Hospital ED (24-hr: verified, Eastern Health site) (drive times: Google Maps leave-now, 27 Oct 2026 ~13:15–13:45 AEDT (midday, not peak), suburb name)</t>
        </is>
      </c>
      <c r="AE36" s="24" t="n">
        <v>1500000</v>
      </c>
      <c r="AF36" s="22" t="inlineStr">
        <is>
          <t>Maximum purchase price, excluding transaction and moving costs</t>
        </is>
      </c>
      <c r="AG36" s="22" t="inlineStr">
        <is>
          <t>AVM estimate</t>
        </is>
      </c>
      <c r="AH36" s="22" t="inlineStr">
        <is>
          <t>27 Oct 2026</t>
        </is>
      </c>
      <c r="AI36" s="22" t="inlineStr">
        <is>
          <t>Pass</t>
        </is>
      </c>
      <c r="AJ36" s="22" t="inlineStr">
        <is>
          <t>AVM house value ($1,006,318) is under $1.5M cap. Not a sale median.</t>
        </is>
      </c>
      <c r="AK36" s="22" t="inlineStr">
        <is>
          <t>SAL22239</t>
        </is>
      </c>
      <c r="AL36" s="32" t="n">
        <v>970</v>
      </c>
      <c r="AM36" s="22" t="n">
        <v>47</v>
      </c>
      <c r="AN36" s="33" t="n">
        <v>0.193</v>
      </c>
      <c r="AO36" s="33" t="n">
        <v>0.196</v>
      </c>
      <c r="AP36" s="33" t="n">
        <v>0.036</v>
      </c>
      <c r="AQ36" s="33" t="n">
        <v>0</v>
      </c>
      <c r="AR36" s="33" t="n">
        <v>0.006</v>
      </c>
      <c r="AS36" s="33" t="n">
        <v>0</v>
      </c>
      <c r="AT36" s="33" t="n">
        <v>0</v>
      </c>
      <c r="AU36" s="33" t="n">
        <v>0.07200000000000001</v>
      </c>
      <c r="AV36" s="22" t="inlineStr">
        <is>
          <t>German 1.0%; Japanese 0.9%; Russian 0.7%</t>
        </is>
      </c>
      <c r="AW36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  <c r="AX36" s="22">
        <f>IF(AU36="","",IF(OR(AU36&gt;=0.5,AQ36&gt;=0.08),"High",IF(OR(AU36&gt;=0.3,AQ36&gt;=0.04),"Medium","Low")))</f>
        <v/>
      </c>
    </row>
    <row r="37" ht="15.75" customHeight="1" s="15">
      <c r="A37" s="18" t="inlineStr">
        <is>
          <t>Mount Dandenong</t>
        </is>
      </c>
      <c r="B37" s="18" t="inlineStr">
        <is>
          <t>Dandenong Ridge</t>
        </is>
      </c>
      <c r="C37" s="18" t="inlineStr">
        <is>
          <t>Watchlist</t>
        </is>
      </c>
      <c r="D37" s="18" t="inlineStr">
        <is>
          <t>Very High (Canopy &amp; views)</t>
        </is>
      </c>
      <c r="E37" s="18" t="inlineStr">
        <is>
          <t>Low (Inland)</t>
        </is>
      </c>
      <c r="F37" s="18" t="inlineStr">
        <is>
          <t>Ridge canopy living test</t>
        </is>
      </c>
      <c r="G37" s="18" t="n">
        <v>982029</v>
      </c>
      <c r="H37" s="18" t="inlineStr">
        <is>
          <t>AVM estimate (30 Sep 2026), NOT a verified sale median; unit $1,079,082; 30 sales in last 12m (OnTheHouse/Cotality, read 27 Oct 2026) — few sales, weak</t>
        </is>
      </c>
      <c r="I37" s="18">
        <f>G37*(1+Settings!$B$6)</f>
        <v/>
      </c>
      <c r="J37" s="19" t="n">
        <v>30</v>
      </c>
      <c r="K37" s="19" t="n">
        <v>19</v>
      </c>
      <c r="L37" s="18" t="inlineStr">
        <is>
          <t>Provisional pass</t>
        </is>
      </c>
      <c r="M37" s="19">
        <f>IF(J37="","",ROUND(MAX(0,10*(1-J37/Filters!$B$4)),1))</f>
        <v/>
      </c>
      <c r="N37" s="19" t="n">
        <v>10</v>
      </c>
      <c r="O37" s="19">
        <f>IF(K37="","",ROUND(MAX(0,10*(1-K37/Filters!$B$5)),1))</f>
        <v/>
      </c>
      <c r="P37" s="19" t="n">
        <v>2</v>
      </c>
      <c r="Q37" s="19" t="n">
        <v>2</v>
      </c>
      <c r="R37" s="19" t="n">
        <v>7</v>
      </c>
      <c r="S37" s="19" t="n">
        <v>1</v>
      </c>
      <c r="T37" s="19">
        <f>IF(G37="","",ROUND(MAX(0,MIN(10,10*(Filters!$B$2-G37)/(Filters!$B$2-500000))),1))</f>
        <v/>
      </c>
      <c r="U37" s="19" t="n">
        <v>0</v>
      </c>
      <c r="V37" s="19" t="n">
        <v>3</v>
      </c>
      <c r="W37" s="18">
        <f>IF(M37="",0,COUNT(M37:V37))</f>
        <v/>
      </c>
      <c r="X37" s="18">
        <f>IF(W37&lt;10,"",M37*ForcedChoiceCorrections!$B$6+N37*ForcedChoiceCorrections!$B$7+O37*ForcedChoiceCorrections!$B$8+P37*ForcedChoiceCorrections!$B$9+Q37*ForcedChoiceCorrections!$B$10+R37*ForcedChoiceCorrections!$B$11+S37*ForcedChoiceCorrections!$B$12+T37*ForcedChoiceCorrections!$B$13+U37*ForcedChoiceCorrections!$B$14+V37*ForcedChoiceCorrections!$B$15)</f>
        <v/>
      </c>
      <c r="Y37" s="18">
        <f>IF(AND(ISNUMBER(SEARCH("pass",L37)),ISNUMBER(X37)),COUNTIFS(L$2:L$90,"*pass*",X$2:X$90,"&gt;"&amp;X37)+1,"")</f>
        <v/>
      </c>
      <c r="Z37" s="18" t="inlineStr">
        <is>
          <t>Requires property-specific slope, tree-fall, insurance &amp; emergency egress verification.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1,271; 44 km E of CBD [Wikipedia Mount Dandenong] (35 km per Victorian Places); the 633 m peak is the highest in the Ranges. Nature: Doongalla Forest (Dandenong Ranges National Park) is in the suburb; William Ricketts Sanctuary; Burke's Lookout; fine gardens; light snow a few times most years [Victorian Places; Wikipedia]; N 10 consistent. Village: 'a small shopping centre and several restaurants' [Victorian Places]; R 7 consistent. Shops: Q 2 consistent. Train: none named; S 1 consistent. Indian community: India-born 0.6%, Hinduism 0.2% [ABS 2021 GCP SAL21787]; P 2 consistent. City trip: 35-44 km, no rail; V 3 estimate. Winter cold and snow are a consideration for older residents. NOT checked: GPs, bus. Scores unchanged.</t>
        </is>
      </c>
      <c r="AA37" s="16" t="inlineStr">
        <is>
          <t>36. Mount Dandenong | Dandenong Ridge | Watchlist | P: Very High (Canopy &amp; views) | Y: Low (Inland) | Lens: Ridge canopy living test | Price: [Blank] | Basis: Not verified in report | Note: Requires property-specific slope, tree-fall, insurance &amp; emergency egress verification.</t>
        </is>
      </c>
      <c r="AB37" s="22" t="inlineStr">
        <is>
          <t>No</t>
        </is>
      </c>
      <c r="AC37" s="22" t="inlineStr">
        <is>
          <t>No station (recall; verify)</t>
        </is>
      </c>
      <c r="AD37" s="22" t="inlineStr">
        <is>
          <t>Angliss Hospital ED (24-hr: verified, Eastern Health site; Maroondah 24 min) (drive times: Google Maps leave-now, 27 Oct 2026 ~13:15–13:45 AEDT (midday, not peak), suburb name)</t>
        </is>
      </c>
      <c r="AE37" s="24" t="n">
        <v>1500000</v>
      </c>
      <c r="AF37" s="22" t="inlineStr">
        <is>
          <t>Maximum purchase price, excluding transaction and moving costs</t>
        </is>
      </c>
      <c r="AG37" s="22" t="inlineStr">
        <is>
          <t>AVM estimate</t>
        </is>
      </c>
      <c r="AH37" s="22" t="inlineStr">
        <is>
          <t>27 Oct 2026</t>
        </is>
      </c>
      <c r="AI37" s="22" t="inlineStr">
        <is>
          <t>Pass</t>
        </is>
      </c>
      <c r="AJ37" s="22" t="inlineStr">
        <is>
          <t>AVM house value ($982,029) is under $1.5M cap. Not a sale median.</t>
        </is>
      </c>
      <c r="AK37" s="22" t="inlineStr">
        <is>
          <t>SAL21787</t>
        </is>
      </c>
      <c r="AL37" s="32" t="n">
        <v>1271</v>
      </c>
      <c r="AM37" s="22" t="n">
        <v>45</v>
      </c>
      <c r="AN37" s="33" t="n">
        <v>0.218</v>
      </c>
      <c r="AO37" s="33" t="n">
        <v>0.19</v>
      </c>
      <c r="AP37" s="33" t="n">
        <v>0.03</v>
      </c>
      <c r="AQ37" s="33" t="n">
        <v>0.006</v>
      </c>
      <c r="AR37" s="33" t="n">
        <v>0.008</v>
      </c>
      <c r="AS37" s="33" t="n">
        <v>0.002</v>
      </c>
      <c r="AT37" s="33" t="n">
        <v>0</v>
      </c>
      <c r="AU37" s="33" t="n">
        <v>0.05599999999999999</v>
      </c>
      <c r="AV37" s="22" t="inlineStr">
        <is>
          <t>German 0.9%; Afrikaans 0.9%; Spanish 0.6%</t>
        </is>
      </c>
      <c r="AW37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  <c r="AX37" s="22">
        <f>IF(AU37="","",IF(OR(AU37&gt;=0.5,AQ37&gt;=0.08),"High",IF(OR(AU37&gt;=0.3,AQ37&gt;=0.04),"Medium","Low")))</f>
        <v/>
      </c>
    </row>
    <row r="38" ht="15.75" customHeight="1" s="15">
      <c r="A38" s="18" t="inlineStr">
        <is>
          <t>Emerald</t>
        </is>
      </c>
      <c r="B38" s="18" t="inlineStr">
        <is>
          <t>Dandenong Ranges</t>
        </is>
      </c>
      <c r="C38" s="18" t="inlineStr">
        <is>
          <t>Watchlist</t>
        </is>
      </c>
      <c r="D38" s="18" t="inlineStr">
        <is>
          <t>High (Emerald Lake &amp; hills)</t>
        </is>
      </c>
      <c r="E38" s="18" t="inlineStr">
        <is>
          <t>Low (Inland)</t>
        </is>
      </c>
      <c r="F38" s="18" t="inlineStr">
        <is>
          <t>Larger hills town south-east of ridge</t>
        </is>
      </c>
      <c r="G38" s="18" t="n">
        <v>980699</v>
      </c>
      <c r="H38" s="18" t="inlineStr">
        <is>
          <t>AVM estimate (30 Sep 2026), NOT a verified sale median; unit $641,682; 84 sales in last 12m (OnTheHouse/Cotality, read 27 Oct 2026)</t>
        </is>
      </c>
      <c r="I38" s="18">
        <f>G38*(1+Settings!$B$6)</f>
        <v/>
      </c>
      <c r="J38" s="19" t="n">
        <v>35</v>
      </c>
      <c r="K38" s="19" t="n">
        <v>22</v>
      </c>
      <c r="L38" s="18" t="inlineStr">
        <is>
          <t>Provisional pass</t>
        </is>
      </c>
      <c r="M38" s="19">
        <f>IF(J38="","",ROUND(MAX(0,10*(1-J38/Filters!$B$4)),1))</f>
        <v/>
      </c>
      <c r="N38" s="19" t="n">
        <v>9</v>
      </c>
      <c r="O38" s="19">
        <f>IF(K38="","",ROUND(MAX(0,10*(1-K38/Filters!$B$5)),1))</f>
        <v/>
      </c>
      <c r="P38" s="19" t="n">
        <v>2</v>
      </c>
      <c r="Q38" s="19" t="n">
        <v>6</v>
      </c>
      <c r="R38" s="19" t="n">
        <v>8</v>
      </c>
      <c r="S38" s="19" t="n">
        <v>2</v>
      </c>
      <c r="T38" s="19">
        <f>IF(G38="","",ROUND(MAX(0,MIN(10,10*(Filters!$B$2-G38)/(Filters!$B$2-500000))),1))</f>
        <v/>
      </c>
      <c r="U38" s="19" t="n">
        <v>0</v>
      </c>
      <c r="V38" s="19" t="n">
        <v>3</v>
      </c>
      <c r="W38" s="18">
        <f>IF(M38="",0,COUNT(M38:V38))</f>
        <v/>
      </c>
      <c r="X38" s="18">
        <f>IF(W38&lt;10,"",M38*ForcedChoiceCorrections!$B$6+N38*ForcedChoiceCorrections!$B$7+O38*ForcedChoiceCorrections!$B$8+P38*ForcedChoiceCorrections!$B$9+Q38*ForcedChoiceCorrections!$B$10+R38*ForcedChoiceCorrections!$B$11+S38*ForcedChoiceCorrections!$B$12+T38*ForcedChoiceCorrections!$B$13+U38*ForcedChoiceCorrections!$B$14+V38*ForcedChoiceCorrections!$B$15)</f>
        <v/>
      </c>
      <c r="Y38" s="18">
        <f>IF(AND(ISNUMBER(SEARCH("pass",L38)),ISNUMBER(X38)),COUNTIFS(L$2:L$90,"*pass*",X$2:X$90,"&gt;"&amp;X38)+1,"")</f>
        <v/>
      </c>
      <c r="Z38" s="18" t="inlineStr">
        <is>
          <t>Emerald Lake precinct; separate from ridge villages—verify routine services &amp;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5,890; 44 km SE of CBD, Shires of Cardinia and Yarra Ranges [Wikipedia Emerald]. Nature: Emerald Lake park with walking tracks; Cardinia Reservoir Park (kangaroos, wombats); smaller reserves [Wikipedia; Victorian Places]; N 9 consistent. Village: 'an active shopping area', cooperative-owned hardware store, museum, golf club [Victorian Places]; R 8 consistent. Shops: Woolworths supermarket since 2011 [Victorian Places]; Q 6 consistent. Train: Puffing Billy heritage steam railway only (3 stations in Emerald) [Wikipedia]; S 2 consistent. Indian community: India-born 0.1%, Hinduism 0.0% [ABS 2021 GCP SAL20868]; P 2 generous (1 arguable). City trip: 44 km, no commuter rail; V 3 estimate. NOT checked: GPs, bus. Scores unchanged.</t>
        </is>
      </c>
      <c r="AA38" s="16" t="inlineStr">
        <is>
          <t>37. Emerald | Dandenong Ranges | Watchlist | P: High (Emerald Lake &amp; hills) | Y: Low (Inland) | Lens: Larger hills town south-east of ridge | Price: [Blank] | Basis: Not verified in report | Note: Emerald Lake precinct; separate from ridge villages—verify routine services &amp; ED drive.</t>
        </is>
      </c>
      <c r="AB38" s="22" t="inlineStr">
        <is>
          <t>No</t>
        </is>
      </c>
      <c r="AC38" s="22" t="inlineStr">
        <is>
          <t>Puffing Billy tourist railway only (recall; verify)</t>
        </is>
      </c>
      <c r="AD38" s="22" t="inlineStr">
        <is>
          <t>Angliss Hospital ED (24-hr: verified, Eastern Health site; Casey 23 min) (drive times: Google Maps leave-now, 27 Oct 2026 ~13:15–13:45 AEDT (midday, not peak), suburb name)</t>
        </is>
      </c>
      <c r="AE38" s="24" t="n">
        <v>1500000</v>
      </c>
      <c r="AF38" s="22" t="inlineStr">
        <is>
          <t>Maximum purchase price, excluding transaction and moving costs</t>
        </is>
      </c>
      <c r="AG38" s="22" t="inlineStr">
        <is>
          <t>AVM estimate</t>
        </is>
      </c>
      <c r="AH38" s="22" t="inlineStr">
        <is>
          <t>27 Oct 2026</t>
        </is>
      </c>
      <c r="AI38" s="22" t="inlineStr">
        <is>
          <t>Pass</t>
        </is>
      </c>
      <c r="AJ38" s="22" t="inlineStr">
        <is>
          <t>AVM house value ($980,699) is under $1.5M cap. Not a sale median.</t>
        </is>
      </c>
      <c r="AK38" s="22" t="inlineStr">
        <is>
          <t>SAL20868</t>
        </is>
      </c>
      <c r="AL38" s="32" t="n">
        <v>5890</v>
      </c>
      <c r="AM38" s="22" t="n">
        <v>43</v>
      </c>
      <c r="AN38" s="33" t="n">
        <v>0.186</v>
      </c>
      <c r="AO38" s="33" t="n">
        <v>0.165</v>
      </c>
      <c r="AP38" s="33" t="n">
        <v>0.035</v>
      </c>
      <c r="AQ38" s="33" t="n">
        <v>0.001</v>
      </c>
      <c r="AR38" s="33" t="n">
        <v>0.003</v>
      </c>
      <c r="AS38" s="33" t="n">
        <v>0</v>
      </c>
      <c r="AT38" s="33" t="n">
        <v>0</v>
      </c>
      <c r="AU38" s="33" t="n">
        <v>0.052</v>
      </c>
      <c r="AV38" s="22" t="inlineStr">
        <is>
          <t>Spanish 0.7%; German 0.5%; Japanese 0.5%</t>
        </is>
      </c>
      <c r="AW3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38" s="22">
        <f>IF(AU38="","",IF(OR(AU38&gt;=0.5,AQ38&gt;=0.08),"High",IF(OR(AU38&gt;=0.3,AQ38&gt;=0.04),"Medium","Low")))</f>
        <v/>
      </c>
    </row>
    <row r="39" ht="15.75" customHeight="1" s="15">
      <c r="A39" s="18" t="inlineStr">
        <is>
          <t>Ferntree Gully</t>
        </is>
      </c>
      <c r="B39" s="18" t="inlineStr">
        <is>
          <t>East / Foothills</t>
        </is>
      </c>
      <c r="C39" s="18" t="inlineStr">
        <is>
          <t>Watchlist</t>
        </is>
      </c>
      <c r="D39" s="18" t="inlineStr">
        <is>
          <t>Medium-High (Foothills)</t>
        </is>
      </c>
      <c r="E39" s="18" t="inlineStr">
        <is>
          <t>Low (Inland)</t>
        </is>
      </c>
      <c r="F39" s="18" t="inlineStr">
        <is>
          <t>Larger housing/service catchment next to Upper FTG</t>
        </is>
      </c>
      <c r="G39" s="18" t="n">
        <v>872133</v>
      </c>
      <c r="H39" s="18" t="inlineStr">
        <is>
          <t>AVM estimate (30 Sep 2026), NOT a verified sale median; unit $678,759; 438 sales in last 12m (OnTheHouse/Cotality, read 27 Oct 2026)</t>
        </is>
      </c>
      <c r="I39" s="18">
        <f>G39*(1+Settings!$B$6)</f>
        <v/>
      </c>
      <c r="J39" s="19" t="n">
        <v>14</v>
      </c>
      <c r="K39" s="19" t="n">
        <v>8</v>
      </c>
      <c r="L39" s="18" t="inlineStr">
        <is>
          <t>Provisional pass</t>
        </is>
      </c>
      <c r="M39" s="19">
        <f>IF(J39="","",ROUND(MAX(0,10*(1-J39/Filters!$B$4)),1))</f>
        <v/>
      </c>
      <c r="N39" s="19" t="n">
        <v>6</v>
      </c>
      <c r="O39" s="19">
        <f>IF(K39="","",ROUND(MAX(0,10*(1-K39/Filters!$B$5)),1))</f>
        <v/>
      </c>
      <c r="P39" s="19" t="n">
        <v>5</v>
      </c>
      <c r="Q39" s="19" t="n">
        <v>8</v>
      </c>
      <c r="R39" s="19" t="n">
        <v>4</v>
      </c>
      <c r="S39" s="19" t="n">
        <v>8</v>
      </c>
      <c r="T39" s="19">
        <f>IF(G39="","",ROUND(MAX(0,MIN(10,10*(Filters!$B$2-G39)/(Filters!$B$2-500000))),1))</f>
        <v/>
      </c>
      <c r="U39" s="19" t="n">
        <v>0</v>
      </c>
      <c r="V39" s="19" t="n">
        <v>6</v>
      </c>
      <c r="W39" s="18">
        <f>IF(M39="",0,COUNT(M39:V39))</f>
        <v/>
      </c>
      <c r="X39" s="18">
        <f>IF(W39&lt;10,"",M39*ForcedChoiceCorrections!$B$6+N39*ForcedChoiceCorrections!$B$7+O39*ForcedChoiceCorrections!$B$8+P39*ForcedChoiceCorrections!$B$9+Q39*ForcedChoiceCorrections!$B$10+R39*ForcedChoiceCorrections!$B$11+S39*ForcedChoiceCorrections!$B$12+T39*ForcedChoiceCorrections!$B$13+U39*ForcedChoiceCorrections!$B$14+V39*ForcedChoiceCorrections!$B$15)</f>
        <v/>
      </c>
      <c r="Y39" s="18">
        <f>IF(AND(ISNUMBER(SEARCH("pass",L39)),ISNUMBER(X39)),COUNTIFS(L$2:L$90,"*pass*",X$2:X$90,"&gt;"&amp;X39)+1,"")</f>
        <v/>
      </c>
      <c r="Z39" s="18" t="inlineStr">
        <is>
          <t>Belgrave line; compare flatter pockets and housing stock against Upper Ferntree Gully. 27 Oct 2026 research pass: drive times/ED and/or AVM price added; L re-evaluated. OnTheHouse shows the same house AVM ($872,133) for Ferntree Gully and Upper Ferntree Gully (same postcode) — treat as postcode-level, weak. | SCORES 27 Oct 2026: M (near family) and T (price) are formulas from J and G; O from K. N, P, Q, R, S, U, V are ESTIMATES (Claude, general knowledge, not site-checked); S also rests on train Yes/No marked 'verify'. Price = postcode-level AVM shared with Upper FTG. | CHECKED 27 Oct 2026, source run C1 (suburb level; Wikipedia, Victorian Places, ABS 2021 GCP DataPack). Pop 27,398; foothills of the Dandenong Ranges, 30 km E of CBD [Wikipedia Ferntree Gully]. Nature: large part of Dandenong Ranges National Park forms the backdrop; eastern boundary is the National Park; One Tree Hill; 'high fire risk area' near the park [Wikipedia]; N 6 consistent (village end greener). Shops: Mountain Gate Shopping Centre; Ferntree Gully Village with supermarkets, greengrocers, butchers, cafés; two supermarkets on Burwood Hwy [Wikipedia; Victorian Places]; Q 8 consistent. Village: historic village at the station, rest is 'mostly a large suburban area' [Victorian Places]; R 4 consistent. Train: 'one of the busiest railway stations in the City of Knox' (Belgrave line) [Wikipedia]; S 8 consistent. Indian community: India-born 2.3%, Indian ancestry 3.1%, Hinduism 2.4% [ABS 2021 GCP SAL20917]; P 5 plausible (4 arguable). City trip: 30 km by train; V 6 estimate. NOT checked: GPs by name, journey time. Scores unchanged.</t>
        </is>
      </c>
      <c r="AA39" s="16" t="inlineStr">
        <is>
          <t>38. Ferntree Gully | East / Foothills | Watchlist | P: Medium-High (Foothills) | Y: Low (Inland) | Lens: Larger housing/service catchment next to Upper FTG | Price: [Blank] | Basis: Not verified in report | Note: Belgrave line; compare flatter pockets and housing stock against Upper Ferntree Gully.</t>
        </is>
      </c>
      <c r="AB39" s="22" t="inlineStr">
        <is>
          <t>Yes</t>
        </is>
      </c>
      <c r="AC39" s="22" t="inlineStr">
        <is>
          <t>Ferntree Gully station, Belgrave line (recall; verify)</t>
        </is>
      </c>
      <c r="AD39" s="22" t="inlineStr">
        <is>
          <t>Angliss Hospital ED (24-hr: verified, Eastern Health site) (drive times: Google Maps leave-now, 27 Oct 2026 ~13:15–13:45 AEDT (midday, not peak), suburb name)</t>
        </is>
      </c>
      <c r="AE39" s="24" t="n">
        <v>1500000</v>
      </c>
      <c r="AF39" s="22" t="inlineStr">
        <is>
          <t>Maximum purchase price, excluding transaction and moving costs</t>
        </is>
      </c>
      <c r="AG39" s="22" t="inlineStr">
        <is>
          <t>AVM estimate</t>
        </is>
      </c>
      <c r="AH39" s="22" t="inlineStr">
        <is>
          <t>27 Oct 2026</t>
        </is>
      </c>
      <c r="AI39" s="22" t="inlineStr">
        <is>
          <t>Pass</t>
        </is>
      </c>
      <c r="AJ39" s="22" t="inlineStr">
        <is>
          <t>AVM house value ($872,133) is under $1.5M cap. Not a sale median.</t>
        </is>
      </c>
      <c r="AK39" s="22" t="inlineStr">
        <is>
          <t>SAL20917</t>
        </is>
      </c>
      <c r="AL39" s="32" t="n">
        <v>27398</v>
      </c>
      <c r="AM39" s="22" t="n">
        <v>40</v>
      </c>
      <c r="AN39" s="33" t="n">
        <v>0.174</v>
      </c>
      <c r="AO39" s="33" t="n">
        <v>0.253</v>
      </c>
      <c r="AP39" s="33" t="n">
        <v>0.032</v>
      </c>
      <c r="AQ39" s="33" t="n">
        <v>0.023</v>
      </c>
      <c r="AR39" s="33" t="n">
        <v>0.031</v>
      </c>
      <c r="AS39" s="33" t="n">
        <v>0.024</v>
      </c>
      <c r="AT39" s="33" t="n">
        <v>0.004</v>
      </c>
      <c r="AU39" s="33" t="n">
        <v>0.187</v>
      </c>
      <c r="AV39" s="22" t="inlineStr">
        <is>
          <t>Mandarin 3.7%; Cantonese 1.5%; Sinhalese 1.2%</t>
        </is>
      </c>
      <c r="AW3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39" s="22">
        <f>IF(AU39="","",IF(OR(AU39&gt;=0.5,AQ39&gt;=0.08),"High",IF(OR(AU39&gt;=0.3,AQ39&gt;=0.04),"Medium","Low")))</f>
        <v/>
      </c>
    </row>
    <row r="40" ht="15.75" customHeight="1" s="15">
      <c r="A40" s="18" t="inlineStr">
        <is>
          <t>Berwick</t>
        </is>
      </c>
      <c r="B40" s="18" t="inlineStr">
        <is>
          <t>South-East Melbourne</t>
        </is>
      </c>
      <c r="C40" s="18" t="inlineStr">
        <is>
          <t>Watchlist</t>
        </is>
      </c>
      <c r="D40" s="18" t="inlineStr">
        <is>
          <t>Medium (Wilson Botanic Park)</t>
        </is>
      </c>
      <c r="E40" s="18" t="inlineStr">
        <is>
          <t>Low (Inland)</t>
        </is>
      </c>
      <c r="F40" s="18" t="inlineStr">
        <is>
          <t>Healthcare-led south-east comparator</t>
        </is>
      </c>
      <c r="G40" s="18" t="n">
        <v>935845</v>
      </c>
      <c r="H40" s="18" t="inlineStr">
        <is>
          <t>AVM estimate (30 Sep 2026), NOT a verified sale median; unit $669,669; 987 sales in last 12m (OnTheHouse/Cotality, read 27 Oct 2026)</t>
        </is>
      </c>
      <c r="I40" s="18">
        <f>G40*(1+Settings!$B$6)</f>
        <v/>
      </c>
      <c r="J40" s="19" t="n">
        <v>25</v>
      </c>
      <c r="K40" s="19" t="n">
        <v>6</v>
      </c>
      <c r="L40" s="18" t="inlineStr">
        <is>
          <t>Provisional pass</t>
        </is>
      </c>
      <c r="M40" s="19">
        <f>IF(J40="","",ROUND(MAX(0,10*(1-J40/Filters!$B$4)),1))</f>
        <v/>
      </c>
      <c r="N40" s="19" t="n">
        <v>5</v>
      </c>
      <c r="O40" s="19">
        <f>IF(K40="","",ROUND(MAX(0,10*(1-K40/Filters!$B$5)),1))</f>
        <v/>
      </c>
      <c r="P40" s="19" t="n">
        <v>7</v>
      </c>
      <c r="Q40" s="19" t="n">
        <v>9</v>
      </c>
      <c r="R40" s="19" t="n">
        <v>6</v>
      </c>
      <c r="S40" s="19" t="n">
        <v>8</v>
      </c>
      <c r="T40" s="19">
        <f>IF(G40="","",ROUND(MAX(0,MIN(10,10*(Filters!$B$2-G40)/(Filters!$B$2-500000))),1))</f>
        <v/>
      </c>
      <c r="U40" s="19" t="n">
        <v>1</v>
      </c>
      <c r="V40" s="19" t="n">
        <v>6</v>
      </c>
      <c r="W40" s="18">
        <f>IF(M40="",0,COUNT(M40:V40))</f>
        <v/>
      </c>
      <c r="X40" s="18">
        <f>IF(W40&lt;10,"",M40*ForcedChoiceCorrections!$B$6+N40*ForcedChoiceCorrections!$B$7+O40*ForcedChoiceCorrections!$B$8+P40*ForcedChoiceCorrections!$B$9+Q40*ForcedChoiceCorrections!$B$10+R40*ForcedChoiceCorrections!$B$11+S40*ForcedChoiceCorrections!$B$12+T40*ForcedChoiceCorrections!$B$13+U40*ForcedChoiceCorrections!$B$14+V40*ForcedChoiceCorrections!$B$15)</f>
        <v/>
      </c>
      <c r="Y40" s="18">
        <f>IF(AND(ISNUMBER(SEARCH("pass",L40)),ISNUMBER(X40)),COUNTIFS(L$2:L$90,"*pass*",X$2:X$90,"&gt;"&amp;X40)+1,"")</f>
        <v/>
      </c>
      <c r="Z40" s="18" t="inlineStr">
        <is>
          <t>Monash Health Casey Hospital 24-hr ED on site; verify whether residential pockets feel green enough.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Station; High St village + Berwick Market Place; Casey Hospital (Victorian Places). GPs: Doctors at Casey, Parkhill, O'Shea, Langmore (healthdirect). Wilson Botanic Park. N, P, R, V remain estimates. | CHECKED 27 Oct 2026, second pass (N, P, R, V; suburb level). Indian community: India-born 3,052 (6.1%), Indian ancestry 3,738 (7.4%), Hinduism 2,744 (5.5%), Hindi 778 (1.5%), Punjabi 718 (1.4%), pop 50,298 [ABS SAL20224]; strongly supports P 7 (8 arguable); no temple or grocer identified. Nature: Wilson Botanic Park ~39 ha with two former quarry lakes, woodland plantings, lookout tower [Wikipedia Wilson Botanic Park]; Edwin Flack Reserve is sporting grounds [Wikipedia Berwick]; no bushland described; N 5 consistent. Village: High Street is the core of Berwick Village (small shops, WWI Avenue of Honour poplars); three shopping precincts (Berwick Village, Eden Rise, Parkhill Plaza) [Wikipedia Berwick]; R 6 consistent. City trip: ~40 km SE of CBD, Pakenham line [Wikipedia]; journey time NOT stated; V 6 estimate. Scores unchanged.</t>
        </is>
      </c>
      <c r="AA40" s="16" t="inlineStr">
        <is>
          <t>39. Berwick | South-East Melbourne | Watchlist | P: Medium (Wilson Botanic Park) | Y: Low (Inland) | Lens: Healthcare-led south-east comparator | Price: [Blank] | Basis: Not verified in report | Note: Monash Health Casey Hospital 24-hr ED on site; verify whether residential pockets feel green enough.</t>
        </is>
      </c>
      <c r="AB40" s="22" t="inlineStr">
        <is>
          <t>Yes</t>
        </is>
      </c>
      <c r="AC40" s="22" t="inlineStr">
        <is>
          <t>Berwick station, Pakenham line (checked: Victorian Places; Wikipedia Berwick station)</t>
        </is>
      </c>
      <c r="AD40" s="22" t="inlineStr">
        <is>
          <t>Casey Hospital ED (24-hr: recall (major metro ED)) (drive times: Google Maps leave-now, 27 Oct 2026 ~13:15–13:45 AEDT (midday, not peak), suburb name)</t>
        </is>
      </c>
      <c r="AE40" s="24" t="n">
        <v>1500000</v>
      </c>
      <c r="AF40" s="22" t="inlineStr">
        <is>
          <t>Maximum purchase price, excluding transaction and moving costs</t>
        </is>
      </c>
      <c r="AG40" s="22" t="inlineStr">
        <is>
          <t>AVM estimate</t>
        </is>
      </c>
      <c r="AH40" s="22" t="inlineStr">
        <is>
          <t>27 Oct 2026</t>
        </is>
      </c>
      <c r="AI40" s="22" t="inlineStr">
        <is>
          <t>Pass</t>
        </is>
      </c>
      <c r="AJ40" s="22" t="inlineStr">
        <is>
          <t>AVM house value ($935,845) is under $1.5M cap. Not a sale median.</t>
        </is>
      </c>
      <c r="AK40" s="22" t="inlineStr">
        <is>
          <t>SAL20224</t>
        </is>
      </c>
      <c r="AL40" s="32" t="n">
        <v>50298</v>
      </c>
      <c r="AM40" s="22" t="n">
        <v>38</v>
      </c>
      <c r="AN40" s="33" t="n">
        <v>0.142</v>
      </c>
      <c r="AO40" s="33" t="n">
        <v>0.342</v>
      </c>
      <c r="AP40" s="33" t="n">
        <v>0.035</v>
      </c>
      <c r="AQ40" s="33" t="n">
        <v>0.061</v>
      </c>
      <c r="AR40" s="33" t="n">
        <v>0.07400000000000001</v>
      </c>
      <c r="AS40" s="33" t="n">
        <v>0.055</v>
      </c>
      <c r="AT40" s="33" t="n">
        <v>0.013</v>
      </c>
      <c r="AU40" s="33" t="n">
        <v>0.287</v>
      </c>
      <c r="AV40" s="22" t="inlineStr">
        <is>
          <t>Mandarin 4.0%; Sinhalese 3.8%; Hindi 1.5%</t>
        </is>
      </c>
      <c r="AW40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40" s="22">
        <f>IF(AU40="","",IF(OR(AU40&gt;=0.5,AQ40&gt;=0.08),"High",IF(OR(AU40&gt;=0.3,AQ40&gt;=0.04),"Medium","Low")))</f>
        <v/>
      </c>
    </row>
    <row r="41" ht="15.75" customHeight="1" s="15">
      <c r="A41" s="18" t="inlineStr">
        <is>
          <t>Frankston South</t>
        </is>
      </c>
      <c r="B41" s="18" t="inlineStr">
        <is>
          <t>Mornington Peninsula</t>
        </is>
      </c>
      <c r="C41" s="18" t="inlineStr">
        <is>
          <t>Active Shortlist</t>
        </is>
      </c>
      <c r="D41" s="18" t="inlineStr">
        <is>
          <t>High (Sweetwater Creek reserve)</t>
        </is>
      </c>
      <c r="E41" s="18" t="inlineStr">
        <is>
          <t>High (Near beach/bay)</t>
        </is>
      </c>
      <c r="F41" s="18" t="inlineStr">
        <is>
          <t>Greener, bushier counterpart to Frankston</t>
        </is>
      </c>
      <c r="G41" s="18" t="n">
        <v>1195044</v>
      </c>
      <c r="H41" s="18" t="inlineStr">
        <is>
          <t>AVM estimate (30 Sep 2026), NOT a verified sale median; unit $781,232; 305 sales in last 12m (OnTheHouse/Cotality, read 27 Oct 2026)</t>
        </is>
      </c>
      <c r="I41" s="18">
        <f>G41*(1+Settings!$B$6)</f>
        <v/>
      </c>
      <c r="J41" s="19" t="n">
        <v>31</v>
      </c>
      <c r="K41" s="19" t="n">
        <v>4</v>
      </c>
      <c r="L41" s="18" t="inlineStr">
        <is>
          <t>Active — provisional pass</t>
        </is>
      </c>
      <c r="M41" s="19">
        <f>IF(J41="","",ROUND(MAX(0,10*(1-J41/Filters!$B$4)),1))</f>
        <v/>
      </c>
      <c r="N41" s="19" t="n">
        <v>7</v>
      </c>
      <c r="O41" s="19">
        <f>IF(K41="","",ROUND(MAX(0,10*(1-K41/Filters!$B$5)),1))</f>
        <v/>
      </c>
      <c r="P41" s="19" t="n">
        <v>3</v>
      </c>
      <c r="Q41" s="19" t="n">
        <v>5</v>
      </c>
      <c r="R41" s="19" t="n">
        <v>5</v>
      </c>
      <c r="S41" s="19" t="n">
        <v>4</v>
      </c>
      <c r="T41" s="19">
        <f>IF(G41="","",ROUND(MAX(0,MIN(10,10*(Filters!$B$2-G41)/(Filters!$B$2-500000))),1))</f>
        <v/>
      </c>
      <c r="U41" s="19" t="n">
        <v>6</v>
      </c>
      <c r="V41" s="19" t="n">
        <v>5</v>
      </c>
      <c r="W41" s="18">
        <f>IF(M41="",0,COUNT(M41:V41))</f>
        <v/>
      </c>
      <c r="X41" s="18">
        <f>IF(W41&lt;10,"",M41*ForcedChoiceCorrections!$B$6+N41*ForcedChoiceCorrections!$B$7+O41*ForcedChoiceCorrections!$B$8+P41*ForcedChoiceCorrections!$B$9+Q41*ForcedChoiceCorrections!$B$10+R41*ForcedChoiceCorrections!$B$11+S41*ForcedChoiceCorrections!$B$12+T41*ForcedChoiceCorrections!$B$13+U41*ForcedChoiceCorrections!$B$14+V41*ForcedChoiceCorrections!$B$15)</f>
        <v/>
      </c>
      <c r="Y41" s="18">
        <f>IF(AND(ISNUMBER(SEARCH("pass",L41)),ISNUMBER(X41)),COUNTIFS(L$2:L$90,"*pass*",X$2:X$90,"&gt;"&amp;X41)+1,"")</f>
        <v/>
      </c>
      <c r="Z41" s="18" t="inlineStr">
        <is>
          <t>Sweetwater Creek nature reserve; weaker station walk than central Frankston. Promoted to Active 26 Oct 2026 as a bush-plus-bay overlap candidate.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No station; buses to Frankston. Olivers Hill bay views; Daveys Bay is in Mt Eliza, so beach access not in suburb: U lowered 7-&gt;6. No major shops, small strips only: Q lowered 6-&gt;5 (Wikipedia). GP: Baxter Park Medical Centre (healthdirect). Sweetwater Creek reserve. N, P, R, V remain estimates. | CHECKED 27 Oct 2026, second pass (N, P, R, V; suburb level). Nature: elevated land where Sweetwater Creek descends from Mount Eliza; Frankston Reservoir; much stayed open country until postwar [Victorian Places Frankston South]; N 7 plausible. Village: 'no major shopping areas'; small strips on Norman Ave, Foot St and Overport Rd; south served by Mount Eliza village [Wikipedia Frankston South]; R 6 generous (5 arguable). Indian community: India-born 0.9%, Hinduism 0.4%; Malayalam 0.8% at home [ABS 2021 GCP SAL20949]; P 3 consistent (2 arguable). Older: median age 44, 22.0% aged 65+ [ABS]. City trip: 41-43 km SE, no station [Wikipedia; Victorian Places]; V 5 estimate. Scores unchanged. | C3 28 Oct 2026: R 6-&gt;5 (source: 'no major shopping areas', only small strips [Wikipedia Frankston South]).</t>
        </is>
      </c>
      <c r="AA41" s="16" t="inlineStr">
        <is>
          <t>40. Frankston South | Mornington Peninsula | Active Shortlist | P: High (Sweetwater Creek reserve) | Y: High (Near beach/bay) | Lens: Greener, bushier counterpart to Frankston | Price: [Blank] | Basis: Not verified in report | Note: Sweetwater Creek nature reserve; weaker station walk than central Frankston. Promoted to Active 26 Oct 2026 as a bush-plus-bay overlap candidate.</t>
        </is>
      </c>
      <c r="AB41" s="22" t="inlineStr">
        <is>
          <t>No</t>
        </is>
      </c>
      <c r="AC41" s="22" t="inlineStr">
        <is>
          <t>No station; buses to Frankston CBD (checked: Wikipedia Frankston South)</t>
        </is>
      </c>
      <c r="AD41" s="22" t="inlineStr">
        <is>
          <t>Peninsula University Hospital ED (drive times added 27 Oct 2026, Google Maps leave-now by suburb name, not postcode, not peak)</t>
        </is>
      </c>
      <c r="AE41" s="24" t="n">
        <v>1500000</v>
      </c>
      <c r="AF41" s="22" t="inlineStr">
        <is>
          <t>Maximum purchase price, excluding transaction and moving costs</t>
        </is>
      </c>
      <c r="AG41" s="22" t="inlineStr">
        <is>
          <t>AVM estimate</t>
        </is>
      </c>
      <c r="AH41" s="22" t="inlineStr">
        <is>
          <t>27 Oct 2026</t>
        </is>
      </c>
      <c r="AI41" s="22" t="inlineStr">
        <is>
          <t>Pass</t>
        </is>
      </c>
      <c r="AJ41" s="22" t="inlineStr">
        <is>
          <t>AVM house value ($1,195,044) is under $1.5M cap. Not a sale median.</t>
        </is>
      </c>
      <c r="AK41" s="22" t="inlineStr">
        <is>
          <t>SAL20949</t>
        </is>
      </c>
      <c r="AL41" s="32" t="n">
        <v>18801</v>
      </c>
      <c r="AM41" s="22" t="n">
        <v>44</v>
      </c>
      <c r="AN41" s="33" t="n">
        <v>0.22</v>
      </c>
      <c r="AO41" s="33" t="n">
        <v>0.216</v>
      </c>
      <c r="AP41" s="33" t="n">
        <v>0.03</v>
      </c>
      <c r="AQ41" s="33" t="n">
        <v>0.009000000000000001</v>
      </c>
      <c r="AR41" s="33" t="n">
        <v>0.013</v>
      </c>
      <c r="AS41" s="33" t="n">
        <v>0.004</v>
      </c>
      <c r="AT41" s="33" t="n">
        <v>0</v>
      </c>
      <c r="AU41" s="33" t="n">
        <v>0.09</v>
      </c>
      <c r="AV41" s="22" t="inlineStr">
        <is>
          <t>Mandarin 1.2%; Greek 1.0%; Malayalam 0.8%</t>
        </is>
      </c>
      <c r="AW4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41" s="22">
        <f>IF(AU41="","",IF(OR(AU41&gt;=0.5,AQ41&gt;=0.08),"High",IF(OR(AU41&gt;=0.3,AQ41&gt;=0.04),"Medium","Low")))</f>
        <v/>
      </c>
    </row>
    <row r="42" ht="15.75" customHeight="1" s="15">
      <c r="A42" s="18" t="inlineStr">
        <is>
          <t>Hurstbridge</t>
        </is>
      </c>
      <c r="B42" s="18" t="inlineStr">
        <is>
          <t>North-East Fringe</t>
        </is>
      </c>
      <c r="C42" s="18" t="inlineStr">
        <is>
          <t>Watchlist</t>
        </is>
      </c>
      <c r="D42" s="18" t="inlineStr">
        <is>
          <t>High (Bushland village)</t>
        </is>
      </c>
      <c r="E42" s="18" t="inlineStr">
        <is>
          <t>Low (Inland)</t>
        </is>
      </c>
      <c r="F42" s="18" t="inlineStr">
        <is>
          <t>Smaller bushland village beyond Diamond Creek</t>
        </is>
      </c>
      <c r="G42" s="18" t="n">
        <v>980767</v>
      </c>
      <c r="H42" s="18" t="inlineStr">
        <is>
          <t>AVM estimate (30 Sep 2026), NOT a verified sale median; unit $630,315; 44 sales in last 12m (OnTheHouse/Cotality, read 27 Oct 2026)</t>
        </is>
      </c>
      <c r="I42" s="18">
        <f>G42*(1+Settings!$B$6)</f>
        <v/>
      </c>
      <c r="J42" s="19" t="n">
        <v>41</v>
      </c>
      <c r="K42" s="19" t="n">
        <v>29</v>
      </c>
      <c r="L42" s="18" t="inlineStr">
        <is>
          <t>Provisional pass</t>
        </is>
      </c>
      <c r="M42" s="19">
        <f>IF(J42="","",ROUND(MAX(0,10*(1-J42/Filters!$B$4)),1))</f>
        <v/>
      </c>
      <c r="N42" s="19" t="n">
        <v>8</v>
      </c>
      <c r="O42" s="19">
        <f>IF(K42="","",ROUND(MAX(0,10*(1-K42/Filters!$B$5)),1))</f>
        <v/>
      </c>
      <c r="P42" s="19" t="n">
        <v>1</v>
      </c>
      <c r="Q42" s="19" t="n">
        <v>5</v>
      </c>
      <c r="R42" s="19" t="n">
        <v>8</v>
      </c>
      <c r="S42" s="19" t="n">
        <v>6</v>
      </c>
      <c r="T42" s="19">
        <f>IF(G42="","",ROUND(MAX(0,MIN(10,10*(Filters!$B$2-G42)/(Filters!$B$2-500000))),1))</f>
        <v/>
      </c>
      <c r="U42" s="19" t="n">
        <v>0</v>
      </c>
      <c r="V42" s="19" t="n">
        <v>5</v>
      </c>
      <c r="W42" s="18">
        <f>IF(M42="",0,COUNT(M42:V42))</f>
        <v/>
      </c>
      <c r="X42" s="18">
        <f>IF(W42&lt;10,"",M42*ForcedChoiceCorrections!$B$6+N42*ForcedChoiceCorrections!$B$7+O42*ForcedChoiceCorrections!$B$8+P42*ForcedChoiceCorrections!$B$9+Q42*ForcedChoiceCorrections!$B$10+R42*ForcedChoiceCorrections!$B$11+S42*ForcedChoiceCorrections!$B$12+T42*ForcedChoiceCorrections!$B$13+U42*ForcedChoiceCorrections!$B$14+V42*ForcedChoiceCorrections!$B$15)</f>
        <v/>
      </c>
      <c r="Y42" s="18">
        <f>IF(AND(ISNUMBER(SEARCH("pass",L42)),ISNUMBER(X42)),COUNTIFS(L$2:L$90,"*pass*",X$2:X$90,"&gt;"&amp;X42)+1,"")</f>
        <v/>
      </c>
      <c r="Z42" s="18" t="inlineStr">
        <is>
          <t>Hurstbridge rail terminus; test whether extra distance over Diamond Creek/Eltham adds value.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3,554; 28 km NE of CBD, Shire of Nillumbik [Wikipedia Hurstbridge]. Train: terminus of the line from Melbourne via Eltham (1912; electrified 1926) [Victorian Places]; station opposite the post office [Wikipedia]; S 6 consistent (frequency not checked). Nature: 'two extensive parklands along the Diamond Creek and two native flora reserves', Ferguson's Paddock with monthly farmers' market [Victorian Places]; N 8 consistent. Village: 'The Main Road shops retain many original building elements'; Anzac Avenue avenue of honour [Victorian Places]; R 8 consistent. Shops: 'an active shopping centre' [Victorian Places]; supermarket not named; Q 5 estimate. Indian community: India-born 0.3%, Hinduism 0.3% [ABS 2021 GCP SAL21223]; 86.1% Australia-born [Wikipedia citing ABS]; P 1 consistent. City trip: 28 km by train; journey time not stated; V 5 estimate. NOT checked: GPs, supermarket, train frequency. Scores unchanged.</t>
        </is>
      </c>
      <c r="AA42" s="16" t="inlineStr">
        <is>
          <t>41. Hurstbridge | North-East Fringe | Watchlist | P: High (Bushland village) | Y: Low (Inland) | Lens: Smaller bushland village beyond Diamond Creek | Price: [Blank] | Basis: Not verified in report | Note: Hurstbridge rail terminus; test whether extra distance over Diamond Creek/Eltham adds value.</t>
        </is>
      </c>
      <c r="AB42" s="22" t="inlineStr">
        <is>
          <t>Yes</t>
        </is>
      </c>
      <c r="AC42" s="22" t="inlineStr">
        <is>
          <t>Hurstbridge station, Hurstbridge line terminus (recall; verify)</t>
        </is>
      </c>
      <c r="AD42" s="22" t="inlineStr">
        <is>
          <t>Northern Hospital Epping ED (24-hr: recall (major metro ED); Austin 32 min) (drive times: Google Maps leave-now, 27 Oct 2026 ~13:15–13:45 AEDT (midday, not peak), suburb name)</t>
        </is>
      </c>
      <c r="AE42" s="24" t="n">
        <v>1500000</v>
      </c>
      <c r="AF42" s="22" t="inlineStr">
        <is>
          <t>Maximum purchase price, excluding transaction and moving costs</t>
        </is>
      </c>
      <c r="AG42" s="22" t="inlineStr">
        <is>
          <t>AVM estimate</t>
        </is>
      </c>
      <c r="AH42" s="22" t="inlineStr">
        <is>
          <t>27 Oct 2026</t>
        </is>
      </c>
      <c r="AI42" s="22" t="inlineStr">
        <is>
          <t>Pass</t>
        </is>
      </c>
      <c r="AJ42" s="22" t="inlineStr">
        <is>
          <t>AVM house value ($980,767) is under $1.5M cap. Not a sale median.</t>
        </is>
      </c>
      <c r="AK42" s="22" t="inlineStr">
        <is>
          <t>SAL21223</t>
        </is>
      </c>
      <c r="AL42" s="32" t="n">
        <v>3554</v>
      </c>
      <c r="AM42" s="22" t="n">
        <v>41</v>
      </c>
      <c r="AN42" s="33" t="n">
        <v>0.156</v>
      </c>
      <c r="AO42" s="33" t="n">
        <v>0.12</v>
      </c>
      <c r="AP42" s="33" t="n">
        <v>0.019</v>
      </c>
      <c r="AQ42" s="33" t="n">
        <v>0.003</v>
      </c>
      <c r="AR42" s="33" t="n">
        <v>0.004</v>
      </c>
      <c r="AS42" s="33" t="n">
        <v>0.003</v>
      </c>
      <c r="AT42" s="33" t="n">
        <v>0.001</v>
      </c>
      <c r="AU42" s="33" t="n">
        <v>0.04</v>
      </c>
      <c r="AV42" s="22" t="inlineStr">
        <is>
          <t>Spanish 0.4%; Japanese 0.3%; Italian 0.3%</t>
        </is>
      </c>
      <c r="AW4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42" s="22">
        <f>IF(AU42="","",IF(OR(AU42&gt;=0.5,AQ42&gt;=0.08),"High",IF(OR(AU42&gt;=0.3,AQ42&gt;=0.04),"Medium","Low")))</f>
        <v/>
      </c>
    </row>
    <row r="43" ht="15.75" customHeight="1" s="15">
      <c r="A43" s="18" t="inlineStr">
        <is>
          <t>Ballarat</t>
        </is>
      </c>
      <c r="B43" s="18" t="inlineStr">
        <is>
          <t>Central Highlands</t>
        </is>
      </c>
      <c r="C43" s="18" t="inlineStr">
        <is>
          <t>Watchlist</t>
        </is>
      </c>
      <c r="D43" s="18" t="inlineStr">
        <is>
          <t>Medium-High (Lake Wendouree/gardens)</t>
        </is>
      </c>
      <c r="E43" s="18" t="inlineStr">
        <is>
          <t>Low (Inland lake)</t>
        </is>
      </c>
      <c r="F43" s="18" t="inlineStr">
        <is>
          <t>Major regional city control with Base Hospital ED</t>
        </is>
      </c>
      <c r="G43" s="18" t="n">
        <v>722940</v>
      </c>
      <c r="H43" s="18" t="inlineStr">
        <is>
          <t>AVM estimate (30 Sep 2026), NOT a verified sale median; unit $509,096; 269 sales in last 12m (OnTheHouse/Cotality, read 27 Oct 2026)</t>
        </is>
      </c>
      <c r="I43" s="18">
        <f>G43*(1+Settings!$B$6)</f>
        <v/>
      </c>
      <c r="J43" s="19" t="n">
        <v>111</v>
      </c>
      <c r="K43" s="19" t="n">
        <v>3</v>
      </c>
      <c r="L43" s="18" t="inlineStr">
        <is>
          <t>Fails: GW drive</t>
        </is>
      </c>
      <c r="M43" s="19" t="n"/>
      <c r="N43" s="19" t="n"/>
      <c r="O43" s="19">
        <f>IF(K43="","",ROUND(MAX(0,10*(1-K43/Filters!$B$5)),1))</f>
        <v/>
      </c>
      <c r="P43" s="19" t="n"/>
      <c r="Q43" s="19" t="n"/>
      <c r="R43" s="19" t="n"/>
      <c r="S43" s="19" t="n"/>
      <c r="T43" s="19" t="n"/>
      <c r="U43" s="19" t="n"/>
      <c r="V43" s="19" t="n"/>
      <c r="W43" s="18">
        <f>IF(M43="",0,COUNT(M43:V43))</f>
        <v/>
      </c>
      <c r="X43" s="18">
        <f>IF(W43&lt;10,"",M43*ForcedChoiceCorrections!$B$6+N43*ForcedChoiceCorrections!$B$7+O43*ForcedChoiceCorrections!$B$8+P43*ForcedChoiceCorrections!$B$9+Q43*ForcedChoiceCorrections!$B$10+R43*ForcedChoiceCorrections!$B$11+S43*ForcedChoiceCorrections!$B$12+T43*ForcedChoiceCorrections!$B$13+U43*ForcedChoiceCorrections!$B$14+V43*ForcedChoiceCorrections!$B$15)</f>
        <v/>
      </c>
      <c r="Y43" s="18">
        <f>IF(AND(ISNUMBER(SEARCH("pass",L43)),ISNUMBER(X43)),COUNTIFS(L$2:L$90,"*pass*",X$2:X$90,"&gt;"&amp;X43)+1,"")</f>
        <v/>
      </c>
      <c r="Z43" s="18" t="inlineStr">
        <is>
          <t>Grampians Health Ballarat Base Hospital ED; test only if longer family journey to GW is acceptable. 27 Oct 2026 research pass: drive times/ED and/or AVM price added; L re-evaluated. Ballarat treated as Ballarat Central for price and drive.</t>
        </is>
      </c>
      <c r="AA43" s="16" t="inlineStr">
        <is>
          <t>42. Ballarat | Central Highlands | Watchlist | P: Medium-High (Lake Wendouree/gardens) | Y: Low (Inland lake) | Lens: Major regional city control with Base Hospital ED | Price: [Blank] | Basis: Not verified in report | Note: Grampians Health Ballarat Base Hospital ED; test only if longer family journey to GW is acceptable.</t>
        </is>
      </c>
      <c r="AB43" s="22" t="inlineStr">
        <is>
          <t>Yes</t>
        </is>
      </c>
      <c r="AC43" s="22" t="inlineStr">
        <is>
          <t>Ballarat station, V/Line Ballarat line (recall; verify)</t>
        </is>
      </c>
      <c r="AD43" s="22" t="inlineStr">
        <is>
          <t>Grampians Health Ballarat (Ballarat Base) ED (24-hr: recall (major regional ED). Origin: Ballarat Central) (drive times: Google Maps leave-now, 27 Oct 2026 ~13:15–13:45 AEDT (midday, not peak), suburb name)</t>
        </is>
      </c>
      <c r="AE43" s="24" t="n">
        <v>1500000</v>
      </c>
      <c r="AF43" s="22" t="inlineStr">
        <is>
          <t>Maximum purchase price, excluding transaction and moving costs</t>
        </is>
      </c>
      <c r="AG43" s="22" t="inlineStr">
        <is>
          <t>AVM estimate</t>
        </is>
      </c>
      <c r="AH43" s="22" t="inlineStr">
        <is>
          <t>27 Oct 2026</t>
        </is>
      </c>
      <c r="AI43" s="22" t="inlineStr">
        <is>
          <t>Pass</t>
        </is>
      </c>
      <c r="AJ43" s="22" t="inlineStr">
        <is>
          <t>AVM house value ($722,940) is under $1.5M cap. Not a sale median.</t>
        </is>
      </c>
      <c r="AK43" s="22" t="inlineStr">
        <is>
          <t>SAL20111</t>
        </is>
      </c>
      <c r="AL43" s="32" t="n">
        <v>5378</v>
      </c>
      <c r="AM43" s="22" t="n">
        <v>41</v>
      </c>
      <c r="AN43" s="33" t="n">
        <v>0.187</v>
      </c>
      <c r="AO43" s="33" t="n">
        <v>0.13</v>
      </c>
      <c r="AP43" s="33" t="n">
        <v>0.05400000000000001</v>
      </c>
      <c r="AQ43" s="33" t="n">
        <v>0.018</v>
      </c>
      <c r="AR43" s="33" t="n">
        <v>0.019</v>
      </c>
      <c r="AS43" s="33" t="n">
        <v>0.011</v>
      </c>
      <c r="AT43" s="33" t="n">
        <v>0.006999999999999999</v>
      </c>
      <c r="AU43" s="33" t="n">
        <v>0.079</v>
      </c>
      <c r="AV43" s="22" t="inlineStr">
        <is>
          <t>Mandarin 0.8%; Punjabi 0.8%; Japanese 0.5%</t>
        </is>
      </c>
      <c r="AW43" s="22" t="inlineStr">
        <is>
          <t>ABS 2021 Census General Community Profile DataPack, Suburbs and Localities (SAL), Victoria (tables G01, G02, G08, G09, G13, G14); downloaded 27 Oct 2026 from abs.gov.au. Place of usual residence. CAVEAT: Ballarat Central locality only (CBD, pop 5,378), not the whole city.</t>
        </is>
      </c>
      <c r="AX43" s="22">
        <f>IF(AU43="","",IF(OR(AU43&gt;=0.5,AQ43&gt;=0.08),"High",IF(OR(AU43&gt;=0.3,AQ43&gt;=0.04),"Medium","Low")))</f>
        <v/>
      </c>
    </row>
    <row r="44" ht="15.75" customHeight="1" s="15">
      <c r="A44" s="18" t="inlineStr">
        <is>
          <t>Bendigo</t>
        </is>
      </c>
      <c r="B44" s="18" t="inlineStr">
        <is>
          <t>Central Victoria</t>
        </is>
      </c>
      <c r="C44" s="18" t="inlineStr">
        <is>
          <t>Watchlist</t>
        </is>
      </c>
      <c r="D44" s="18" t="inlineStr">
        <is>
          <t>Medium-High (Rosalind Park/bush)</t>
        </is>
      </c>
      <c r="E44" s="18" t="inlineStr">
        <is>
          <t>Low (Inland)</t>
        </is>
      </c>
      <c r="F44" s="18" t="inlineStr">
        <is>
          <t>Major regional city control with 24-hr ED</t>
        </is>
      </c>
      <c r="G44" s="18" t="n">
        <v>658696</v>
      </c>
      <c r="H44" s="18" t="inlineStr">
        <is>
          <t>AVM estimate (30 Sep 2026), NOT a verified sale median; unit $466,415; 197 sales in last 12m (OnTheHouse/Cotality, read 27 Oct 2026)</t>
        </is>
      </c>
      <c r="I44" s="18">
        <f>G44*(1+Settings!$B$6)</f>
        <v/>
      </c>
      <c r="J44" s="19" t="n">
        <v>140</v>
      </c>
      <c r="K44" s="19" t="n">
        <v>7</v>
      </c>
      <c r="L44" s="18" t="inlineStr">
        <is>
          <t>Fails: GW drive</t>
        </is>
      </c>
      <c r="M44" s="19" t="n"/>
      <c r="N44" s="19" t="n"/>
      <c r="O44" s="19">
        <f>IF(K44="","",ROUND(MAX(0,10*(1-K44/Filters!$B$5)),1))</f>
        <v/>
      </c>
      <c r="P44" s="19" t="n"/>
      <c r="Q44" s="19" t="n"/>
      <c r="R44" s="19" t="n"/>
      <c r="S44" s="19" t="n"/>
      <c r="T44" s="19" t="n"/>
      <c r="U44" s="19" t="n"/>
      <c r="V44" s="19" t="n"/>
      <c r="W44" s="18">
        <f>IF(M44="",0,COUNT(M44:V44))</f>
        <v/>
      </c>
      <c r="X44" s="18">
        <f>IF(W44&lt;10,"",M44*ForcedChoiceCorrections!$B$6+N44*ForcedChoiceCorrections!$B$7+O44*ForcedChoiceCorrections!$B$8+P44*ForcedChoiceCorrections!$B$9+Q44*ForcedChoiceCorrections!$B$10+R44*ForcedChoiceCorrections!$B$11+S44*ForcedChoiceCorrections!$B$12+T44*ForcedChoiceCorrections!$B$13+U44*ForcedChoiceCorrections!$B$14+V44*ForcedChoiceCorrections!$B$15)</f>
        <v/>
      </c>
      <c r="Y44" s="18">
        <f>IF(AND(ISNUMBER(SEARCH("pass",L44)),ISNUMBER(X44)),COUNTIFS(L$2:L$90,"*pass*",X$2:X$90,"&gt;"&amp;X44)+1,"")</f>
        <v/>
      </c>
      <c r="Z44" s="18" t="inlineStr">
        <is>
          <t>Bendigo Hospital documented 24-hr/365-day ED; test only if regional travel distance is acceptable. 27 Oct 2026 research pass: drive times/ED and/or AVM price added; L re-evaluated.</t>
        </is>
      </c>
      <c r="AA44" s="16" t="inlineStr">
        <is>
          <t>43. Bendigo | Central Victoria | Watchlist | P: Medium-High (Rosalind Park/bush) | Y: Low (Inland) | Lens: Major regional city control with 24-hr ED | Price: [Blank] | Basis: Not verified in report | Note: Bendigo Hospital documented 24-hr/365-day ED; test only if regional travel distance is acceptable.</t>
        </is>
      </c>
      <c r="AB44" s="22" t="inlineStr">
        <is>
          <t>Yes</t>
        </is>
      </c>
      <c r="AC44" s="22" t="inlineStr">
        <is>
          <t>Bendigo station, V/Line Bendigo line (recall; verify)</t>
        </is>
      </c>
      <c r="AD44" s="22" t="inlineStr">
        <is>
          <t>Bendigo Hospital ED (24-hr: recall (major regional ED)) (drive times: Google Maps leave-now, 27 Oct 2026 ~13:15–13:45 AEDT (midday, not peak), suburb name)</t>
        </is>
      </c>
      <c r="AE44" s="24" t="n">
        <v>1500000</v>
      </c>
      <c r="AF44" s="22" t="inlineStr">
        <is>
          <t>Maximum purchase price, excluding transaction and moving costs</t>
        </is>
      </c>
      <c r="AG44" s="22" t="inlineStr">
        <is>
          <t>AVM estimate</t>
        </is>
      </c>
      <c r="AH44" s="22" t="inlineStr">
        <is>
          <t>27 Oct 2026</t>
        </is>
      </c>
      <c r="AI44" s="22" t="inlineStr">
        <is>
          <t>Pass</t>
        </is>
      </c>
      <c r="AJ44" s="22" t="inlineStr">
        <is>
          <t>AVM house value ($658,696) is under $1.5M cap. Not a sale median.</t>
        </is>
      </c>
      <c r="AK44" s="22" t="inlineStr">
        <is>
          <t>SAL20208</t>
        </is>
      </c>
      <c r="AL44" s="32" t="n">
        <v>5652</v>
      </c>
      <c r="AM44" s="22" t="n">
        <v>43</v>
      </c>
      <c r="AN44" s="33" t="n">
        <v>0.206</v>
      </c>
      <c r="AO44" s="33" t="n">
        <v>0.126</v>
      </c>
      <c r="AP44" s="33" t="n">
        <v>0.049</v>
      </c>
      <c r="AQ44" s="33" t="n">
        <v>0.023</v>
      </c>
      <c r="AR44" s="33" t="n">
        <v>0.019</v>
      </c>
      <c r="AS44" s="33" t="n">
        <v>0.015</v>
      </c>
      <c r="AT44" s="33" t="n">
        <v>0.005</v>
      </c>
      <c r="AU44" s="33" t="n">
        <v>0.08400000000000001</v>
      </c>
      <c r="AV44" s="22" t="inlineStr">
        <is>
          <t>Mandarin 0.7%; Punjabi 0.6%; Malayalam 0.4%</t>
        </is>
      </c>
      <c r="AW44" s="22" t="inlineStr">
        <is>
          <t>ABS 2021 Census General Community Profile DataPack, Suburbs and Localities (SAL), Victoria (tables G01, G02, G08, G09, G13, G14); downloaded 27 Oct 2026 from abs.gov.au. Place of usual residence. CAVEAT: Bendigo locality (central, pop 5,652), not the whole city.</t>
        </is>
      </c>
      <c r="AX44" s="22">
        <f>IF(AU44="","",IF(OR(AU44&gt;=0.5,AQ44&gt;=0.08),"High",IF(OR(AU44&gt;=0.3,AQ44&gt;=0.04),"Medium","Low")))</f>
        <v/>
      </c>
    </row>
    <row r="45" ht="15.75" customHeight="1" s="15">
      <c r="A45" s="18" t="inlineStr">
        <is>
          <t>Dromana</t>
        </is>
      </c>
      <c r="B45" s="18" t="inlineStr">
        <is>
          <t>Mornington Peninsula</t>
        </is>
      </c>
      <c r="C45" s="18" t="inlineStr">
        <is>
          <t>Watchlist</t>
        </is>
      </c>
      <c r="D45" s="18" t="inlineStr">
        <is>
          <t>Medium (Arthurs Seat backdrop)</t>
        </is>
      </c>
      <c r="E45" s="18" t="inlineStr">
        <is>
          <t>High (Bay beach)</t>
        </is>
      </c>
      <c r="F45" s="18" t="inlineStr">
        <is>
          <t>Further-south Peninsula coastal comparator</t>
        </is>
      </c>
      <c r="G45" s="18" t="n">
        <v>906318</v>
      </c>
      <c r="H45" s="18" t="inlineStr">
        <is>
          <t>AVM estimate (30 Sep 2026), NOT a verified sale median; unit $705,984 (OnTheHouse/Cotality)</t>
        </is>
      </c>
      <c r="I45" s="18">
        <f>G45*(1+Settings!$B$6)</f>
        <v/>
      </c>
      <c r="J45" s="19" t="n">
        <v>47</v>
      </c>
      <c r="K45" s="19" t="n">
        <v>11</v>
      </c>
      <c r="L45" s="18" t="inlineStr">
        <is>
          <t>Provisional pass</t>
        </is>
      </c>
      <c r="M45" s="19">
        <f>IF(J45="","",ROUND(MAX(0,10*(1-J45/Filters!$B$4)),1))</f>
        <v/>
      </c>
      <c r="N45" s="19" t="n">
        <v>7</v>
      </c>
      <c r="O45" s="19">
        <f>IF(K45="","",ROUND(MAX(0,10*(1-K45/Filters!$B$5)),1))</f>
        <v/>
      </c>
      <c r="P45" s="19" t="n">
        <v>2</v>
      </c>
      <c r="Q45" s="19" t="n">
        <v>6</v>
      </c>
      <c r="R45" s="19" t="n">
        <v>6</v>
      </c>
      <c r="S45" s="19" t="n">
        <v>2</v>
      </c>
      <c r="T45" s="19">
        <f>IF(G45="","",ROUND(MAX(0,MIN(10,10*(Filters!$B$2-G45)/(Filters!$B$2-500000))),1))</f>
        <v/>
      </c>
      <c r="U45" s="19" t="n">
        <v>9</v>
      </c>
      <c r="V45" s="19" t="n">
        <v>2</v>
      </c>
      <c r="W45" s="18">
        <f>IF(M45="",0,COUNT(M45:V45))</f>
        <v/>
      </c>
      <c r="X45" s="18">
        <f>IF(W45&lt;10,"",M45*ForcedChoiceCorrections!$B$6+N45*ForcedChoiceCorrections!$B$7+O45*ForcedChoiceCorrections!$B$8+P45*ForcedChoiceCorrections!$B$9+Q45*ForcedChoiceCorrections!$B$10+R45*ForcedChoiceCorrections!$B$11+S45*ForcedChoiceCorrections!$B$12+T45*ForcedChoiceCorrections!$B$13+U45*ForcedChoiceCorrections!$B$14+V45*ForcedChoiceCorrections!$B$15)</f>
        <v/>
      </c>
      <c r="Y45" s="18">
        <f>IF(AND(ISNUMBER(SEARCH("pass",L45)),ISNUMBER(X45)),COUNTIFS(L$2:L$90,"*pass*",X$2:X$90,"&gt;"&amp;X45)+1,"")</f>
        <v/>
      </c>
      <c r="Z45" s="18" t="inlineStr">
        <is>
          <t>Compare Rosebud vs Frankston ED access and year-round vs holiday-town feel. 27 Oct 2026: drive times, ED and AVM price added. ED: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6,626; seaside suburb ~58 km S of Melbourne between Safety Beach, Rosebud and Red Hill; Arthurs Seat, the Peninsula's highest point, overlooks it [Wikipedia Dromana; Victorian Places]. Beach and pier [Victorian Places]; U 9 consistent. Nature: bay plus the Arthurs Seat backdrop; N 7 consistent. Village: historic local centre (pier 1862, Dromana Hotel 1857, heritage-listed Heronswood garden) [Victorian Places]; R 6 consistent. Train: no station named; S 2 consistent. Indian community: India-born 0.3%, Hinduism 0.2% [ABS 2021 GCP SAL20788]; P 2 generous (1 arguable). Older area: median age 50, 29.1% aged 65+ [ABS]. City trip: ~58 km, no rail; V 2 consistent. NOT checked: GPs, supermarket, bus. Scores unchanged.</t>
        </is>
      </c>
      <c r="AA45" s="16" t="inlineStr">
        <is>
          <t>44. Dromana | Mornington Peninsula | Watchlist | P: Medium (Arthurs Seat backdrop) | Y: High (Bay beach) | Lens: Further-south Peninsula coastal comparator | Price: [Blank] | Basis: Not verified in report | Note: Compare Rosebud vs Frankston ED access and year-round vs holiday-town feel.</t>
        </is>
      </c>
      <c r="AB45" s="22" t="inlineStr">
        <is>
          <t>No</t>
        </is>
      </c>
      <c r="AC45" s="22" t="inlineStr">
        <is>
          <t>No passenger rail on the Peninsula south of Frankston (recall; verify)</t>
        </is>
      </c>
      <c r="AD45" s="22" t="inlineStr">
        <is>
          <t>Rosebud Hospital ED (drive times: Google Maps leave-now 27 Oct 2026, suburb name not postcode, not peak)</t>
        </is>
      </c>
      <c r="AE45" s="24" t="n">
        <v>1500000</v>
      </c>
      <c r="AF45" s="22" t="inlineStr">
        <is>
          <t>Maximum purchase price, excluding transaction and moving costs</t>
        </is>
      </c>
      <c r="AG45" s="22" t="inlineStr">
        <is>
          <t>AVM estimate</t>
        </is>
      </c>
      <c r="AH45" s="22" t="inlineStr">
        <is>
          <t>27 Oct 2026</t>
        </is>
      </c>
      <c r="AI45" s="22" t="inlineStr">
        <is>
          <t>Pass</t>
        </is>
      </c>
      <c r="AJ45" s="22" t="inlineStr">
        <is>
          <t>AVM house value ($906,318) is under $1.5M cap. Not a sale median.</t>
        </is>
      </c>
      <c r="AK45" s="22" t="inlineStr">
        <is>
          <t>SAL20788</t>
        </is>
      </c>
      <c r="AL45" s="32" t="n">
        <v>6626</v>
      </c>
      <c r="AM45" s="22" t="n">
        <v>50</v>
      </c>
      <c r="AN45" s="33" t="n">
        <v>0.291</v>
      </c>
      <c r="AO45" s="33" t="n">
        <v>0.172</v>
      </c>
      <c r="AP45" s="33" t="n">
        <v>0.08900000000000001</v>
      </c>
      <c r="AQ45" s="33" t="n">
        <v>0.003</v>
      </c>
      <c r="AR45" s="33" t="n">
        <v>0.004</v>
      </c>
      <c r="AS45" s="33" t="n">
        <v>0.002</v>
      </c>
      <c r="AT45" s="33" t="n">
        <v>0.001</v>
      </c>
      <c r="AU45" s="33" t="n">
        <v>0.092</v>
      </c>
      <c r="AV45" s="22" t="inlineStr">
        <is>
          <t>Greek 3.3%; Italian 1.8%; Spanish 0.4%</t>
        </is>
      </c>
      <c r="AW4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45" s="22">
        <f>IF(AU45="","",IF(OR(AU45&gt;=0.5,AQ45&gt;=0.08),"High",IF(OR(AU45&gt;=0.3,AQ45&gt;=0.04),"Medium","Low")))</f>
        <v/>
      </c>
    </row>
    <row r="46" ht="15.75" customHeight="1" s="15">
      <c r="A46" s="18" t="inlineStr">
        <is>
          <t>Castlemaine</t>
        </is>
      </c>
      <c r="B46" s="18" t="inlineStr">
        <is>
          <t>Central Victoria</t>
        </is>
      </c>
      <c r="C46" s="18" t="inlineStr">
        <is>
          <t>Watchlist</t>
        </is>
      </c>
      <c r="D46" s="18" t="inlineStr">
        <is>
          <t>High (Box-Ironbark bush/arts)</t>
        </is>
      </c>
      <c r="E46" s="18" t="inlineStr">
        <is>
          <t>Low (Inland)</t>
        </is>
      </c>
      <c r="F46" s="18" t="inlineStr">
        <is>
          <t>Historic country town on Bendigo V/Line</t>
        </is>
      </c>
      <c r="G46" s="18" t="n">
        <v>747758</v>
      </c>
      <c r="H46" s="18" t="inlineStr">
        <is>
          <t>AVM estimate (30 Sep 2026), NOT a verified sale median; unit $531,635; 188 sales in last 12m (OnTheHouse/Cotality, read 27 Oct 2026)</t>
        </is>
      </c>
      <c r="I46" s="18">
        <f>G46*(1+Settings!$B$6)</f>
        <v/>
      </c>
      <c r="J46" s="19" t="n">
        <v>114</v>
      </c>
      <c r="K46" s="19" t="n">
        <v>36</v>
      </c>
      <c r="L46" s="18" t="inlineStr">
        <is>
          <t>Fails: GW drive</t>
        </is>
      </c>
      <c r="M46" s="19" t="n"/>
      <c r="N46" s="19" t="n"/>
      <c r="O46" s="19">
        <f>IF(K46="","",ROUND(MAX(0,10*(1-K46/Filters!$B$5)),1))</f>
        <v/>
      </c>
      <c r="P46" s="19" t="n"/>
      <c r="Q46" s="19" t="n"/>
      <c r="R46" s="19" t="n"/>
      <c r="S46" s="19" t="n"/>
      <c r="T46" s="19" t="n"/>
      <c r="U46" s="19" t="n"/>
      <c r="V46" s="19" t="n"/>
      <c r="W46" s="18">
        <f>IF(M46="",0,COUNT(M46:V46))</f>
        <v/>
      </c>
      <c r="X46" s="18">
        <f>IF(W46&lt;10,"",M46*ForcedChoiceCorrections!$B$6+N46*ForcedChoiceCorrections!$B$7+O46*ForcedChoiceCorrections!$B$8+P46*ForcedChoiceCorrections!$B$9+Q46*ForcedChoiceCorrections!$B$10+R46*ForcedChoiceCorrections!$B$11+S46*ForcedChoiceCorrections!$B$12+T46*ForcedChoiceCorrections!$B$13+U46*ForcedChoiceCorrections!$B$14+V46*ForcedChoiceCorrections!$B$15)</f>
        <v/>
      </c>
      <c r="Y46" s="18">
        <f>IF(AND(ISNUMBER(SEARCH("pass",L46)),ISNUMBER(X46)),COUNTIFS(L$2:L$90,"*pass*",X$2:X$90,"&gt;"&amp;X46)+1,"")</f>
        <v/>
      </c>
      <c r="Z46" s="18" t="inlineStr">
        <is>
          <t>Do not assume local health service equals a major 24-hr ED; Bendigo ED is reference point. 27 Oct 2026 research pass: drive times/ED and/or AVM price added; L re-evaluated.</t>
        </is>
      </c>
      <c r="AA46" s="16" t="inlineStr">
        <is>
          <t>45. Castlemaine | Central Victoria | Watchlist | P: High (Box-Ironbark bush/arts) | Y: Low (Inland) | Lens: Historic country town on Bendigo V/Line | Price: [Blank] | Basis: Not verified in report | Note: Do not assume local health service equals a major 24-hr ED; Bendigo ED is reference point.</t>
        </is>
      </c>
      <c r="AB46" s="22" t="inlineStr">
        <is>
          <t>Yes</t>
        </is>
      </c>
      <c r="AC46" s="22" t="inlineStr">
        <is>
          <t>Castlemaine station, V/Line Bendigo line (recall; verify)</t>
        </is>
      </c>
      <c r="AD46" s="22" t="inlineStr">
        <is>
          <t>Bendigo Hospital ED (24-hr: recall (major regional ED); local Castlemaine Health not treated as ED. Origin: Castlemaine Town Hall) (drive times: Google Maps leave-now, 27 Oct 2026 ~13:15–13:45 AEDT (midday, not peak), suburb name)</t>
        </is>
      </c>
      <c r="AE46" s="24" t="n">
        <v>1500000</v>
      </c>
      <c r="AF46" s="22" t="inlineStr">
        <is>
          <t>Maximum purchase price, excluding transaction and moving costs</t>
        </is>
      </c>
      <c r="AG46" s="22" t="inlineStr">
        <is>
          <t>AVM estimate</t>
        </is>
      </c>
      <c r="AH46" s="22" t="inlineStr">
        <is>
          <t>27 Oct 2026</t>
        </is>
      </c>
      <c r="AI46" s="22" t="inlineStr">
        <is>
          <t>Pass</t>
        </is>
      </c>
      <c r="AJ46" s="22" t="inlineStr">
        <is>
          <t>AVM house value ($747,758) is under $1.5M cap. Not a sale median.</t>
        </is>
      </c>
      <c r="AK46" s="22" t="inlineStr">
        <is>
          <t>SAL20516</t>
        </is>
      </c>
      <c r="AL46" s="32" t="n">
        <v>7506</v>
      </c>
      <c r="AM46" s="22" t="n">
        <v>52</v>
      </c>
      <c r="AN46" s="33" t="n">
        <v>0.322</v>
      </c>
      <c r="AO46" s="33" t="n">
        <v>0.144</v>
      </c>
      <c r="AP46" s="33" t="n">
        <v>0.07200000000000001</v>
      </c>
      <c r="AQ46" s="33" t="n">
        <v>0.005</v>
      </c>
      <c r="AR46" s="33" t="n">
        <v>0.005</v>
      </c>
      <c r="AS46" s="33" t="n">
        <v>0.003</v>
      </c>
      <c r="AT46" s="33" t="n">
        <v>0.001</v>
      </c>
      <c r="AU46" s="33" t="n">
        <v>0.04</v>
      </c>
      <c r="AV46" s="22" t="inlineStr">
        <is>
          <t>German 0.5%; Spanish 0.4%; French 0.3%</t>
        </is>
      </c>
      <c r="AW4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46" s="22">
        <f>IF(AU46="","",IF(OR(AU46&gt;=0.5,AQ46&gt;=0.08),"High",IF(OR(AU46&gt;=0.3,AQ46&gt;=0.04),"Medium","Low")))</f>
        <v/>
      </c>
    </row>
    <row r="47" ht="15.75" customHeight="1" s="15">
      <c r="A47" s="18" t="inlineStr">
        <is>
          <t>Wonthaggi</t>
        </is>
      </c>
      <c r="B47" s="18" t="inlineStr">
        <is>
          <t>Bass Coast</t>
        </is>
      </c>
      <c r="C47" s="18" t="inlineStr">
        <is>
          <t>Watchlist</t>
        </is>
      </c>
      <c r="D47" s="18" t="inlineStr">
        <is>
          <t>Medium (Coastal hinterland)</t>
        </is>
      </c>
      <c r="E47" s="18" t="inlineStr">
        <is>
          <t>High (Near Bass Coast)</t>
        </is>
      </c>
      <c r="F47" s="18" t="inlineStr">
        <is>
          <t>Coastal Gippsland service-centre comparator</t>
        </is>
      </c>
      <c r="G47" s="18" t="n">
        <v>587666</v>
      </c>
      <c r="H47" s="18" t="inlineStr">
        <is>
          <t>AVM estimate (30 Sep 2026), NOT a verified sale median; unit $427,703; 206 sales in last 12m (OnTheHouse/Cotality, read 27 Oct 2026)</t>
        </is>
      </c>
      <c r="I47" s="18">
        <f>G47*(1+Settings!$B$6)</f>
        <v/>
      </c>
      <c r="J47" s="19" t="n">
        <v>88</v>
      </c>
      <c r="K47" s="19" t="n">
        <v>3</v>
      </c>
      <c r="L47" s="18" t="inlineStr">
        <is>
          <t>Provisional pass</t>
        </is>
      </c>
      <c r="M47" s="19">
        <f>IF(J47="","",ROUND(MAX(0,10*(1-J47/Filters!$B$4)),1))</f>
        <v/>
      </c>
      <c r="N47" s="19" t="n">
        <v>6</v>
      </c>
      <c r="O47" s="19">
        <f>IF(K47="","",ROUND(MAX(0,10*(1-K47/Filters!$B$5)),1))</f>
        <v/>
      </c>
      <c r="P47" s="19" t="n">
        <v>1</v>
      </c>
      <c r="Q47" s="19" t="n">
        <v>7</v>
      </c>
      <c r="R47" s="19" t="n">
        <v>5</v>
      </c>
      <c r="S47" s="19" t="n">
        <v>1</v>
      </c>
      <c r="T47" s="19">
        <f>IF(G47="","",ROUND(MAX(0,MIN(10,10*(Filters!$B$2-G47)/(Filters!$B$2-500000))),1))</f>
        <v/>
      </c>
      <c r="U47" s="19" t="n">
        <v>6</v>
      </c>
      <c r="V47" s="19" t="n">
        <v>1</v>
      </c>
      <c r="W47" s="18">
        <f>IF(M47="",0,COUNT(M47:V47))</f>
        <v/>
      </c>
      <c r="X47" s="18">
        <f>IF(W47&lt;10,"",M47*ForcedChoiceCorrections!$B$6+N47*ForcedChoiceCorrections!$B$7+O47*ForcedChoiceCorrections!$B$8+P47*ForcedChoiceCorrections!$B$9+Q47*ForcedChoiceCorrections!$B$10+R47*ForcedChoiceCorrections!$B$11+S47*ForcedChoiceCorrections!$B$12+T47*ForcedChoiceCorrections!$B$13+U47*ForcedChoiceCorrections!$B$14+V47*ForcedChoiceCorrections!$B$15)</f>
        <v/>
      </c>
      <c r="Y47" s="18">
        <f>IF(AND(ISNUMBER(SEARCH("pass",L47)),ISNUMBER(X47)),COUNTIFS(L$2:L$90,"*pass*",X$2:X$90,"&gt;"&amp;X47)+1,"")</f>
        <v/>
      </c>
      <c r="Z47" s="18" t="inlineStr">
        <is>
          <t>Bass Coast Health Wonthaggi Hospital; verify ED capability &amp; GW travel time before promoting.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GW drive 88 min, 2 min under cap. | CHECKED 27 Oct 2026, source run C1 (suburb level; Wikipedia, Victorian Places, ABS 2021 GCP DataPack). Pop 5,215; 132 km SE of Melbourne by road (110 km straight line) between Western Port and Wilsons Promontory; largest town in South Gippsland [Wikipedia Wonthaggi; Victorian Places]. Shops: 'many large chain stores ... four major supermarkets, cafes, restaurants, pubs ... a hospital' [Wikipedia]; Q 7 consistent (8 arguable). Village: former coal-mining town, Union Community Arts Centre [Wikipedia]; R 5 consistent. Nature: coastal setting, Bunurong Marine and Coastal Park to the SE [Wikipedia]; N 6 consistent. Beach: town is inland; nearest coast Cape Paterson (not measured); U 6 plausible. Train: none (old Hicksborough station gone) [Victorian Places]; S 1 consistent. Indian community: India-born 0.8%, Hinduism 0.7% [ABS 2021 GCP SAL22829]; P 1 consistent. Oldest population on the list: median age 55, 35.2% aged 65+ [ABS]. City trip: 132 km road, no rail; V 1 consistent. NOT checked: GPs, beach distance. Scores unchanged.</t>
        </is>
      </c>
      <c r="AA47" s="16" t="inlineStr">
        <is>
          <t>46. Wonthaggi | Bass Coast | Watchlist | P: Medium (Coastal hinterland) | Y: High (Near Bass Coast) | Lens: Coastal Gippsland service-centre comparator | Price: [Blank] | Basis: Not verified in report | Note: Bass Coast Health Wonthaggi Hospital; verify ED capability &amp; GW travel time before promoting.</t>
        </is>
      </c>
      <c r="AB47" s="22" t="inlineStr">
        <is>
          <t>No</t>
        </is>
      </c>
      <c r="AC47" s="22" t="inlineStr">
        <is>
          <t>No passenger rail (recall; verify)</t>
        </is>
      </c>
      <c r="AD47" s="22" t="inlineStr">
        <is>
          <t>Wonthaggi Hospital ED (24-hr: verified, healthdirect) (drive times: Google Maps leave-now, 27 Oct 2026 ~13:15–13:45 AEDT (midday, not peak), suburb name)</t>
        </is>
      </c>
      <c r="AE47" s="24" t="n">
        <v>1500000</v>
      </c>
      <c r="AF47" s="22" t="inlineStr">
        <is>
          <t>Maximum purchase price, excluding transaction and moving costs</t>
        </is>
      </c>
      <c r="AG47" s="22" t="inlineStr">
        <is>
          <t>AVM estimate</t>
        </is>
      </c>
      <c r="AH47" s="22" t="inlineStr">
        <is>
          <t>27 Oct 2026</t>
        </is>
      </c>
      <c r="AI47" s="22" t="inlineStr">
        <is>
          <t>Pass</t>
        </is>
      </c>
      <c r="AJ47" s="22" t="inlineStr">
        <is>
          <t>AVM house value ($587,666) is under $1.5M cap. Not a sale median.</t>
        </is>
      </c>
      <c r="AK47" s="22" t="inlineStr">
        <is>
          <t>SAL22829</t>
        </is>
      </c>
      <c r="AL47" s="32" t="n">
        <v>5215</v>
      </c>
      <c r="AM47" s="22" t="n">
        <v>55</v>
      </c>
      <c r="AN47" s="33" t="n">
        <v>0.352</v>
      </c>
      <c r="AO47" s="33" t="n">
        <v>0.145</v>
      </c>
      <c r="AP47" s="33" t="n">
        <v>0.081</v>
      </c>
      <c r="AQ47" s="33" t="n">
        <v>0.008</v>
      </c>
      <c r="AR47" s="33" t="n">
        <v>0.011</v>
      </c>
      <c r="AS47" s="33" t="n">
        <v>0.006999999999999999</v>
      </c>
      <c r="AT47" s="33" t="n">
        <v>0.001</v>
      </c>
      <c r="AU47" s="33" t="n">
        <v>0.049</v>
      </c>
      <c r="AV47" s="22" t="inlineStr">
        <is>
          <t>Italian 0.9%; Malayalam 0.6%; German 0.3%</t>
        </is>
      </c>
      <c r="AW47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47" s="22">
        <f>IF(AU47="","",IF(OR(AU47&gt;=0.5,AQ47&gt;=0.08),"High",IF(OR(AU47&gt;=0.3,AQ47&gt;=0.04),"Medium","Low")))</f>
        <v/>
      </c>
    </row>
    <row r="48" ht="15.75" customHeight="1" s="15">
      <c r="A48" s="18" t="inlineStr">
        <is>
          <t>Inverloch</t>
        </is>
      </c>
      <c r="B48" s="18" t="inlineStr">
        <is>
          <t>Bass Coast</t>
        </is>
      </c>
      <c r="C48" s="18" t="inlineStr">
        <is>
          <t>Watchlist</t>
        </is>
      </c>
      <c r="D48" s="18" t="inlineStr">
        <is>
          <t>Medium (Screw Creek/foreshore)</t>
        </is>
      </c>
      <c r="E48" s="18" t="inlineStr">
        <is>
          <t>High (Inlet &amp; surf beach)</t>
        </is>
      </c>
      <c r="F48" s="18" t="inlineStr">
        <is>
          <t>Coastal Gippsland lifestyle counterpart to Wonthaggi</t>
        </is>
      </c>
      <c r="G48" s="18" t="n">
        <v>823858</v>
      </c>
      <c r="H48" s="18" t="inlineStr">
        <is>
          <t>AVM estimate (30 Sep 2026), NOT a verified sale median; unit $523,497; 199 sales in last 12m (OnTheHouse/Cotality, read 27 Oct 2026)</t>
        </is>
      </c>
      <c r="I48" s="18">
        <f>G48*(1+Settings!$B$6)</f>
        <v/>
      </c>
      <c r="J48" s="19" t="n">
        <v>96</v>
      </c>
      <c r="K48" s="19" t="n">
        <v>15</v>
      </c>
      <c r="L48" s="18" t="inlineStr">
        <is>
          <t>Fails: GW drive</t>
        </is>
      </c>
      <c r="M48" s="19" t="n"/>
      <c r="N48" s="19" t="n"/>
      <c r="O48" s="19">
        <f>IF(K48="","",ROUND(MAX(0,10*(1-K48/Filters!$B$5)),1))</f>
        <v/>
      </c>
      <c r="P48" s="19" t="n"/>
      <c r="Q48" s="19" t="n"/>
      <c r="R48" s="19" t="n"/>
      <c r="S48" s="19" t="n"/>
      <c r="T48" s="19" t="n"/>
      <c r="U48" s="19" t="n"/>
      <c r="V48" s="19" t="n"/>
      <c r="W48" s="18">
        <f>IF(M48="",0,COUNT(M48:V48))</f>
        <v/>
      </c>
      <c r="X48" s="18">
        <f>IF(W48&lt;10,"",M48*ForcedChoiceCorrections!$B$6+N48*ForcedChoiceCorrections!$B$7+O48*ForcedChoiceCorrections!$B$8+P48*ForcedChoiceCorrections!$B$9+Q48*ForcedChoiceCorrections!$B$10+R48*ForcedChoiceCorrections!$B$11+S48*ForcedChoiceCorrections!$B$12+T48*ForcedChoiceCorrections!$B$13+U48*ForcedChoiceCorrections!$B$14+V48*ForcedChoiceCorrections!$B$15)</f>
        <v/>
      </c>
      <c r="Y48" s="18">
        <f>IF(AND(ISNUMBER(SEARCH("pass",L48)),ISNUMBER(X48)),COUNTIFS(L$2:L$90,"*pass*",X$2:X$90,"&gt;"&amp;X48)+1,"")</f>
        <v/>
      </c>
      <c r="Z48" s="18" t="inlineStr">
        <is>
          <t>Shared pathway &amp; inlet walks; no passenger rail; verify Wonthaggi/Latrobe ED drive. 27 Oct 2026 research pass: drive times/ED and/or AVM price added; L re-evaluated.</t>
        </is>
      </c>
      <c r="AA48" s="16" t="inlineStr">
        <is>
          <t>47. Inverloch | Bass Coast | Watchlist | P: Medium (Screw Creek/foreshore) | Y: High (Inlet &amp; surf beach) | Lens: Coastal Gippsland lifestyle counterpart to Wonthaggi | Price: [Blank] | Basis: Not verified in report | Note: Shared pathway &amp; inlet walks; no passenger rail; verify Wonthaggi/Latrobe ED drive.</t>
        </is>
      </c>
      <c r="AB48" s="22" t="inlineStr">
        <is>
          <t>No</t>
        </is>
      </c>
      <c r="AC48" s="22" t="inlineStr">
        <is>
          <t>No passenger rail (recall; verify)</t>
        </is>
      </c>
      <c r="AD48" s="22" t="inlineStr">
        <is>
          <t>Wonthaggi Hospital ED (24-hr: verified, healthdirect) (drive times: Google Maps leave-now, 27 Oct 2026 ~13:15–13:45 AEDT (midday, not peak), suburb name)</t>
        </is>
      </c>
      <c r="AE48" s="24" t="n">
        <v>1500000</v>
      </c>
      <c r="AF48" s="22" t="inlineStr">
        <is>
          <t>Maximum purchase price, excluding transaction and moving costs</t>
        </is>
      </c>
      <c r="AG48" s="22" t="inlineStr">
        <is>
          <t>AVM estimate</t>
        </is>
      </c>
      <c r="AH48" s="22" t="inlineStr">
        <is>
          <t>27 Oct 2026</t>
        </is>
      </c>
      <c r="AI48" s="22" t="inlineStr">
        <is>
          <t>Pass</t>
        </is>
      </c>
      <c r="AJ48" s="22" t="inlineStr">
        <is>
          <t>AVM house value ($823,858) is under $1.5M cap. Not a sale median.</t>
        </is>
      </c>
      <c r="AK48" s="22" t="inlineStr">
        <is>
          <t>SAL21235</t>
        </is>
      </c>
      <c r="AL48" s="32" t="n">
        <v>6526</v>
      </c>
      <c r="AM48" s="22" t="n">
        <v>54</v>
      </c>
      <c r="AN48" s="33" t="n">
        <v>0.346</v>
      </c>
      <c r="AO48" s="33" t="n">
        <v>0.133</v>
      </c>
      <c r="AP48" s="33" t="n">
        <v>0.052</v>
      </c>
      <c r="AQ48" s="33" t="n">
        <v>0.003</v>
      </c>
      <c r="AR48" s="33" t="n">
        <v>0.002</v>
      </c>
      <c r="AS48" s="33" t="n">
        <v>0.002</v>
      </c>
      <c r="AT48" s="33" t="n">
        <v>0.001</v>
      </c>
      <c r="AU48" s="33" t="n">
        <v>0.04</v>
      </c>
      <c r="AV48" s="22" t="inlineStr">
        <is>
          <t>Italian 0.7%; German 0.3%; Mandarin 0.3%</t>
        </is>
      </c>
      <c r="AW4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48" s="22">
        <f>IF(AU48="","",IF(OR(AU48&gt;=0.5,AQ48&gt;=0.08),"High",IF(OR(AU48&gt;=0.3,AQ48&gt;=0.04),"Medium","Low")))</f>
        <v/>
      </c>
    </row>
    <row r="49" ht="15.75" customHeight="1" s="15">
      <c r="A49" s="18" t="inlineStr">
        <is>
          <t>[SYNTHETIC TEST — Ringwood Leafy Pocket]</t>
        </is>
      </c>
      <c r="B49" s="18" t="inlineStr">
        <is>
          <t>East Melbourne</t>
        </is>
      </c>
      <c r="C49" s="18" t="inlineStr">
        <is>
          <t>Synthetic Test</t>
        </is>
      </c>
      <c r="D49" s="18" t="inlineStr">
        <is>
          <t>Medium-High</t>
        </is>
      </c>
      <c r="E49" s="18" t="inlineStr">
        <is>
          <t>Low</t>
        </is>
      </c>
      <c r="F49" s="18" t="inlineStr">
        <is>
          <t>Synthetic test row verifying Pass &amp; Rank math</t>
        </is>
      </c>
      <c r="G49" s="18" t="n">
        <v>1045000</v>
      </c>
      <c r="H49" s="18" t="inlineStr">
        <is>
          <t>Synthetic test row (clear before live use)</t>
        </is>
      </c>
      <c r="I49" s="18" t="n">
        <v>1107700</v>
      </c>
      <c r="J49" s="19" t="n">
        <v>18</v>
      </c>
      <c r="K49" s="19" t="n">
        <v>12</v>
      </c>
      <c r="L49" s="18" t="inlineStr">
        <is>
          <t>Excluded: test row</t>
        </is>
      </c>
      <c r="M49" s="19" t="n">
        <v>7</v>
      </c>
      <c r="N49" s="19" t="n">
        <v>8</v>
      </c>
      <c r="O49" s="19" t="n">
        <v>7</v>
      </c>
      <c r="P49" s="19" t="n">
        <v>2</v>
      </c>
      <c r="Q49" s="19" t="n">
        <v>9</v>
      </c>
      <c r="R49" s="19" t="n">
        <v>9</v>
      </c>
      <c r="S49" s="19" t="n">
        <v>8</v>
      </c>
      <c r="T49" s="19" t="n">
        <v>6</v>
      </c>
      <c r="U49" s="19" t="n">
        <v>8</v>
      </c>
      <c r="V49" s="19" t="n">
        <v>8</v>
      </c>
      <c r="W49" s="18">
        <f>IF(M49="",0,COUNT(M49:V49))</f>
        <v/>
      </c>
      <c r="X49" s="18">
        <f>IF(W49&lt;10,"",M49*ForcedChoiceCorrections!$B$6+N49*ForcedChoiceCorrections!$B$7+O49*ForcedChoiceCorrections!$B$8+P49*ForcedChoiceCorrections!$B$9+Q49*ForcedChoiceCorrections!$B$10+R49*ForcedChoiceCorrections!$B$11+S49*ForcedChoiceCorrections!$B$12+T49*ForcedChoiceCorrections!$B$13+U49*ForcedChoiceCorrections!$B$14+V49*ForcedChoiceCorrections!$B$15)</f>
        <v/>
      </c>
      <c r="Y49" s="18">
        <f>IF(AND(ISNUMBER(SEARCH("pass",L49)),ISNUMBER(X49)),COUNTIFS(L$2:L$90,"*pass*",X$2:X$90,"&gt;"&amp;X49)+1,"")</f>
        <v/>
      </c>
      <c r="Z49" s="18" t="inlineStr">
        <is>
          <t>[SYNTHETIC TEST] Demonstrates 'Pass' &amp; Rank #1 when drive times &amp; 0-10 scores are entered.</t>
        </is>
      </c>
      <c r="AA49" s="16" t="inlineStr">
        <is>
          <t>48. [SYNTHETIC TEST — Ringwood Leafy Pocket] | East Melbourne | Synthetic Test | P: Medium-High | Y: Low | Lens: Synthetic test row verifying Pass &amp; Rank math | Price: 1045000 | Basis: Synthetic test row (clear before live use) | Note: [SYNTHETIC TEST] Demonstrates 'Pass' &amp; Rank #1 when drive times &amp; 0-10 scores are entered.</t>
        </is>
      </c>
      <c r="AE49" s="24" t="n">
        <v>1500000</v>
      </c>
      <c r="AF49" s="22" t="inlineStr">
        <is>
          <t>Maximum purchase price, excluding transaction and moving costs</t>
        </is>
      </c>
      <c r="AG49" s="22" t="inlineStr">
        <is>
          <t>Benchmark synthetic price</t>
        </is>
      </c>
      <c r="AH49" s="22" t="inlineStr">
        <is>
          <t>26 Oct 2026</t>
        </is>
      </c>
      <c r="AI49" s="22" t="inlineStr">
        <is>
          <t>Pass</t>
        </is>
      </c>
      <c r="AJ49" s="22" t="inlineStr">
        <is>
          <t>Synthetic test calibration model.</t>
        </is>
      </c>
      <c r="AW49" s="22" t="inlineStr">
        <is>
          <t>Excluded test row: no demography.</t>
        </is>
      </c>
    </row>
    <row r="50" ht="15.75" customHeight="1" s="15">
      <c r="A50" s="18" t="inlineStr">
        <is>
          <t>[SYNTHETIC TEST — Ocean Grove Woodland Pocket]</t>
        </is>
      </c>
      <c r="B50" s="18" t="inlineStr">
        <is>
          <t>Bellarine Peninsula</t>
        </is>
      </c>
      <c r="C50" s="18" t="inlineStr">
        <is>
          <t>Synthetic Test</t>
        </is>
      </c>
      <c r="D50" s="18" t="inlineStr">
        <is>
          <t>Medium-High</t>
        </is>
      </c>
      <c r="E50" s="18" t="inlineStr">
        <is>
          <t>High</t>
        </is>
      </c>
      <c r="F50" s="18" t="inlineStr">
        <is>
          <t>Synthetic test row verifying coastal vs GW filter</t>
        </is>
      </c>
      <c r="G50" s="18" t="n">
        <v>980000</v>
      </c>
      <c r="H50" s="18" t="inlineStr">
        <is>
          <t>Synthetic test row (clear before live use)</t>
        </is>
      </c>
      <c r="I50" s="18" t="n">
        <v>1038800</v>
      </c>
      <c r="J50" s="19" t="n">
        <v>24</v>
      </c>
      <c r="K50" s="19" t="n">
        <v>19</v>
      </c>
      <c r="L50" s="18" t="inlineStr">
        <is>
          <t>Excluded: test row</t>
        </is>
      </c>
      <c r="M50" s="19" t="n">
        <v>9</v>
      </c>
      <c r="N50" s="19" t="n">
        <v>5</v>
      </c>
      <c r="O50" s="19" t="n">
        <v>4</v>
      </c>
      <c r="P50" s="19" t="n">
        <v>10</v>
      </c>
      <c r="Q50" s="19" t="n">
        <v>7</v>
      </c>
      <c r="R50" s="19" t="n">
        <v>5</v>
      </c>
      <c r="S50" s="19" t="n">
        <v>7</v>
      </c>
      <c r="T50" s="19" t="n">
        <v>8</v>
      </c>
      <c r="U50" s="19" t="n">
        <v>9</v>
      </c>
      <c r="V50" s="19" t="n">
        <v>5</v>
      </c>
      <c r="W50" s="18">
        <f>IF(M50="",0,COUNT(M50:V50))</f>
        <v/>
      </c>
      <c r="X50" s="18">
        <f>IF(W50&lt;10,"",M50*ForcedChoiceCorrections!$B$6+N50*ForcedChoiceCorrections!$B$7+O50*ForcedChoiceCorrections!$B$8+P50*ForcedChoiceCorrections!$B$9+Q50*ForcedChoiceCorrections!$B$10+R50*ForcedChoiceCorrections!$B$11+S50*ForcedChoiceCorrections!$B$12+T50*ForcedChoiceCorrections!$B$13+U50*ForcedChoiceCorrections!$B$14+V50*ForcedChoiceCorrections!$B$15)</f>
        <v/>
      </c>
      <c r="Y50" s="18">
        <f>IF(AND(ISNUMBER(SEARCH("pass",L50)),ISNUMBER(X50)),COUNTIFS(L$2:L$90,"*pass*",X$2:X$90,"&gt;"&amp;X50)+1,"")</f>
        <v/>
      </c>
      <c r="Z50" s="18" t="inlineStr">
        <is>
          <t>[SYNTHETIC TEST] Demonstrates 'Pass' &amp; Rank #2 under 25-min GW / 20-min ED test limits.</t>
        </is>
      </c>
      <c r="AA50" s="16" t="inlineStr">
        <is>
          <t>49. [SYNTHETIC TEST — Ocean Grove Woodland Pocket] | Bellarine Peninsula | Synthetic Test | P: Medium-High | Y: High | Lens: Synthetic test row verifying coastal vs GW filter | Price: 980000 | Basis: Synthetic test row (clear before live use) | Note: [SYNTHETIC TEST] Demonstrates 'Pass' &amp; Rank #2 under 25-min GW / 20-min ED test limits.</t>
        </is>
      </c>
      <c r="AE50" s="24" t="n">
        <v>1500000</v>
      </c>
      <c r="AF50" s="22" t="inlineStr">
        <is>
          <t>Maximum purchase price, excluding transaction and moving costs</t>
        </is>
      </c>
      <c r="AG50" s="22" t="inlineStr">
        <is>
          <t>Benchmark synthetic price</t>
        </is>
      </c>
      <c r="AH50" s="22" t="inlineStr">
        <is>
          <t>26 Oct 2026</t>
        </is>
      </c>
      <c r="AI50" s="22" t="inlineStr">
        <is>
          <t>Pass</t>
        </is>
      </c>
      <c r="AJ50" s="22" t="inlineStr">
        <is>
          <t>Synthetic test calibration model.</t>
        </is>
      </c>
      <c r="AW50" s="22" t="inlineStr">
        <is>
          <t>Excluded test row: no demography.</t>
        </is>
      </c>
    </row>
    <row r="51" ht="15.75" customHeight="1" s="15">
      <c r="A51" s="16" t="inlineStr">
        <is>
          <t>Rosebud</t>
        </is>
      </c>
      <c r="B51" s="16" t="inlineStr">
        <is>
          <t>Mornington Peninsula</t>
        </is>
      </c>
      <c r="C51" s="16" t="inlineStr">
        <is>
          <t>Open-mind viewing</t>
        </is>
      </c>
      <c r="D51" s="16" t="inlineStr">
        <is>
          <t>Low-Medium (Coastal)</t>
        </is>
      </c>
      <c r="E51" s="16" t="inlineStr">
        <is>
          <t>High (Bay beach)</t>
        </is>
      </c>
      <c r="F51" s="16" t="inlineStr">
        <is>
          <t>Open-mind viewing: calibrate coastal feel against bush</t>
        </is>
      </c>
      <c r="G51" s="16" t="n">
        <v>753965</v>
      </c>
      <c r="H51" s="16" t="inlineStr">
        <is>
          <t>AVM estimate (30 Sep 2026), NOT a verified sale median; unit $667,803; 426 sales in last 12m (OnTheHouse/Cotality, read 27 Oct 2026)</t>
        </is>
      </c>
      <c r="I51" s="16">
        <f>G51*(1+Settings!$B$6)</f>
        <v/>
      </c>
      <c r="J51" s="22" t="n">
        <v>49</v>
      </c>
      <c r="K51" s="22" t="n">
        <v>3</v>
      </c>
      <c r="L51" s="16" t="inlineStr">
        <is>
          <t>Provisional pass</t>
        </is>
      </c>
      <c r="M51" s="22">
        <f>IF(J51="","",ROUND(MAX(0,10*(1-J51/Filters!$B$4)),1))</f>
        <v/>
      </c>
      <c r="N51" s="22" t="n">
        <v>6</v>
      </c>
      <c r="O51" s="16">
        <f>IF(K51="","",ROUND(MAX(0,10*(1-K51/Filters!$B$5)),1))</f>
        <v/>
      </c>
      <c r="P51" s="22" t="n">
        <v>2</v>
      </c>
      <c r="Q51" s="22" t="n">
        <v>9</v>
      </c>
      <c r="R51" s="22" t="n">
        <v>4</v>
      </c>
      <c r="S51" s="22" t="n">
        <v>2</v>
      </c>
      <c r="T51" s="22">
        <f>IF(G51="","",ROUND(MAX(0,MIN(10,10*(Filters!$B$2-G51)/(Filters!$B$2-500000))),1))</f>
        <v/>
      </c>
      <c r="U51" s="22" t="n">
        <v>9</v>
      </c>
      <c r="V51" s="22" t="n">
        <v>2</v>
      </c>
      <c r="W51" s="16">
        <f>IF(M51="",0,COUNT(M51:V51))</f>
        <v/>
      </c>
      <c r="X51" s="16">
        <f>IF(W51&lt;10,"",M51*ForcedChoiceCorrections!$B$6+N51*ForcedChoiceCorrections!$B$7+O51*ForcedChoiceCorrections!$B$8+P51*ForcedChoiceCorrections!$B$9+Q51*ForcedChoiceCorrections!$B$10+R51*ForcedChoiceCorrections!$B$11+S51*ForcedChoiceCorrections!$B$12+T51*ForcedChoiceCorrections!$B$13+U51*ForcedChoiceCorrections!$B$14+V51*ForcedChoiceCorrections!$B$15)</f>
        <v/>
      </c>
      <c r="Y51" s="16">
        <f>IF(AND(ISNUMBER(SEARCH("pass",L51)),ISNUMBER(X51)),COUNTIFS(L$2:L$90,"*pass*",X$2:X$90,"&gt;"&amp;X51)+1,"")</f>
        <v/>
      </c>
      <c r="Z51" s="16" t="inlineStr">
        <is>
          <t>OPEN-MIND VIEWING PICK (nominated by NJD): view for calibration. Verify year-round services vs holiday-town feel, local ED status and drive to a 24-hr public ED, GW drive and price.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Sand bars give safe swimming; pier; Rosebud Village and Port Phillip Plaza each with a supermarket: Q raised 8-&gt;9 (Victorian Places). GPs: Rosebud Medical Clinic and others (healthdirect). N, P, R, V remain estimates. | CHECKED 27 Oct 2026, second pass (N, P, R, V; suburb level). Nature: between the lower slopes of Arthurs Seat, Port Phillip and the Boneo plains; sandy beaches, shallow water; one of the Peninsula's largest foreshore camping areas (summer population can double) [Wikipedia Rosebud]; N 6 consistent. Village: 'the largest and most commercially developed of the towns south of Mornington'; weekend markets; rebuilt pier [Victorian Places; Wikipedia]; R 4 consistent. Health: Rosebud Hospital on Point Nepean Rd; MICA ambulance unit in town [Wikipedia]. Indian community: India-born 0.4%, Hinduism 0.3% [ABS 2021 GCP SAL22198]; P 2 consistent. Older: median age 49, 29.5% aged 65+ [ABS]. City trip: ~60 km S, no rail [Wikipedia; Victorian Places]; V 2 consistent. Scores unchanged.</t>
        </is>
      </c>
      <c r="AA51" s="16" t="inlineStr">
        <is>
          <t>50. Rosebud | Mornington Peninsula | Open-mind viewing | P: Low-Medium (Coastal) | Y: High (Bay beach) | Lens: Open-mind viewing: calibrate coastal feel against bush | Price: [Blank] | Basis: Not verified | Note: OPEN-MIND VIEWING PICK (nominated by NJD): view for calibration. Verify year-round services vs holiday-town feel, local ED status and drive to a 24-hr public ED, GW drive and price.</t>
        </is>
      </c>
      <c r="AB51" s="16" t="inlineStr">
        <is>
          <t>No</t>
        </is>
      </c>
      <c r="AC51" s="16" t="inlineStr">
        <is>
          <t>No rail; buses to Frankston (not individually checked)</t>
        </is>
      </c>
      <c r="AD51" s="16" t="inlineStr">
        <is>
          <t>Rosebud Hospital ED (24/7 but treats less serious cases (per earlier check); Peninsula University Hospital 27 min) (drive times: Google Maps leave-now, 27 Oct 2026 ~13:15–13:45 AEDT (midday, not peak), suburb name)</t>
        </is>
      </c>
      <c r="AE51" s="24" t="n">
        <v>1500000</v>
      </c>
      <c r="AF51" s="22" t="inlineStr">
        <is>
          <t>Maximum purchase price, excluding transaction and moving costs</t>
        </is>
      </c>
      <c r="AG51" s="22" t="inlineStr">
        <is>
          <t>AVM estimate</t>
        </is>
      </c>
      <c r="AH51" s="22" t="inlineStr">
        <is>
          <t>27 Oct 2026</t>
        </is>
      </c>
      <c r="AI51" s="22" t="inlineStr">
        <is>
          <t>Pass</t>
        </is>
      </c>
      <c r="AJ51" s="22" t="inlineStr">
        <is>
          <t>AVM house value ($753,965) is under $1.5M cap. Not a sale median.</t>
        </is>
      </c>
      <c r="AK51" s="22" t="inlineStr">
        <is>
          <t>SAL22198</t>
        </is>
      </c>
      <c r="AL51" s="32" t="n">
        <v>14381</v>
      </c>
      <c r="AM51" s="22" t="n">
        <v>49</v>
      </c>
      <c r="AN51" s="33" t="n">
        <v>0.295</v>
      </c>
      <c r="AO51" s="33" t="n">
        <v>0.161</v>
      </c>
      <c r="AP51" s="33" t="n">
        <v>0.079</v>
      </c>
      <c r="AQ51" s="33" t="n">
        <v>0.004</v>
      </c>
      <c r="AR51" s="33" t="n">
        <v>0.005</v>
      </c>
      <c r="AS51" s="33" t="n">
        <v>0.003</v>
      </c>
      <c r="AT51" s="33" t="n">
        <v>0.001</v>
      </c>
      <c r="AU51" s="33" t="n">
        <v>0.061</v>
      </c>
      <c r="AV51" s="22" t="inlineStr">
        <is>
          <t>Italian 1.3%; Greek 1.0%; Mandarin 0.3%</t>
        </is>
      </c>
      <c r="AW5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51" s="22">
        <f>IF(AU51="","",IF(OR(AU51&gt;=0.5,AQ51&gt;=0.08),"High",IF(OR(AU51&gt;=0.3,AQ51&gt;=0.04),"Medium","Low")))</f>
        <v/>
      </c>
    </row>
    <row r="52" ht="15.75" customHeight="1" s="15">
      <c r="A52" s="16" t="inlineStr">
        <is>
          <t>Rye</t>
        </is>
      </c>
      <c r="B52" s="16" t="inlineStr">
        <is>
          <t>Mornington Peninsula</t>
        </is>
      </c>
      <c r="C52" s="16" t="inlineStr">
        <is>
          <t>Open-mind viewing</t>
        </is>
      </c>
      <c r="D52" s="16" t="inlineStr">
        <is>
          <t>Low-Medium (Coastal)</t>
        </is>
      </c>
      <c r="E52" s="16" t="inlineStr">
        <is>
          <t>High (Bay/ocean beach)</t>
        </is>
      </c>
      <c r="F52" s="16" t="inlineStr">
        <is>
          <t>Open-mind viewing: calibrate coastal feel against bush</t>
        </is>
      </c>
      <c r="G52" s="16" t="n">
        <v>918392</v>
      </c>
      <c r="H52" s="16" t="inlineStr">
        <is>
          <t>AVM estimate (30 Sep 2026), NOT a verified sale median; unit $639,145; 300 sales in last 12m (OnTheHouse/Cotality, read 27 Oct 2026)</t>
        </is>
      </c>
      <c r="I52" s="16">
        <f>G52*(1+Settings!$B$6)</f>
        <v/>
      </c>
      <c r="J52" s="22" t="n">
        <v>61</v>
      </c>
      <c r="K52" s="22" t="n">
        <v>9</v>
      </c>
      <c r="L52" s="16" t="inlineStr">
        <is>
          <t>Provisional pass</t>
        </is>
      </c>
      <c r="M52" s="22">
        <f>IF(J52="","",ROUND(MAX(0,10*(1-J52/Filters!$B$4)),1))</f>
        <v/>
      </c>
      <c r="N52" s="22" t="n">
        <v>7</v>
      </c>
      <c r="O52" s="16">
        <f>IF(K52="","",ROUND(MAX(0,10*(1-K52/Filters!$B$5)),1))</f>
        <v/>
      </c>
      <c r="P52" s="22" t="n">
        <v>1</v>
      </c>
      <c r="Q52" s="22" t="n">
        <v>6</v>
      </c>
      <c r="R52" s="22" t="n">
        <v>7</v>
      </c>
      <c r="S52" s="22" t="n">
        <v>2</v>
      </c>
      <c r="T52" s="22">
        <f>IF(G52="","",ROUND(MAX(0,MIN(10,10*(Filters!$B$2-G52)/(Filters!$B$2-500000))),1))</f>
        <v/>
      </c>
      <c r="U52" s="22" t="n">
        <v>10</v>
      </c>
      <c r="V52" s="22" t="n">
        <v>1</v>
      </c>
      <c r="W52" s="16">
        <f>IF(M52="",0,COUNT(M52:V52))</f>
        <v/>
      </c>
      <c r="X52" s="16">
        <f>IF(W52&lt;10,"",M52*ForcedChoiceCorrections!$B$6+N52*ForcedChoiceCorrections!$B$7+O52*ForcedChoiceCorrections!$B$8+P52*ForcedChoiceCorrections!$B$9+Q52*ForcedChoiceCorrections!$B$10+R52*ForcedChoiceCorrections!$B$11+S52*ForcedChoiceCorrections!$B$12+T52*ForcedChoiceCorrections!$B$13+U52*ForcedChoiceCorrections!$B$14+V52*ForcedChoiceCorrections!$B$15)</f>
        <v/>
      </c>
      <c r="Y52" s="16">
        <f>IF(AND(ISNUMBER(SEARCH("pass",L52)),ISNUMBER(X52)),COUNTIFS(L$2:L$90,"*pass*",X$2:X$90,"&gt;"&amp;X52)+1,"")</f>
        <v/>
      </c>
      <c r="Z52" s="16" t="inlineStr">
        <is>
          <t>OPEN-MIND VIEWING PICK (nominated by NJD): view for calibration. Verify year-round services vs holiday-town feel, ED access (nearest 24-hr public ED likely Frankston/Peninsula Univ Hospital), GW drive and price.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Bay beach popular for swimming + unpatrolled ocean beach; pier (Wikipedia Rye). GP listing in Rye (healthdirect). Supermarket not confirmed; Q partly estimate. Bus not checked. N, P, R, V remain estimates. | CHECKED 27 Oct 2026, second pass (N, P, R, V; suburb level). Nature: bay beach plus the unpatrolled ocean 'back beach' on Bass Strait; locality spans the peninsula [Wikipedia Rye; Victorian Places]; Moonah Links and The Dunes golf links; N 7 consistent. Village: commercial centre overlooking the bay; summer carnival; busy in holidays [Victorian Places; Wikipedia]; R 7 plausible (6 arguable given holiday swings). Indian community: India-born 0.2%, Hinduism 0.2% [ABS 2021 GCP SAL22220]; P 1 consistent. Older: median age 51, 29.2% aged 65+ [ABS]. City trip: 65 km S by straight line [Victorian Places] (Wikipedia gives 94.5 km, likely by road); no rail; V 1 consistent. Scores unchanged.</t>
        </is>
      </c>
      <c r="AA52" s="16" t="inlineStr">
        <is>
          <t>51. Rye | Mornington Peninsula | Open-mind viewing | P: Low-Medium (Coastal) | Y: High (Bay/ocean beach) | Lens: Open-mind viewing: calibrate coastal feel against bush | Price: [Blank] | Basis: Not verified | Note: OPEN-MIND VIEWING PICK (nominated by NJD): view for calibration. Verify year-round services vs holiday-town feel, ED access (nearest 24-hr public ED likely Frankston/Peninsula Univ Hospital), GW drive and price.</t>
        </is>
      </c>
      <c r="AB52" s="16" t="inlineStr">
        <is>
          <t>No</t>
        </is>
      </c>
      <c r="AC52" s="16" t="inlineStr">
        <is>
          <t>No rail (checked: Wikipedia Rye, no station)</t>
        </is>
      </c>
      <c r="AD52" s="16" t="inlineStr">
        <is>
          <t>Rosebud Hospital ED (24/7 but treats less serious cases (per earlier check)) (drive times: Google Maps leave-now, 27 Oct 2026 ~13:15–13:45 AEDT (midday, not peak), suburb name)</t>
        </is>
      </c>
      <c r="AE52" s="24" t="n">
        <v>1500000</v>
      </c>
      <c r="AF52" s="22" t="inlineStr">
        <is>
          <t>Maximum purchase price, excluding transaction and moving costs</t>
        </is>
      </c>
      <c r="AG52" s="22" t="inlineStr">
        <is>
          <t>AVM estimate</t>
        </is>
      </c>
      <c r="AH52" s="22" t="inlineStr">
        <is>
          <t>27 Oct 2026</t>
        </is>
      </c>
      <c r="AI52" s="22" t="inlineStr">
        <is>
          <t>Pass</t>
        </is>
      </c>
      <c r="AJ52" s="22" t="inlineStr">
        <is>
          <t>AVM house value ($918,392) is under $1.5M cap. Not a sale median.</t>
        </is>
      </c>
      <c r="AK52" s="22" t="inlineStr">
        <is>
          <t>SAL22220</t>
        </is>
      </c>
      <c r="AL52" s="32" t="n">
        <v>9438</v>
      </c>
      <c r="AM52" s="22" t="n">
        <v>51</v>
      </c>
      <c r="AN52" s="33" t="n">
        <v>0.292</v>
      </c>
      <c r="AO52" s="33" t="n">
        <v>0.152</v>
      </c>
      <c r="AP52" s="33" t="n">
        <v>0.094</v>
      </c>
      <c r="AQ52" s="33" t="n">
        <v>0.002</v>
      </c>
      <c r="AR52" s="33" t="n">
        <v>0.003</v>
      </c>
      <c r="AS52" s="33" t="n">
        <v>0.002</v>
      </c>
      <c r="AT52" s="33" t="n">
        <v>0</v>
      </c>
      <c r="AU52" s="33" t="n">
        <v>0.076</v>
      </c>
      <c r="AV52" s="22" t="inlineStr">
        <is>
          <t>Greek 2.0%; Italian 1.9%; Croatian 0.4%</t>
        </is>
      </c>
      <c r="AW5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52" s="22">
        <f>IF(AU52="","",IF(OR(AU52&gt;=0.5,AQ52&gt;=0.08),"High",IF(OR(AU52&gt;=0.3,AQ52&gt;=0.04),"Medium","Low")))</f>
        <v/>
      </c>
    </row>
    <row r="53" ht="15.75" customHeight="1" s="15">
      <c r="A53" s="16" t="inlineStr">
        <is>
          <t>Gisborne</t>
        </is>
      </c>
      <c r="B53" s="16" t="inlineStr">
        <is>
          <t>Macedon Ranges</t>
        </is>
      </c>
      <c r="C53" s="16" t="inlineStr">
        <is>
          <t>Watchlist</t>
        </is>
      </c>
      <c r="D53" s="16" t="inlineStr">
        <is>
          <t>Medium-High (Rural/gardens)</t>
        </is>
      </c>
      <c r="E53" s="16" t="inlineStr">
        <is>
          <t>Low (Inland)</t>
        </is>
      </c>
      <c r="F53" s="16" t="inlineStr">
        <is>
          <t>Regional town close to Melbourne, distinct from Woodend and Macedon</t>
        </is>
      </c>
      <c r="G53" s="16" t="n">
        <v>1043843</v>
      </c>
      <c r="H53" s="16" t="inlineStr">
        <is>
          <t>AVM estimate (30 Sep 2026), NOT a verified sale median; unit $589,444; 281 sales in last 12m (OnTheHouse/Cotality, read 27 Oct 2026)</t>
        </is>
      </c>
      <c r="I53" s="16">
        <f>G53*(1+Settings!$B$6)</f>
        <v/>
      </c>
      <c r="J53" s="22" t="n">
        <v>67</v>
      </c>
      <c r="K53" s="22" t="n">
        <v>34</v>
      </c>
      <c r="L53" s="16" t="inlineStr">
        <is>
          <t>Provisional pass</t>
        </is>
      </c>
      <c r="M53" s="22">
        <f>IF(J53="","",ROUND(MAX(0,10*(1-J53/Filters!$B$4)),1))</f>
        <v/>
      </c>
      <c r="N53" s="22" t="n">
        <v>7</v>
      </c>
      <c r="O53" s="16">
        <f>IF(K53="","",ROUND(MAX(0,10*(1-K53/Filters!$B$5)),1))</f>
        <v/>
      </c>
      <c r="P53" s="22" t="n">
        <v>2</v>
      </c>
      <c r="Q53" s="22" t="n">
        <v>7</v>
      </c>
      <c r="R53" s="22" t="n">
        <v>7</v>
      </c>
      <c r="S53" s="22" t="n">
        <v>4</v>
      </c>
      <c r="T53" s="22">
        <f>IF(G53="","",ROUND(MAX(0,MIN(10,10*(Filters!$B$2-G53)/(Filters!$B$2-500000))),1))</f>
        <v/>
      </c>
      <c r="U53" s="22" t="n">
        <v>0</v>
      </c>
      <c r="V53" s="22" t="n">
        <v>6</v>
      </c>
      <c r="W53" s="16">
        <f>IF(M53="",0,COUNT(M53:V53))</f>
        <v/>
      </c>
      <c r="X53" s="16">
        <f>IF(W53&lt;10,"",M53*ForcedChoiceCorrections!$B$6+N53*ForcedChoiceCorrections!$B$7+O53*ForcedChoiceCorrections!$B$8+P53*ForcedChoiceCorrections!$B$9+Q53*ForcedChoiceCorrections!$B$10+R53*ForcedChoiceCorrections!$B$11+S53*ForcedChoiceCorrections!$B$12+T53*ForcedChoiceCorrections!$B$13+U53*ForcedChoiceCorrections!$B$14+V53*ForcedChoiceCorrections!$B$15)</f>
        <v/>
      </c>
      <c r="Y53" s="16">
        <f>IF(AND(ISNUMBER(SEARCH("pass",L53)),ISNUMBER(X53)),COUNTIFS(L$2:L$90,"*pass*",X$2:X$90,"&gt;"&amp;X53)+1,"")</f>
        <v/>
      </c>
      <c r="Z53" s="16" t="inlineStr">
        <is>
          <t>Regional add (within about 1.5 hrs of Melbourne, from recall; verify). Verify train access (nearest V/Line may be Riddells Creek), GW drive, price and nearest major public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Gisborne district pop 14,432 (June 2021) [Wikipedia Gisborne]; SAL pop 10,142 [ABS 2021 GCP SAL21001]; ~54 km NW of Melbourne. Train: station on the Bendigo line, built outside the township (the suburb New Gisborne); V/Line runs to Southern Cross; 'a 50-minute train ride'; 20 min to Sunbury for Metro; Gisborne Transit loop and on-demand bus to the station [Wikipedia]; resolves foundation-report item 14 (station exists, ~3 km out); S 4 low (5 arguable). Shops: town centre with cafés, theatre, galleries, monthly farmers' market and four supermarkets [Wikipedia]; Q 7 consistent (8 arguable). Village: 'country homesteads, tree-lined streets'; planning controls protect the town's character; fast growth [Wikipedia]; R 7 consistent. Nature: 'large leafy blocks' [Wikipedia]; N 7 consistent. Indian community: India-born 0.6%, Hinduism 0.3%, Sikhism 0.4% [ABS]; P 2 consistent. City trip: 45 min drive or 50 min train [Wikipedia]; V 5 consistent (6 arguable). NOT checked: GPs, train frequency. Scores unchanged. | C3 28 Oct 2026: V 5-&gt;6 (source: 'a 45-minute drive along the Calder Freeway or a 50-minute train ride' to the city [Wikipedia Gisborne]).</t>
        </is>
      </c>
      <c r="AA53" s="16" t="inlineStr">
        <is>
          <t>52. Gisborne | Macedon Ranges | Watchlist | P: Medium-High (Rural/gardens) | Y: Low (Inland) | Lens: Regional town close to Melbourne, distinct from Woodend and Macedon | Price: [Blank] | Basis: Not verified | Note: Regional add (within about 1.5 hrs of Melbourne, from recall; verify). Verify train access (nearest V/Line may be Riddells Creek), GW drive, price and nearest major public ED.</t>
        </is>
      </c>
      <c r="AB53" s="22" t="inlineStr">
        <is>
          <t>Yes</t>
        </is>
      </c>
      <c r="AC53" s="16" t="inlineStr">
        <is>
          <t>Gisborne station (in New Gisborne, ~3 km), V/Line Bendigo line (recall; verify)</t>
        </is>
      </c>
      <c r="AD53" s="16" t="inlineStr">
        <is>
          <t>Sunshine Hospital ED (24-hr: recall (major metro ED). Origin: Gisborne Post Office (suburb pin gave a 2h+ route)) (drive times: Google Maps leave-now, 27 Oct 2026 ~13:15–13:45 AEDT (midday, not peak), suburb name)</t>
        </is>
      </c>
      <c r="AE53" s="24" t="n">
        <v>1500000</v>
      </c>
      <c r="AF53" s="22" t="inlineStr">
        <is>
          <t>Maximum purchase price, excluding transaction and moving costs</t>
        </is>
      </c>
      <c r="AG53" s="22" t="inlineStr">
        <is>
          <t>AVM estimate</t>
        </is>
      </c>
      <c r="AH53" s="22" t="inlineStr">
        <is>
          <t>27 Oct 2026</t>
        </is>
      </c>
      <c r="AI53" s="22" t="inlineStr">
        <is>
          <t>Pass</t>
        </is>
      </c>
      <c r="AJ53" s="22" t="inlineStr">
        <is>
          <t>AVM house value ($1,043,843) is under $1.5M cap. Not a sale median.</t>
        </is>
      </c>
      <c r="AK53" s="22" t="inlineStr">
        <is>
          <t>SAL21001</t>
        </is>
      </c>
      <c r="AL53" s="32" t="n">
        <v>10142</v>
      </c>
      <c r="AM53" s="22" t="n">
        <v>39</v>
      </c>
      <c r="AN53" s="33" t="n">
        <v>0.156</v>
      </c>
      <c r="AO53" s="33" t="n">
        <v>0.134</v>
      </c>
      <c r="AP53" s="33" t="n">
        <v>0.027</v>
      </c>
      <c r="AQ53" s="33" t="n">
        <v>0.006</v>
      </c>
      <c r="AR53" s="33" t="n">
        <v>0.006999999999999999</v>
      </c>
      <c r="AS53" s="33" t="n">
        <v>0.003</v>
      </c>
      <c r="AT53" s="33" t="n">
        <v>0.004</v>
      </c>
      <c r="AU53" s="33" t="n">
        <v>0.053</v>
      </c>
      <c r="AV53" s="22" t="inlineStr">
        <is>
          <t>Italian 0.6%; Punjabi 0.4%; Spanish 0.4%</t>
        </is>
      </c>
      <c r="AW5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53" s="22">
        <f>IF(AU53="","",IF(OR(AU53&gt;=0.5,AQ53&gt;=0.08),"High",IF(OR(AU53&gt;=0.3,AQ53&gt;=0.04),"Medium","Low")))</f>
        <v/>
      </c>
    </row>
    <row r="54" ht="15.75" customHeight="1" s="15">
      <c r="A54" s="16" t="inlineStr">
        <is>
          <t>Riddells Creek</t>
        </is>
      </c>
      <c r="B54" s="16" t="inlineStr">
        <is>
          <t>Macedon Ranges</t>
        </is>
      </c>
      <c r="C54" s="16" t="inlineStr">
        <is>
          <t>Watchlist</t>
        </is>
      </c>
      <c r="D54" s="16" t="inlineStr">
        <is>
          <t>Medium-High (Village/countryside)</t>
        </is>
      </c>
      <c r="E54" s="16" t="inlineStr">
        <is>
          <t>Low (Inland)</t>
        </is>
      </c>
      <c r="F54" s="16" t="inlineStr">
        <is>
          <t>Small village with V/Line access (to verify)</t>
        </is>
      </c>
      <c r="G54" s="16" t="n">
        <v>994380</v>
      </c>
      <c r="H54" s="16" t="inlineStr">
        <is>
          <t>AVM estimate (30 Sep 2026), NOT a verified sale median; unit $647,157; 85 sales in last 12m (OnTheHouse/Cotality, read 27 Oct 2026)</t>
        </is>
      </c>
      <c r="I54" s="16">
        <f>G54*(1+Settings!$B$6)</f>
        <v/>
      </c>
      <c r="J54" s="22" t="n">
        <v>71</v>
      </c>
      <c r="K54" s="22" t="n">
        <v>38</v>
      </c>
      <c r="L54" s="16" t="inlineStr">
        <is>
          <t>Provisional pass</t>
        </is>
      </c>
      <c r="M54" s="22">
        <f>IF(J54="","",ROUND(MAX(0,10*(1-J54/Filters!$B$4)),1))</f>
        <v/>
      </c>
      <c r="N54" s="22" t="n">
        <v>7</v>
      </c>
      <c r="O54" s="16">
        <f>IF(K54="","",ROUND(MAX(0,10*(1-K54/Filters!$B$5)),1))</f>
        <v/>
      </c>
      <c r="P54" s="22" t="n">
        <v>2</v>
      </c>
      <c r="Q54" s="22" t="n">
        <v>4</v>
      </c>
      <c r="R54" s="22" t="n">
        <v>7</v>
      </c>
      <c r="S54" s="22" t="n">
        <v>5</v>
      </c>
      <c r="T54" s="22">
        <f>IF(G54="","",ROUND(MAX(0,MIN(10,10*(Filters!$B$2-G54)/(Filters!$B$2-500000))),1))</f>
        <v/>
      </c>
      <c r="U54" s="22" t="n">
        <v>0</v>
      </c>
      <c r="V54" s="22" t="n">
        <v>5</v>
      </c>
      <c r="W54" s="16">
        <f>IF(M54="",0,COUNT(M54:V54))</f>
        <v/>
      </c>
      <c r="X54" s="16">
        <f>IF(W54&lt;10,"",M54*ForcedChoiceCorrections!$B$6+N54*ForcedChoiceCorrections!$B$7+O54*ForcedChoiceCorrections!$B$8+P54*ForcedChoiceCorrections!$B$9+Q54*ForcedChoiceCorrections!$B$10+R54*ForcedChoiceCorrections!$B$11+S54*ForcedChoiceCorrections!$B$12+T54*ForcedChoiceCorrections!$B$13+U54*ForcedChoiceCorrections!$B$14+V54*ForcedChoiceCorrections!$B$15)</f>
        <v/>
      </c>
      <c r="Y54" s="16">
        <f>IF(AND(ISNUMBER(SEARCH("pass",L54)),ISNUMBER(X54)),COUNTIFS(L$2:L$90,"*pass*",X$2:X$90,"&gt;"&amp;X54)+1,"")</f>
        <v/>
      </c>
      <c r="Z54" s="16" t="inlineStr">
        <is>
          <t>Regional add (within about 1.5 hrs of Melbourne, from recall; verify). Verify V/Line station and service frequency, GW drive, price and nearest major public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4,390; southern foothills of the Macedon Ranges, 15 km N of Sunbury, ~45 km from Melbourne [Wikipedia Riddells Creek; Victorian Places]. Nature: 'surrounded by natural bushland'; creek through Wybejong Park; Mount Charlie State Forest to the east [Wikipedia]; N 7 consistent. Village: shopping centre, mechanics' institute (1875), heritage railway bridge and goods shed; Dromkeen children's-literature homestead; shire plan to retain neighbourhood character [Victorian Places; Wikipedia]; R 7 consistent. Train: station on the Bendigo line; express services do not stop [Wikipedia]; S 5 consistent. Shops: supermarket and 12 shops were planned in 2013 [Victorian Places]; built status NOT confirmed; Q 4 estimate. Indian community: India-born 0.3%, Hinduism 0.0% [ABS 2021 GCP SAL22172]; P 2 generous (1 arguable). City trip: ~45 km by V/Line, stopping trains only; V 5 estimate. NOT checked: GPs, supermarket, journey time. Scores unchanged.</t>
        </is>
      </c>
      <c r="AA54" s="16" t="inlineStr">
        <is>
          <t>53. Riddells Creek | Macedon Ranges | Watchlist | P: Medium-High (Village/countryside) | Y: Low (Inland) | Lens: Small village with V/Line access (to verify) | Price: [Blank] | Basis: Not verified | Note: Regional add (within about 1.5 hrs of Melbourne, from recall; verify). Verify V/Line station and service frequency, GW drive, price and nearest major public ED.</t>
        </is>
      </c>
      <c r="AB54" s="22" t="inlineStr">
        <is>
          <t>Yes</t>
        </is>
      </c>
      <c r="AC54" s="16" t="inlineStr">
        <is>
          <t>Riddells Creek station, V/Line Bendigo line (recall; verify)</t>
        </is>
      </c>
      <c r="AD54" s="16" t="inlineStr">
        <is>
          <t>Sunshine Hospital ED (24-hr: recall (major metro ED); Northern 45 min) (drive times: Google Maps leave-now, 27 Oct 2026 ~13:15–13:45 AEDT (midday, not peak), suburb name)</t>
        </is>
      </c>
      <c r="AE54" s="24" t="n">
        <v>1500000</v>
      </c>
      <c r="AF54" s="22" t="inlineStr">
        <is>
          <t>Maximum purchase price, excluding transaction and moving costs</t>
        </is>
      </c>
      <c r="AG54" s="22" t="inlineStr">
        <is>
          <t>AVM estimate</t>
        </is>
      </c>
      <c r="AH54" s="22" t="inlineStr">
        <is>
          <t>27 Oct 2026</t>
        </is>
      </c>
      <c r="AI54" s="22" t="inlineStr">
        <is>
          <t>Pass</t>
        </is>
      </c>
      <c r="AJ54" s="22" t="inlineStr">
        <is>
          <t>AVM house value ($994,380) is under $1.5M cap. Not a sale median.</t>
        </is>
      </c>
      <c r="AK54" s="22" t="inlineStr">
        <is>
          <t>SAL22172</t>
        </is>
      </c>
      <c r="AL54" s="32" t="n">
        <v>4390</v>
      </c>
      <c r="AM54" s="22" t="n">
        <v>42</v>
      </c>
      <c r="AN54" s="33" t="n">
        <v>0.167</v>
      </c>
      <c r="AO54" s="33" t="n">
        <v>0.113</v>
      </c>
      <c r="AP54" s="33" t="n">
        <v>0.036</v>
      </c>
      <c r="AQ54" s="33" t="n">
        <v>0.003</v>
      </c>
      <c r="AR54" s="33" t="n">
        <v>0.003</v>
      </c>
      <c r="AS54" s="33" t="n">
        <v>0</v>
      </c>
      <c r="AT54" s="33" t="n">
        <v>0</v>
      </c>
      <c r="AU54" s="33" t="n">
        <v>0.035</v>
      </c>
      <c r="AV54" s="22" t="inlineStr">
        <is>
          <t>Italian 0.4%; Mandarin 0.3%; Greek 0.3%</t>
        </is>
      </c>
      <c r="AW54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54" s="22">
        <f>IF(AU54="","",IF(OR(AU54&gt;=0.5,AQ54&gt;=0.08),"High",IF(OR(AU54&gt;=0.3,AQ54&gt;=0.04),"Medium","Low")))</f>
        <v/>
      </c>
    </row>
    <row r="55" ht="15.75" customHeight="1" s="15">
      <c r="A55" s="16" t="inlineStr">
        <is>
          <t>Yarra Glen</t>
        </is>
      </c>
      <c r="B55" s="16" t="inlineStr">
        <is>
          <t>Yarra Valley</t>
        </is>
      </c>
      <c r="C55" s="16" t="inlineStr">
        <is>
          <t>Watchlist</t>
        </is>
      </c>
      <c r="D55" s="16" t="inlineStr">
        <is>
          <t>High (Valley/vineyards)</t>
        </is>
      </c>
      <c r="E55" s="16" t="inlineStr">
        <is>
          <t>Low (Inland)</t>
        </is>
      </c>
      <c r="F55" s="16" t="inlineStr">
        <is>
          <t>Yarra Valley village, quieter than Healesville</t>
        </is>
      </c>
      <c r="G55" s="16" t="n">
        <v>936458</v>
      </c>
      <c r="H55" s="16" t="inlineStr">
        <is>
          <t>AVM estimate (30 Sep 2026), NOT a verified sale median; unit $668,777; 48 sales in last 12m (OnTheHouse/Cotality, read 27 Oct 2026)</t>
        </is>
      </c>
      <c r="I55" s="16">
        <f>G55*(1+Settings!$B$6)</f>
        <v/>
      </c>
      <c r="J55" s="22" t="n">
        <v>44</v>
      </c>
      <c r="K55" s="22" t="n">
        <v>30</v>
      </c>
      <c r="L55" s="16" t="inlineStr">
        <is>
          <t>Provisional pass</t>
        </is>
      </c>
      <c r="M55" s="22">
        <f>IF(J55="","",ROUND(MAX(0,10*(1-J55/Filters!$B$4)),1))</f>
        <v/>
      </c>
      <c r="N55" s="22" t="n">
        <v>7</v>
      </c>
      <c r="O55" s="16">
        <f>IF(K55="","",ROUND(MAX(0,10*(1-K55/Filters!$B$5)),1))</f>
        <v/>
      </c>
      <c r="P55" s="22" t="n">
        <v>1</v>
      </c>
      <c r="Q55" s="22" t="n">
        <v>5</v>
      </c>
      <c r="R55" s="22" t="n">
        <v>7</v>
      </c>
      <c r="S55" s="22" t="n">
        <v>1</v>
      </c>
      <c r="T55" s="22">
        <f>IF(G55="","",ROUND(MAX(0,MIN(10,10*(Filters!$B$2-G55)/(Filters!$B$2-500000))),1))</f>
        <v/>
      </c>
      <c r="U55" s="22" t="n">
        <v>0</v>
      </c>
      <c r="V55" s="22" t="n">
        <v>2</v>
      </c>
      <c r="W55" s="16">
        <f>IF(M55="",0,COUNT(M55:V55))</f>
        <v/>
      </c>
      <c r="X55" s="16">
        <f>IF(W55&lt;10,"",M55*ForcedChoiceCorrections!$B$6+N55*ForcedChoiceCorrections!$B$7+O55*ForcedChoiceCorrections!$B$8+P55*ForcedChoiceCorrections!$B$9+Q55*ForcedChoiceCorrections!$B$10+R55*ForcedChoiceCorrections!$B$11+S55*ForcedChoiceCorrections!$B$12+T55*ForcedChoiceCorrections!$B$13+U55*ForcedChoiceCorrections!$B$14+V55*ForcedChoiceCorrections!$B$15)</f>
        <v/>
      </c>
      <c r="Y55" s="16">
        <f>IF(AND(ISNUMBER(SEARCH("pass",L55)),ISNUMBER(X55)),COUNTIFS(L$2:L$90,"*pass*",X$2:X$90,"&gt;"&amp;X55)+1,"")</f>
        <v/>
      </c>
      <c r="Z55" s="16" t="inlineStr">
        <is>
          <t>Regional add (within about 1.5 hrs of Melbourne, from recall; verify). Likely no train; verify GW drive, price and ED journey (Maroondah/Angliss). Compare with Healesville.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3,012; 55 km NE of CBD [Wikipedia Yarra Glen] (40 km per Victorian Places), just north of the Yarra River flood plain. Nature: open valley farmland and vineyards; heritage Gulf Station farm; Black Saturday 2009 fire killed at least 13 in the Yarra Glen-Steeles Creek area [Victorian Places]; N 8 plausible (open valley more than forest; 7 arguable). Village: 'substantial shopping centre', historic main street with the Grand Hotel (1888), racecourse, showground [Victorian Places]; R 7 consistent; Q 5 plausible (supermarket not named). Train: line closed 1980; tourist railway later disused [Victorian Places]; S 1 consistent. Indian community: India-born 0.1%, Hinduism 0.0% [ABS 2021 GCP SAL22910]; P 1 consistent. City trip: 40-55 km, no rail; V 2 consistent. NOT checked: GPs, bus, flood overlay. Scores unchanged. | C3 28 Oct 2026: N 8-&gt;7 (source: open Yarra flood-plain farmland rather than forest [Victorian Places Yarra Glen]).</t>
        </is>
      </c>
      <c r="AA55" s="16" t="inlineStr">
        <is>
          <t>54. Yarra Glen | Yarra Valley | Watchlist | P: High (Valley/vineyards) | Y: Low (Inland) | Lens: Yarra Valley village, quieter than Healesville | Price: [Blank] | Basis: Not verified | Note: Regional add (within about 1.5 hrs of Melbourne, from recall; verify). Likely no train; verify GW drive, price and ED journey (Maroondah/Angliss). Compare with Healesville.</t>
        </is>
      </c>
      <c r="AB55" s="22" t="inlineStr">
        <is>
          <t>No</t>
        </is>
      </c>
      <c r="AC55" s="16" t="inlineStr">
        <is>
          <t>No passenger rail (recall; verify)</t>
        </is>
      </c>
      <c r="AD55" s="16" t="inlineStr">
        <is>
          <t>Maroondah Hospital ED (24-hr: recall (major metro ED)) (drive times: Google Maps leave-now, 27 Oct 2026 ~13:15–13:45 AEDT (midday, not peak), suburb name)</t>
        </is>
      </c>
      <c r="AE55" s="24" t="n">
        <v>1500000</v>
      </c>
      <c r="AF55" s="22" t="inlineStr">
        <is>
          <t>Maximum purchase price, excluding transaction and moving costs</t>
        </is>
      </c>
      <c r="AG55" s="22" t="inlineStr">
        <is>
          <t>AVM estimate</t>
        </is>
      </c>
      <c r="AH55" s="22" t="inlineStr">
        <is>
          <t>27 Oct 2026</t>
        </is>
      </c>
      <c r="AI55" s="22" t="inlineStr">
        <is>
          <t>Pass</t>
        </is>
      </c>
      <c r="AJ55" s="22" t="inlineStr">
        <is>
          <t>AVM house value ($936,458) is under $1.5M cap. Not a sale median.</t>
        </is>
      </c>
      <c r="AK55" s="22" t="inlineStr">
        <is>
          <t>SAL22910</t>
        </is>
      </c>
      <c r="AL55" s="32" t="n">
        <v>3012</v>
      </c>
      <c r="AM55" s="22" t="n">
        <v>42</v>
      </c>
      <c r="AN55" s="33" t="n">
        <v>0.208</v>
      </c>
      <c r="AO55" s="33" t="n">
        <v>0.122</v>
      </c>
      <c r="AP55" s="33" t="n">
        <v>0.043</v>
      </c>
      <c r="AQ55" s="33" t="n">
        <v>0.001</v>
      </c>
      <c r="AR55" s="33" t="n">
        <v>0.002</v>
      </c>
      <c r="AS55" s="33" t="n">
        <v>0</v>
      </c>
      <c r="AT55" s="33" t="n">
        <v>0</v>
      </c>
      <c r="AU55" s="33" t="n">
        <v>0.022</v>
      </c>
      <c r="AV55" s="22" t="inlineStr">
        <is>
          <t>Greek 0.3%; Italian 0.2%; German 0.2%</t>
        </is>
      </c>
      <c r="AW5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55" s="22">
        <f>IF(AU55="","",IF(OR(AU55&gt;=0.5,AQ55&gt;=0.08),"High",IF(OR(AU55&gt;=0.3,AQ55&gt;=0.04),"Medium","Low")))</f>
        <v/>
      </c>
    </row>
    <row r="56" ht="15.75" customHeight="1" s="15">
      <c r="A56" s="16" t="inlineStr">
        <is>
          <t>Drouin</t>
        </is>
      </c>
      <c r="B56" s="16" t="inlineStr">
        <is>
          <t>West Gippsland</t>
        </is>
      </c>
      <c r="C56" s="16" t="inlineStr">
        <is>
          <t>Watchlist</t>
        </is>
      </c>
      <c r="D56" s="16" t="inlineStr">
        <is>
          <t>Medium-High (Hills/gardens)</t>
        </is>
      </c>
      <c r="E56" s="16" t="inlineStr">
        <is>
          <t>Low (Inland)</t>
        </is>
      </c>
      <c r="F56" s="16" t="inlineStr">
        <is>
          <t>Gippsland-corridor town alongside Warragul</t>
        </is>
      </c>
      <c r="G56" s="16" t="n">
        <v>701797</v>
      </c>
      <c r="H56" s="16" t="inlineStr">
        <is>
          <t>AVM estimate (30 Sep 2026), NOT a verified sale median; unit $456,821; 549 sales in last 12m (OnTheHouse/Cotality, read 27 Oct 2026)</t>
        </is>
      </c>
      <c r="I56" s="16">
        <f>G56*(1+Settings!$B$6)</f>
        <v/>
      </c>
      <c r="J56" s="22" t="n">
        <v>57</v>
      </c>
      <c r="K56" s="22" t="n">
        <v>9</v>
      </c>
      <c r="L56" s="16" t="inlineStr">
        <is>
          <t>Provisional pass</t>
        </is>
      </c>
      <c r="M56" s="22">
        <f>IF(J56="","",ROUND(MAX(0,10*(1-J56/Filters!$B$4)),1))</f>
        <v/>
      </c>
      <c r="N56" s="22" t="n">
        <v>5</v>
      </c>
      <c r="O56" s="16">
        <f>IF(K56="","",ROUND(MAX(0,10*(1-K56/Filters!$B$5)),1))</f>
        <v/>
      </c>
      <c r="P56" s="22" t="n">
        <v>2</v>
      </c>
      <c r="Q56" s="22" t="n">
        <v>7</v>
      </c>
      <c r="R56" s="22" t="n">
        <v>6</v>
      </c>
      <c r="S56" s="22" t="n">
        <v>5</v>
      </c>
      <c r="T56" s="22">
        <f>IF(G56="","",ROUND(MAX(0,MIN(10,10*(Filters!$B$2-G56)/(Filters!$B$2-500000))),1))</f>
        <v/>
      </c>
      <c r="U56" s="22" t="n">
        <v>0</v>
      </c>
      <c r="V56" s="22" t="n">
        <v>4</v>
      </c>
      <c r="W56" s="16">
        <f>IF(M56="",0,COUNT(M56:V56))</f>
        <v/>
      </c>
      <c r="X56" s="16">
        <f>IF(W56&lt;10,"",M56*ForcedChoiceCorrections!$B$6+N56*ForcedChoiceCorrections!$B$7+O56*ForcedChoiceCorrections!$B$8+P56*ForcedChoiceCorrections!$B$9+Q56*ForcedChoiceCorrections!$B$10+R56*ForcedChoiceCorrections!$B$11+S56*ForcedChoiceCorrections!$B$12+T56*ForcedChoiceCorrections!$B$13+U56*ForcedChoiceCorrections!$B$14+V56*ForcedChoiceCorrections!$B$15)</f>
        <v/>
      </c>
      <c r="Y56" s="16">
        <f>IF(AND(ISNUMBER(SEARCH("pass",L56)),ISNUMBER(X56)),COUNTIFS(L$2:L$90,"*pass*",X$2:X$90,"&gt;"&amp;X56)+1,"")</f>
        <v/>
      </c>
      <c r="Z56" s="16" t="inlineStr">
        <is>
          <t>Regional add (within about 1.5 hrs of Melbourne, from recall; verify). Verify V/Line station, GW drive, price and ED access (West Gippsland Hospital at Warragul). Compare with Warragul.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15,287; West Gippsland, ~90 km E/SE of Melbourne on the Gippsland rail and road routes [Wikipedia Drouin, Victoria; Victorian Places]. Shops: Woolworths and Coles supermarkets [Wikipedia]; compact civic centre between the station and landscaped Civic Park [Victorian Places]; Q 7 consistent. Train: station beside the shopping precinct on Princes Way [Wikipedia]; Gippsland line [Victorian Places]; S 5 consistent (frequency not checked). Nature: Civic Park, other reserves and a botanic garden; Ficifolia avenue of honour [Victorian Places]; N 5 consistent. Village: growing town with new housing estates and a planned multi-storey retail complex [Wikipedia]; R 6 plausible. Indian community: India-born 0.5%, Hinduism 0.4% [ABS 2021 GCP SAL20790]; P 2 consistent. City trip: ~90 km by V/Line; V 4 estimate. NOT checked: GPs, train journey time. Scores unchanged.</t>
        </is>
      </c>
      <c r="AA56" s="16" t="inlineStr">
        <is>
          <t>55. Drouin | West Gippsland | Watchlist | P: Medium-High (Hills/gardens) | Y: Low (Inland) | Lens: Gippsland-corridor town alongside Warragul | Price: [Blank] | Basis: Not verified | Note: Regional add (within about 1.5 hrs of Melbourne, from recall; verify). Verify V/Line station, GW drive, price and ED access (West Gippsland Hospital at Warragul). Compare with Warragul.</t>
        </is>
      </c>
      <c r="AB56" s="22" t="inlineStr">
        <is>
          <t>Yes</t>
        </is>
      </c>
      <c r="AC56" s="16" t="inlineStr">
        <is>
          <t>Drouin station, V/Line Gippsland line (recall; verify)</t>
        </is>
      </c>
      <c r="AD56" s="16" t="inlineStr">
        <is>
          <t>West Gippsland Hospital ED (Warragul) (24-hr: verified, South Gippsland Shire directory) (drive times: Google Maps leave-now, 27 Oct 2026 ~13:15–13:45 AEDT (midday, not peak), suburb name)</t>
        </is>
      </c>
      <c r="AE56" s="24" t="n">
        <v>1500000</v>
      </c>
      <c r="AF56" s="22" t="inlineStr">
        <is>
          <t>Maximum purchase price, excluding transaction and moving costs</t>
        </is>
      </c>
      <c r="AG56" s="22" t="inlineStr">
        <is>
          <t>AVM estimate</t>
        </is>
      </c>
      <c r="AH56" s="22" t="inlineStr">
        <is>
          <t>27 Oct 2026</t>
        </is>
      </c>
      <c r="AI56" s="22" t="inlineStr">
        <is>
          <t>Pass</t>
        </is>
      </c>
      <c r="AJ56" s="22" t="inlineStr">
        <is>
          <t>AVM house value ($701,797) is under $1.5M cap. Not a sale median.</t>
        </is>
      </c>
      <c r="AK56" s="22" t="inlineStr">
        <is>
          <t>SAL20790</t>
        </is>
      </c>
      <c r="AL56" s="32" t="n">
        <v>15287</v>
      </c>
      <c r="AM56" s="22" t="n">
        <v>39</v>
      </c>
      <c r="AN56" s="33" t="n">
        <v>0.215</v>
      </c>
      <c r="AO56" s="33" t="n">
        <v>0.131</v>
      </c>
      <c r="AP56" s="33" t="n">
        <v>0.048</v>
      </c>
      <c r="AQ56" s="33" t="n">
        <v>0.005</v>
      </c>
      <c r="AR56" s="33" t="n">
        <v>0.008</v>
      </c>
      <c r="AS56" s="33" t="n">
        <v>0.004</v>
      </c>
      <c r="AT56" s="33" t="n">
        <v>0.002</v>
      </c>
      <c r="AU56" s="33" t="n">
        <v>0.049</v>
      </c>
      <c r="AV56" s="22" t="inlineStr">
        <is>
          <t>Mandarin 0.3%; German 0.3%; Afrikaans 0.2%</t>
        </is>
      </c>
      <c r="AW5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56" s="22">
        <f>IF(AU56="","",IF(OR(AU56&gt;=0.5,AQ56&gt;=0.08),"High",IF(OR(AU56&gt;=0.3,AQ56&gt;=0.04),"Medium","Low")))</f>
        <v/>
      </c>
    </row>
    <row r="57" ht="15.75" customHeight="1" s="15">
      <c r="A57" s="16" t="inlineStr">
        <is>
          <t>West Footscray</t>
        </is>
      </c>
      <c r="B57" s="16" t="inlineStr">
        <is>
          <t>West</t>
        </is>
      </c>
      <c r="C57" s="16" t="inlineStr">
        <is>
          <t>Watchlist</t>
        </is>
      </c>
      <c r="D57" s="16" t="inlineStr">
        <is>
          <t>Not assessed</t>
        </is>
      </c>
      <c r="E57" s="16" t="inlineStr">
        <is>
          <t>Not assessed</t>
        </is>
      </c>
      <c r="F57" s="16" t="inlineStr">
        <is>
          <t>Not assessed</t>
        </is>
      </c>
      <c r="G57" s="16" t="n">
        <v>1046286</v>
      </c>
      <c r="H57" s="16" t="inlineStr">
        <is>
          <t>AVM estimate (30 Jun 2026), NOT a verified sale median; unit $520,983 (OnTheHouse/Cotality)</t>
        </is>
      </c>
      <c r="I57" s="16">
        <f>G57*(1+Settings!$B$6)</f>
        <v/>
      </c>
      <c r="J57" s="22" t="n">
        <v>39</v>
      </c>
      <c r="K57" s="22" t="n">
        <v>6</v>
      </c>
      <c r="L57" s="16" t="inlineStr">
        <is>
          <t>Provisional pass</t>
        </is>
      </c>
      <c r="M57" s="22">
        <f>IF(J57="","",ROUND(MAX(0,10*(1-J57/Filters!$B$4)),1))</f>
        <v/>
      </c>
      <c r="N57" s="22" t="n">
        <v>2</v>
      </c>
      <c r="O57" s="22">
        <f>IF(K57="","",ROUND(MAX(0,10*(1-K57/Filters!$B$5)),1))</f>
        <v/>
      </c>
      <c r="P57" s="22" t="n">
        <v>8</v>
      </c>
      <c r="Q57" s="22" t="n">
        <v>8</v>
      </c>
      <c r="R57" s="22" t="n">
        <v>5</v>
      </c>
      <c r="S57" s="22" t="n">
        <v>8</v>
      </c>
      <c r="T57" s="22">
        <f>IF(G57="","",ROUND(MAX(0,MIN(10,10*(Filters!$B$2-G57)/(Filters!$B$2-500000))),1))</f>
        <v/>
      </c>
      <c r="U57" s="22" t="n">
        <v>2</v>
      </c>
      <c r="V57" s="22" t="n">
        <v>9</v>
      </c>
      <c r="W57" s="16">
        <f>IF(M57="",0,COUNT(M57:V57))</f>
        <v/>
      </c>
      <c r="X57" s="16">
        <f>IF(W57&lt;10,"",M57*ForcedChoiceCorrections!$B$6+N57*ForcedChoiceCorrections!$B$7+O57*ForcedChoiceCorrections!$B$8+P57*ForcedChoiceCorrections!$B$9+Q57*ForcedChoiceCorrections!$B$10+R57*ForcedChoiceCorrections!$B$11+S57*ForcedChoiceCorrections!$B$12+T57*ForcedChoiceCorrections!$B$13+U57*ForcedChoiceCorrections!$B$14+V57*ForcedChoiceCorrections!$B$15)</f>
        <v/>
      </c>
      <c r="Y57" s="16">
        <f>IF(AND(ISNUMBER(SEARCH("pass",L57)),ISNUMBER(X57)),COUNTIFS(L$2:L$90,"*pass*",X$2:X$90,"&gt;"&amp;X57)+1,"")</f>
        <v/>
      </c>
      <c r="Z57" s="16" t="inlineStr">
        <is>
          <t>Added 27 Oct 2026 from realestate.com.au collection "Parents." (Listings tab). Fit ratings (P/Y/lens) not yet assessed. ED: Western Health: ED "always open".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11,729; inner suburb 7 km W of CBD [Wikipedia West Footscray]. Indian community: Barkly Village strip has Indian-owned shops incl. 'a particularly large Indian grocery store, Bharat Traders' [Wikipedia]; India-born 3.7% (434), Indian ancestry 3.6%, Hinduism 3.5%; Telugu 1.4% at home (QuickStats, via Wikipedia) [ABS 2021 GCP SAL22756]; P 8 high next to Berwick 7 at 6.1% India-born, but the grocer is real (6-7 arguable). Nature: basalt plains, no bushland named [Wikipedia]; N 2 consistent. Village: Barkly Village strip with grocers, independent supermarket (Sims), new community centre and library [Wikipedia]; R 5 consistent; Q 8 consistent. Train: suburb split by the railway (Sunbury line) [Wikipedia]; S 8 consistent. Younger area: median age 35, 10.0% aged 65+ [ABS]. City trip: 7 km; V 9 consistent. NOT checked: GPs, station frequency. Scores unchanged.</t>
        </is>
      </c>
      <c r="AB57" s="22" t="inlineStr">
        <is>
          <t>Yes</t>
        </is>
      </c>
      <c r="AC57" s="22" t="inlineStr">
        <is>
          <t>West Footscray station, Sunbury line (recall; verify)</t>
        </is>
      </c>
      <c r="AD57" s="22" t="inlineStr">
        <is>
          <t>Footscray Hospital ED (new hospital, opened Feb 2026) (drive times: Google Maps leave-now 27 Oct 2026, suburb name not postcode, not peak)</t>
        </is>
      </c>
      <c r="AE57" s="22" t="n">
        <v>1500000</v>
      </c>
      <c r="AF57" s="22" t="inlineStr">
        <is>
          <t>Maximum purchase price, excluding transaction and moving costs</t>
        </is>
      </c>
      <c r="AG57" s="22" t="inlineStr">
        <is>
          <t>AVM estimate</t>
        </is>
      </c>
      <c r="AH57" s="22" t="inlineStr">
        <is>
          <t>27 Oct 2026</t>
        </is>
      </c>
      <c r="AI57" s="22" t="inlineStr">
        <is>
          <t>Pass</t>
        </is>
      </c>
      <c r="AJ57" s="22" t="inlineStr">
        <is>
          <t>AVM house value ($1,046,286) is under $1.5M cap. Not a sale median.</t>
        </is>
      </c>
      <c r="AK57" s="22" t="inlineStr">
        <is>
          <t>SAL22756</t>
        </is>
      </c>
      <c r="AL57" s="32" t="n">
        <v>11729</v>
      </c>
      <c r="AM57" s="22" t="n">
        <v>35</v>
      </c>
      <c r="AN57" s="33" t="n">
        <v>0.1</v>
      </c>
      <c r="AO57" s="33" t="n">
        <v>0.335</v>
      </c>
      <c r="AP57" s="33" t="n">
        <v>0.053</v>
      </c>
      <c r="AQ57" s="33" t="n">
        <v>0.03700000000000001</v>
      </c>
      <c r="AR57" s="33" t="n">
        <v>0.036</v>
      </c>
      <c r="AS57" s="33" t="n">
        <v>0.035</v>
      </c>
      <c r="AT57" s="33" t="n">
        <v>0.004</v>
      </c>
      <c r="AU57" s="33" t="n">
        <v>0.32</v>
      </c>
      <c r="AV57" s="22" t="inlineStr">
        <is>
          <t>Vietnamese 8.2%; Italian 1.8%; Cantonese 1.6%</t>
        </is>
      </c>
      <c r="AW57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57" s="22">
        <f>IF(AU57="","",IF(OR(AU57&gt;=0.5,AQ57&gt;=0.08),"High",IF(OR(AU57&gt;=0.3,AQ57&gt;=0.04),"Medium","Low")))</f>
        <v/>
      </c>
    </row>
    <row r="58" ht="15.75" customHeight="1" s="15">
      <c r="A58" s="16" t="inlineStr">
        <is>
          <t>Rosanna</t>
        </is>
      </c>
      <c r="B58" s="16" t="inlineStr">
        <is>
          <t>North-East</t>
        </is>
      </c>
      <c r="C58" s="16" t="inlineStr">
        <is>
          <t>Watchlist</t>
        </is>
      </c>
      <c r="D58" s="16" t="inlineStr">
        <is>
          <t>Not assessed</t>
        </is>
      </c>
      <c r="E58" s="16" t="inlineStr">
        <is>
          <t>Not assessed</t>
        </is>
      </c>
      <c r="F58" s="16" t="inlineStr">
        <is>
          <t>Not assessed</t>
        </is>
      </c>
      <c r="G58" s="16" t="n">
        <v>1242201</v>
      </c>
      <c r="H58" s="16" t="inlineStr">
        <is>
          <t>AVM estimate (31 Aug 2026), NOT a verified sale median; unit $755,384 (OnTheHouse/Cotality)</t>
        </is>
      </c>
      <c r="I58" s="16">
        <f>G58*(1+Settings!$B$6)</f>
        <v/>
      </c>
      <c r="J58" s="22" t="n">
        <v>34</v>
      </c>
      <c r="K58" s="22" t="n">
        <v>8</v>
      </c>
      <c r="L58" s="16" t="inlineStr">
        <is>
          <t>Provisional pass</t>
        </is>
      </c>
      <c r="M58" s="22">
        <f>IF(J58="","",ROUND(MAX(0,10*(1-J58/Filters!$B$4)),1))</f>
        <v/>
      </c>
      <c r="N58" s="22" t="n">
        <v>7</v>
      </c>
      <c r="O58" s="22">
        <f>IF(K58="","",ROUND(MAX(0,10*(1-K58/Filters!$B$5)),1))</f>
        <v/>
      </c>
      <c r="P58" s="22" t="n">
        <v>4</v>
      </c>
      <c r="Q58" s="22" t="n">
        <v>7</v>
      </c>
      <c r="R58" s="22" t="n">
        <v>6</v>
      </c>
      <c r="S58" s="22" t="n">
        <v>8</v>
      </c>
      <c r="T58" s="22">
        <f>IF(G58="","",ROUND(MAX(0,MIN(10,10*(Filters!$B$2-G58)/(Filters!$B$2-500000))),1))</f>
        <v/>
      </c>
      <c r="U58" s="22" t="n">
        <v>0</v>
      </c>
      <c r="V58" s="22" t="n">
        <v>8</v>
      </c>
      <c r="W58" s="16">
        <f>IF(M58="",0,COUNT(M58:V58))</f>
        <v/>
      </c>
      <c r="X58" s="16">
        <f>IF(W58&lt;10,"",M58*ForcedChoiceCorrections!$B$6+N58*ForcedChoiceCorrections!$B$7+O58*ForcedChoiceCorrections!$B$8+P58*ForcedChoiceCorrections!$B$9+Q58*ForcedChoiceCorrections!$B$10+R58*ForcedChoiceCorrections!$B$11+S58*ForcedChoiceCorrections!$B$12+T58*ForcedChoiceCorrections!$B$13+U58*ForcedChoiceCorrections!$B$14+V58*ForcedChoiceCorrections!$B$15)</f>
        <v/>
      </c>
      <c r="Y58" s="16">
        <f>IF(AND(ISNUMBER(SEARCH("pass",L58)),ISNUMBER(X58)),COUNTIFS(L$2:L$90,"*pass*",X$2:X$90,"&gt;"&amp;X58)+1,"")</f>
        <v/>
      </c>
      <c r="Z58" s="16" t="inlineStr">
        <is>
          <t>Added 27 Oct 2026 from realestate.com.au collection "Parents." (Listings tab). Fit ratings (P/Y/lens) not yet assessed.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8,616; 12 km NE of CBD, ~2 km beyond Heidelberg, on the fringe of the Yarra Valley green belt [Wikipedia Rosanna; Victorian Places]. Nature: 'generous tree cover across hilly streets' (The Age 2019, via Wikipedia); Salt Creek open space on the former golf links, Banyule Creek linear park, Warringal parklands and Banyule Flats by the Yarra [Victorian Places]; N 6 consistent (7 arguable). Village: 'active shopping centre near the railway station'; Woolworths beside the library redevelopment [Victorian Places; Wikipedia]; R 6, Q 7 consistent. Train: recently updated station, Hurstbridge line [Wikipedia; Victorian Places]; S 8 consistent. Indian community: India-born 2.8%, Indian ancestry 3.8%, Hinduism 2.4% [ABS 2021 GCP SAL22194]; P 4 consistent. City trip: 12 km by train; V 8 consistent. NOT checked: GPs, journey time. Scores unchanged. | C3 28 Oct 2026: N 6-&gt;7 (source: 'generous tree cover across hilly streets' (The Age 2019, via Wikipedia Rosanna); Banyule Flats Reserve and Warringal parklands [Victorian Places]).</t>
        </is>
      </c>
      <c r="AB58" s="22" t="inlineStr">
        <is>
          <t>Yes</t>
        </is>
      </c>
      <c r="AC58" s="22" t="inlineStr">
        <is>
          <t>Rosanna station, Hurstbridge line (recall; verify)</t>
        </is>
      </c>
      <c r="AD58" s="22" t="inlineStr">
        <is>
          <t>Austin Hospital ED (drive times: Google Maps leave-now 27 Oct 2026, suburb name not postcode, not peak)</t>
        </is>
      </c>
      <c r="AE58" s="22" t="n">
        <v>1500000</v>
      </c>
      <c r="AF58" s="22" t="inlineStr">
        <is>
          <t>Maximum purchase price, excluding transaction and moving costs</t>
        </is>
      </c>
      <c r="AG58" s="22" t="inlineStr">
        <is>
          <t>AVM estimate</t>
        </is>
      </c>
      <c r="AH58" s="22" t="inlineStr">
        <is>
          <t>27 Oct 2026</t>
        </is>
      </c>
      <c r="AI58" s="22" t="inlineStr">
        <is>
          <t>Pass</t>
        </is>
      </c>
      <c r="AJ58" s="22" t="inlineStr">
        <is>
          <t>AVM house value ($1,242,201) is under $1.5M cap. Not a sale median.</t>
        </is>
      </c>
      <c r="AK58" s="22" t="inlineStr">
        <is>
          <t>SAL22194</t>
        </is>
      </c>
      <c r="AL58" s="32" t="n">
        <v>8616</v>
      </c>
      <c r="AM58" s="22" t="n">
        <v>41</v>
      </c>
      <c r="AN58" s="33" t="n">
        <v>0.202</v>
      </c>
      <c r="AO58" s="33" t="n">
        <v>0.266</v>
      </c>
      <c r="AP58" s="33" t="n">
        <v>0.019</v>
      </c>
      <c r="AQ58" s="33" t="n">
        <v>0.028</v>
      </c>
      <c r="AR58" s="33" t="n">
        <v>0.038</v>
      </c>
      <c r="AS58" s="33" t="n">
        <v>0.024</v>
      </c>
      <c r="AT58" s="33" t="n">
        <v>0.003</v>
      </c>
      <c r="AU58" s="33" t="n">
        <v>0.235</v>
      </c>
      <c r="AV58" s="22" t="inlineStr">
        <is>
          <t>Mandarin 4.1%; Italian 4.1%; Cantonese 1.4%</t>
        </is>
      </c>
      <c r="AW5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58" s="22">
        <f>IF(AU58="","",IF(OR(AU58&gt;=0.5,AQ58&gt;=0.08),"High",IF(OR(AU58&gt;=0.3,AQ58&gt;=0.04),"Medium","Low")))</f>
        <v/>
      </c>
    </row>
    <row r="59" ht="15.75" customHeight="1" s="15">
      <c r="A59" s="16" t="inlineStr">
        <is>
          <t>Seaford</t>
        </is>
      </c>
      <c r="B59" s="16" t="inlineStr">
        <is>
          <t>South / Coastal</t>
        </is>
      </c>
      <c r="C59" s="16" t="inlineStr">
        <is>
          <t>Watchlist</t>
        </is>
      </c>
      <c r="D59" s="16" t="inlineStr">
        <is>
          <t>Not assessed</t>
        </is>
      </c>
      <c r="E59" s="16" t="inlineStr">
        <is>
          <t>Not assessed</t>
        </is>
      </c>
      <c r="F59" s="16" t="inlineStr">
        <is>
          <t>Not assessed</t>
        </is>
      </c>
      <c r="G59" s="16" t="n">
        <v>861235</v>
      </c>
      <c r="H59" s="16" t="inlineStr">
        <is>
          <t>AVM estimate (30 Sep 2026), NOT a verified sale median; unit $657,269 (OnTheHouse/Cotality)</t>
        </is>
      </c>
      <c r="I59" s="16">
        <f>G59*(1+Settings!$B$6)</f>
        <v/>
      </c>
      <c r="J59" s="22" t="n">
        <v>24</v>
      </c>
      <c r="K59" s="22" t="n">
        <v>8</v>
      </c>
      <c r="L59" s="16" t="inlineStr">
        <is>
          <t>Provisional pass</t>
        </is>
      </c>
      <c r="M59" s="22">
        <f>IF(J59="","",ROUND(MAX(0,10*(1-J59/Filters!$B$4)),1))</f>
        <v/>
      </c>
      <c r="N59" s="22" t="n">
        <v>6</v>
      </c>
      <c r="O59" s="22">
        <f>IF(K59="","",ROUND(MAX(0,10*(1-K59/Filters!$B$5)),1))</f>
        <v/>
      </c>
      <c r="P59" s="22" t="n">
        <v>4</v>
      </c>
      <c r="Q59" s="22" t="n">
        <v>7</v>
      </c>
      <c r="R59" s="22" t="n">
        <v>4</v>
      </c>
      <c r="S59" s="22" t="n">
        <v>8</v>
      </c>
      <c r="T59" s="22">
        <f>IF(G59="","",ROUND(MAX(0,MIN(10,10*(Filters!$B$2-G59)/(Filters!$B$2-500000))),1))</f>
        <v/>
      </c>
      <c r="U59" s="22" t="n">
        <v>9</v>
      </c>
      <c r="V59" s="22" t="n">
        <v>6</v>
      </c>
      <c r="W59" s="16">
        <f>IF(M59="",0,COUNT(M59:V59))</f>
        <v/>
      </c>
      <c r="X59" s="16">
        <f>IF(W59&lt;10,"",M59*ForcedChoiceCorrections!$B$6+N59*ForcedChoiceCorrections!$B$7+O59*ForcedChoiceCorrections!$B$8+P59*ForcedChoiceCorrections!$B$9+Q59*ForcedChoiceCorrections!$B$10+R59*ForcedChoiceCorrections!$B$11+S59*ForcedChoiceCorrections!$B$12+T59*ForcedChoiceCorrections!$B$13+U59*ForcedChoiceCorrections!$B$14+V59*ForcedChoiceCorrections!$B$15)</f>
        <v/>
      </c>
      <c r="Y59" s="16">
        <f>IF(AND(ISNUMBER(SEARCH("pass",L59)),ISNUMBER(X59)),COUNTIFS(L$2:L$90,"*pass*",X$2:X$90,"&gt;"&amp;X59)+1,"")</f>
        <v/>
      </c>
      <c r="Z59" s="16" t="inlineStr">
        <is>
          <t>Added 27 Oct 2026 from realestate.com.au collection "Parents." (Listings tab). Fit ratings (P/Y/lens) not yet assessed.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Two stations; beachside with foreshore reserve and 305 ha wetlands (Wikipedia Seaford). GPs: Seaford Central Medical Clinic, Seaford Beach Family Clinic (healthdirect). Supermarket in suburb NOT confirmed; Q partly estimate. N, P, R, V remain estimates. | CHECKED 27 Oct 2026, second pass (N, P, R, V; suburb level). Nature: Seaford Foreshore Reserve is 'one of the few remaining substantial, continuous strands of natural coastal vegetation near Melbourne' along the whole suburb; Kananook walking trail [Wikipedia Seaford]; Edithvale-Seaford Wetland with walking trail and viewing platform; Kananook Creek linear reserve [Victorian Places]; N 5 looks low (6 arguable). Village: small shopping centre and pier near the station, a supermarket; largely cheap postwar housing [Victorian Places]; R 4 consistent. Indian community: India-born 0.6%, Hinduism 0.7% [ABS 2021 GCP SAL22249]; P 4 generous (2 arguable). City trip: 36 km SE on the Frankston line [Wikipedia]; journey time not stated; V 6 estimate. Scores unchanged. | C3 28 Oct 2026: N 5-&gt;6 (source: Seaford Foreshore Reserve, 'one of the few remaining substantial, continuous strands of natural coastal vegetation near Melbourne' [Wikipedia Seaford]; Edithvale-Seaford Wetland [Victorian Places]).</t>
        </is>
      </c>
      <c r="AB59" s="22" t="inlineStr">
        <is>
          <t>Yes</t>
        </is>
      </c>
      <c r="AC59" s="22" t="inlineStr">
        <is>
          <t>Seaford and Kananook stations, Frankston line, zone 2 (checked: Wikipedia Seaford)</t>
        </is>
      </c>
      <c r="AD59" s="22" t="inlineStr">
        <is>
          <t>Peninsula University Hospital ED (drive times: Google Maps leave-now 27 Oct 2026, suburb name not postcode, not peak)</t>
        </is>
      </c>
      <c r="AE59" s="22" t="n">
        <v>1500000</v>
      </c>
      <c r="AF59" s="22" t="inlineStr">
        <is>
          <t>Maximum purchase price, excluding transaction and moving costs</t>
        </is>
      </c>
      <c r="AG59" s="22" t="inlineStr">
        <is>
          <t>AVM estimate</t>
        </is>
      </c>
      <c r="AH59" s="22" t="inlineStr">
        <is>
          <t>27 Oct 2026</t>
        </is>
      </c>
      <c r="AI59" s="22" t="inlineStr">
        <is>
          <t>Pass</t>
        </is>
      </c>
      <c r="AJ59" s="22" t="inlineStr">
        <is>
          <t>AVM house value ($861,235) is under $1.5M cap. Not a sale median.</t>
        </is>
      </c>
      <c r="AK59" s="22" t="inlineStr">
        <is>
          <t>SAL22249</t>
        </is>
      </c>
      <c r="AL59" s="32" t="n">
        <v>17215</v>
      </c>
      <c r="AM59" s="22" t="n">
        <v>40</v>
      </c>
      <c r="AN59" s="33" t="n">
        <v>0.179</v>
      </c>
      <c r="AO59" s="33" t="n">
        <v>0.199</v>
      </c>
      <c r="AP59" s="33" t="n">
        <v>0.059</v>
      </c>
      <c r="AQ59" s="33" t="n">
        <v>0.006</v>
      </c>
      <c r="AR59" s="33" t="n">
        <v>0.01</v>
      </c>
      <c r="AS59" s="33" t="n">
        <v>0.006999999999999999</v>
      </c>
      <c r="AT59" s="33" t="n">
        <v>0.001</v>
      </c>
      <c r="AU59" s="33" t="n">
        <v>0.096</v>
      </c>
      <c r="AV59" s="22" t="inlineStr">
        <is>
          <t>Greek 0.9%; Russian 0.7%; Mandarin 0.7%</t>
        </is>
      </c>
      <c r="AW5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59" s="22">
        <f>IF(AU59="","",IF(OR(AU59&gt;=0.5,AQ59&gt;=0.08),"High",IF(OR(AU59&gt;=0.3,AQ59&gt;=0.04),"Medium","Low")))</f>
        <v/>
      </c>
    </row>
    <row r="60" ht="15.75" customHeight="1" s="15">
      <c r="A60" s="16" t="inlineStr">
        <is>
          <t>Chelsea</t>
        </is>
      </c>
      <c r="B60" s="16" t="inlineStr">
        <is>
          <t>South / Coastal</t>
        </is>
      </c>
      <c r="C60" s="16" t="inlineStr">
        <is>
          <t>Watchlist</t>
        </is>
      </c>
      <c r="D60" s="16" t="inlineStr">
        <is>
          <t>Not assessed</t>
        </is>
      </c>
      <c r="E60" s="16" t="inlineStr">
        <is>
          <t>Not assessed</t>
        </is>
      </c>
      <c r="F60" s="16" t="inlineStr">
        <is>
          <t>Not assessed</t>
        </is>
      </c>
      <c r="G60" s="16" t="n">
        <v>1161160</v>
      </c>
      <c r="H60" s="16" t="inlineStr">
        <is>
          <t>AVM estimate (31 Jul 2026), NOT a verified sale median; unit $734,277 (OnTheHouse/Cotality)</t>
        </is>
      </c>
      <c r="I60" s="16">
        <f>G60*(1+Settings!$B$6)</f>
        <v/>
      </c>
      <c r="J60" s="22" t="n">
        <v>30</v>
      </c>
      <c r="K60" s="22" t="n">
        <v>19</v>
      </c>
      <c r="L60" s="16" t="inlineStr">
        <is>
          <t>Provisional pass</t>
        </is>
      </c>
      <c r="M60" s="22">
        <f>IF(J60="","",ROUND(MAX(0,10*(1-J60/Filters!$B$4)),1))</f>
        <v/>
      </c>
      <c r="N60" s="22" t="n">
        <v>4</v>
      </c>
      <c r="O60" s="22">
        <f>IF(K60="","",ROUND(MAX(0,10*(1-K60/Filters!$B$5)),1))</f>
        <v/>
      </c>
      <c r="P60" s="22" t="n">
        <v>4</v>
      </c>
      <c r="Q60" s="22" t="n">
        <v>8</v>
      </c>
      <c r="R60" s="22" t="n">
        <v>5</v>
      </c>
      <c r="S60" s="22" t="n">
        <v>8</v>
      </c>
      <c r="T60" s="22">
        <f>IF(G60="","",ROUND(MAX(0,MIN(10,10*(Filters!$B$2-G60)/(Filters!$B$2-500000))),1))</f>
        <v/>
      </c>
      <c r="U60" s="22" t="n">
        <v>9</v>
      </c>
      <c r="V60" s="22" t="n">
        <v>7</v>
      </c>
      <c r="W60" s="16">
        <f>IF(M60="",0,COUNT(M60:V60))</f>
        <v/>
      </c>
      <c r="X60" s="16">
        <f>IF(W60&lt;10,"",M60*ForcedChoiceCorrections!$B$6+N60*ForcedChoiceCorrections!$B$7+O60*ForcedChoiceCorrections!$B$8+P60*ForcedChoiceCorrections!$B$9+Q60*ForcedChoiceCorrections!$B$10+R60*ForcedChoiceCorrections!$B$11+S60*ForcedChoiceCorrections!$B$12+T60*ForcedChoiceCorrections!$B$13+U60*ForcedChoiceCorrections!$B$14+V60*ForcedChoiceCorrections!$B$15)</f>
        <v/>
      </c>
      <c r="Y60" s="16">
        <f>IF(AND(ISNUMBER(SEARCH("pass",L60)),ISNUMBER(X60)),COUNTIFS(L$2:L$90,"*pass*",X$2:X$90,"&gt;"&amp;X60)+1,"")</f>
        <v/>
      </c>
      <c r="Z60" s="16" t="inlineStr">
        <is>
          <t>Added 27 Oct 2026 from realestate.com.au collection "Parents." (Listings tab). Fit ratings (P/Y/lens) not yet assessed. ED: Dandenong and Monash Medical Centre Clayton both 23 min.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Station; bay beach (Wikipedia Chelsea). GP: Chelsea Beach Medical Centre (healthdirect). Woolworths Chelsea (grocerize). N, P, R, V remain estimates. | CHECKED 27 Oct 2026, second pass (N, P, R, V; suburb level). Nature: bay beach; Bicentennial Park on a former tip site [Wikipedia Chelsea]; no bushland named; N 4 consistent. Village: 'the most important bayside suburban centre between Mordialloc and Frankston'; much older housing replaced by single-storey units in the 1960s-70s; 'more elderly people than most other Melbourne suburbs' [Wikipedia]; R 5 consistent. Indian community: India-born 1.4%, Indian ancestry 1.8%, Hinduism 0.9% [ABS 2021 GCP SAL20537]; P 4 generous (2-3 arguable). City trip: 30 km SE on the Frankston line [Victorian Places]; V 7 plausible. Scores unchanged.</t>
        </is>
      </c>
      <c r="AB60" s="22" t="inlineStr">
        <is>
          <t>Yes</t>
        </is>
      </c>
      <c r="AC60" s="22" t="inlineStr">
        <is>
          <t>Chelsea station, Frankston line (checked: Wikipedia Chelsea)</t>
        </is>
      </c>
      <c r="AD60" s="22" t="inlineStr">
        <is>
          <t>Peninsula University Hospital ED (drive times: Google Maps leave-now 27 Oct 2026, suburb name not postcode, not peak)</t>
        </is>
      </c>
      <c r="AE60" s="22" t="n">
        <v>1500000</v>
      </c>
      <c r="AF60" s="22" t="inlineStr">
        <is>
          <t>Maximum purchase price, excluding transaction and moving costs</t>
        </is>
      </c>
      <c r="AG60" s="22" t="inlineStr">
        <is>
          <t>AVM estimate</t>
        </is>
      </c>
      <c r="AH60" s="22" t="inlineStr">
        <is>
          <t>27 Oct 2026</t>
        </is>
      </c>
      <c r="AI60" s="22" t="inlineStr">
        <is>
          <t>Pass</t>
        </is>
      </c>
      <c r="AJ60" s="22" t="inlineStr">
        <is>
          <t>AVM house value ($1,161,160) is under $1.5M cap. Not a sale median.</t>
        </is>
      </c>
      <c r="AK60" s="22" t="inlineStr">
        <is>
          <t>SAL20537</t>
        </is>
      </c>
      <c r="AL60" s="32" t="n">
        <v>8347</v>
      </c>
      <c r="AM60" s="22" t="n">
        <v>41</v>
      </c>
      <c r="AN60" s="33" t="n">
        <v>0.2</v>
      </c>
      <c r="AO60" s="33" t="n">
        <v>0.244</v>
      </c>
      <c r="AP60" s="33" t="n">
        <v>0.04</v>
      </c>
      <c r="AQ60" s="33" t="n">
        <v>0.014</v>
      </c>
      <c r="AR60" s="33" t="n">
        <v>0.018</v>
      </c>
      <c r="AS60" s="33" t="n">
        <v>0.009000000000000001</v>
      </c>
      <c r="AT60" s="33" t="n">
        <v>0.001</v>
      </c>
      <c r="AU60" s="33" t="n">
        <v>0.147</v>
      </c>
      <c r="AV60" s="22" t="inlineStr">
        <is>
          <t>Greek 1.8%; Russian 1.1%; Mandarin 1.1%</t>
        </is>
      </c>
      <c r="AW60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60" s="22">
        <f>IF(AU60="","",IF(OR(AU60&gt;=0.5,AQ60&gt;=0.08),"High",IF(OR(AU60&gt;=0.3,AQ60&gt;=0.04),"Medium","Low")))</f>
        <v/>
      </c>
    </row>
    <row r="61" ht="15.75" customHeight="1" s="15">
      <c r="A61" s="16" t="inlineStr">
        <is>
          <t>Curlewis</t>
        </is>
      </c>
      <c r="B61" s="16" t="inlineStr">
        <is>
          <t>Bellarine Peninsula</t>
        </is>
      </c>
      <c r="C61" s="16" t="inlineStr">
        <is>
          <t>Watchlist</t>
        </is>
      </c>
      <c r="D61" s="16" t="inlineStr">
        <is>
          <t>Not assessed</t>
        </is>
      </c>
      <c r="E61" s="16" t="inlineStr">
        <is>
          <t>Not assessed</t>
        </is>
      </c>
      <c r="F61" s="16" t="inlineStr">
        <is>
          <t>Not assessed</t>
        </is>
      </c>
      <c r="G61" s="16" t="n">
        <v>744355</v>
      </c>
      <c r="H61" s="16" t="inlineStr">
        <is>
          <t>AVM estimate (30 Sep 2026), NOT a verified sale median; unit $695,359 (OnTheHouse/Cotality)</t>
        </is>
      </c>
      <c r="I61" s="16">
        <f>G61*(1+Settings!$B$6)</f>
        <v/>
      </c>
      <c r="J61" s="22" t="n">
        <v>104</v>
      </c>
      <c r="K61" s="22" t="n">
        <v>20</v>
      </c>
      <c r="L61" s="16" t="inlineStr">
        <is>
          <t>Fails: GW drive</t>
        </is>
      </c>
      <c r="O61" s="22">
        <f>IF(K61="","",ROUND(MAX(0,10*(1-K61/Filters!$B$5)),1))</f>
        <v/>
      </c>
      <c r="W61" s="16">
        <f>IF(M61="",0,COUNT(M61:V61))</f>
        <v/>
      </c>
      <c r="X61" s="16">
        <f>IF(W61&lt;10,"",M61*ForcedChoiceCorrections!$B$6+N61*ForcedChoiceCorrections!$B$7+O61*ForcedChoiceCorrections!$B$8+P61*ForcedChoiceCorrections!$B$9+Q61*ForcedChoiceCorrections!$B$10+R61*ForcedChoiceCorrections!$B$11+S61*ForcedChoiceCorrections!$B$12+T61*ForcedChoiceCorrections!$B$13+U61*ForcedChoiceCorrections!$B$14+V61*ForcedChoiceCorrections!$B$15)</f>
        <v/>
      </c>
      <c r="Y61" s="16">
        <f>IF(AND(ISNUMBER(SEARCH("pass",L61)),ISNUMBER(X61)),COUNTIFS(L$2:L$90,"*pass*",X$2:X$90,"&gt;"&amp;X61)+1,"")</f>
        <v/>
      </c>
      <c r="Z61" s="16" t="inlineStr">
        <is>
          <t>Added 27 Oct 2026 from realestate.com.au collection "Parents." (Listings tab). Fit ratings (P/Y/lens) not yet assessed. ED: GW time looked up mid-afternoon; Clifton Springs (26 Oct) was 95.</t>
        </is>
      </c>
      <c r="AB61" s="22" t="inlineStr">
        <is>
          <t>No</t>
        </is>
      </c>
      <c r="AC61" s="22" t="inlineStr">
        <is>
          <t>No rail; Geelong via bus (recall; verify)</t>
        </is>
      </c>
      <c r="AD61" s="22" t="inlineStr">
        <is>
          <t>University Hospital Geelong ED (drive times: Google Maps leave-now 27 Oct 2026, suburb name not postcode, not peak)</t>
        </is>
      </c>
      <c r="AE61" s="22" t="n">
        <v>1500000</v>
      </c>
      <c r="AF61" s="22" t="inlineStr">
        <is>
          <t>Maximum purchase price, excluding transaction and moving costs</t>
        </is>
      </c>
      <c r="AG61" s="22" t="inlineStr">
        <is>
          <t>AVM estimate</t>
        </is>
      </c>
      <c r="AH61" s="22" t="inlineStr">
        <is>
          <t>27 Oct 2026</t>
        </is>
      </c>
      <c r="AI61" s="22" t="inlineStr">
        <is>
          <t>Pass</t>
        </is>
      </c>
      <c r="AJ61" s="22" t="inlineStr">
        <is>
          <t>AVM house value ($744,355) is under $1.5M cap. Not a sale median.</t>
        </is>
      </c>
      <c r="AK61" s="22" t="inlineStr">
        <is>
          <t>SAL20697</t>
        </is>
      </c>
      <c r="AL61" s="32" t="n">
        <v>4175</v>
      </c>
      <c r="AM61" s="22" t="n">
        <v>34</v>
      </c>
      <c r="AN61" s="33" t="n">
        <v>0.132</v>
      </c>
      <c r="AO61" s="33" t="n">
        <v>0.144</v>
      </c>
      <c r="AP61" s="33" t="n">
        <v>0.028</v>
      </c>
      <c r="AQ61" s="33" t="n">
        <v>0.008</v>
      </c>
      <c r="AR61" s="33" t="n">
        <v>0.01</v>
      </c>
      <c r="AS61" s="33" t="n">
        <v>0.006999999999999999</v>
      </c>
      <c r="AT61" s="33" t="n">
        <v>0.001</v>
      </c>
      <c r="AU61" s="33" t="n">
        <v>0.067</v>
      </c>
      <c r="AV61" s="22" t="inlineStr">
        <is>
          <t>Mandarin 0.6%; Tagalog 0.5%; Filipino 0.4%</t>
        </is>
      </c>
      <c r="AW6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61" s="22">
        <f>IF(AU61="","",IF(OR(AU61&gt;=0.5,AQ61&gt;=0.08),"High",IF(OR(AU61&gt;=0.3,AQ61&gt;=0.04),"Medium","Low")))</f>
        <v/>
      </c>
    </row>
    <row r="62" ht="15.75" customHeight="1" s="15">
      <c r="A62" s="16" t="inlineStr">
        <is>
          <t>McCrae</t>
        </is>
      </c>
      <c r="B62" s="16" t="inlineStr">
        <is>
          <t>Mornington Peninsula</t>
        </is>
      </c>
      <c r="C62" s="16" t="inlineStr">
        <is>
          <t>Watchlist</t>
        </is>
      </c>
      <c r="D62" s="16" t="inlineStr">
        <is>
          <t>Not assessed</t>
        </is>
      </c>
      <c r="E62" s="16" t="inlineStr">
        <is>
          <t>Not assessed</t>
        </is>
      </c>
      <c r="F62" s="16" t="inlineStr">
        <is>
          <t>Not assessed</t>
        </is>
      </c>
      <c r="G62" s="16" t="n">
        <v>958743</v>
      </c>
      <c r="H62" s="16" t="inlineStr">
        <is>
          <t>AVM estimate (31 Aug 2026), NOT a verified sale median; unit $751,204 (OnTheHouse/Cotality)</t>
        </is>
      </c>
      <c r="I62" s="16">
        <f>G62*(1+Settings!$B$6)</f>
        <v/>
      </c>
      <c r="J62" s="22" t="n">
        <v>49</v>
      </c>
      <c r="K62" s="22" t="n">
        <v>6</v>
      </c>
      <c r="L62" s="16" t="inlineStr">
        <is>
          <t>Provisional pass</t>
        </is>
      </c>
      <c r="M62" s="22">
        <f>IF(J62="","",ROUND(MAX(0,10*(1-J62/Filters!$B$4)),1))</f>
        <v/>
      </c>
      <c r="N62" s="22" t="n">
        <v>8</v>
      </c>
      <c r="O62" s="22">
        <f>IF(K62="","",ROUND(MAX(0,10*(1-K62/Filters!$B$5)),1))</f>
        <v/>
      </c>
      <c r="P62" s="22" t="n">
        <v>1</v>
      </c>
      <c r="Q62" s="22" t="n">
        <v>4</v>
      </c>
      <c r="R62" s="22" t="n">
        <v>6</v>
      </c>
      <c r="S62" s="22" t="n">
        <v>2</v>
      </c>
      <c r="T62" s="22">
        <f>IF(G62="","",ROUND(MAX(0,MIN(10,10*(Filters!$B$2-G62)/(Filters!$B$2-500000))),1))</f>
        <v/>
      </c>
      <c r="U62" s="22" t="n">
        <v>9</v>
      </c>
      <c r="V62" s="22" t="n">
        <v>2</v>
      </c>
      <c r="W62" s="16">
        <f>IF(M62="",0,COUNT(M62:V62))</f>
        <v/>
      </c>
      <c r="X62" s="16">
        <f>IF(W62&lt;10,"",M62*ForcedChoiceCorrections!$B$6+N62*ForcedChoiceCorrections!$B$7+O62*ForcedChoiceCorrections!$B$8+P62*ForcedChoiceCorrections!$B$9+Q62*ForcedChoiceCorrections!$B$10+R62*ForcedChoiceCorrections!$B$11+S62*ForcedChoiceCorrections!$B$12+T62*ForcedChoiceCorrections!$B$13+U62*ForcedChoiceCorrections!$B$14+V62*ForcedChoiceCorrections!$B$15)</f>
        <v/>
      </c>
      <c r="Y62" s="16">
        <f>IF(AND(ISNUMBER(SEARCH("pass",L62)),ISNUMBER(X62)),COUNTIFS(L$2:L$90,"*pass*",X$2:X$90,"&gt;"&amp;X62)+1,"")</f>
        <v/>
      </c>
      <c r="Z62" s="16" t="inlineStr">
        <is>
          <t>Added 27 Oct 2026 from realestate.com.au collection "Parents." (Listings tab). Fit ratings (P/Y/lens) not yet assessed. ED: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3,311; bayside suburb between Dromana and Rosebud, 59 km S of CBD [Wikipedia McCrae; Victorian Places]. Beach: foreshore reserve with camping and picnic areas, yacht club, Rosebud-McCrae Life Saving Club [Victorian Places]; U 9 consistent. Nature: housing climbs the slopes of Arthurs Seat [Victorian Places]; N 8 consistent. Village: shops near the lighthouse and a drive-in shopping plaza; heritage McCrae homestead (1844) and Eastern Lighthouse [Victorian Places]; R 6, Q 4 consistent. Holiday-house area: 43.3% of dwellings unoccupied on 2011 census night [Victorian Places]. Train: none; S 2 consistent. Indian community: India-born 0.0%, Hinduism 0.0% [ABS 2021 GCP SAL21625]; P 1 consistent. Older: median age 55, 34.6% aged 65+ [ABS]. City trip: 59 km, no rail; V 2 consistent. NOT checked: GPs, supermarket, bus. Scores unchanged.</t>
        </is>
      </c>
      <c r="AB62" s="22" t="inlineStr">
        <is>
          <t>No</t>
        </is>
      </c>
      <c r="AC62" s="22" t="inlineStr">
        <is>
          <t>No passenger rail on the Peninsula south of Frankston (recall; verify)</t>
        </is>
      </c>
      <c r="AD62" s="22" t="inlineStr">
        <is>
          <t>Rosebud Hospital ED (drive times: Google Maps leave-now 27 Oct 2026, suburb name not postcode, not peak)</t>
        </is>
      </c>
      <c r="AE62" s="22" t="n">
        <v>1500000</v>
      </c>
      <c r="AF62" s="22" t="inlineStr">
        <is>
          <t>Maximum purchase price, excluding transaction and moving costs</t>
        </is>
      </c>
      <c r="AG62" s="22" t="inlineStr">
        <is>
          <t>AVM estimate</t>
        </is>
      </c>
      <c r="AH62" s="22" t="inlineStr">
        <is>
          <t>27 Oct 2026</t>
        </is>
      </c>
      <c r="AI62" s="22" t="inlineStr">
        <is>
          <t>Pass</t>
        </is>
      </c>
      <c r="AJ62" s="22" t="inlineStr">
        <is>
          <t>AVM house value ($958,743) is under $1.5M cap. Not a sale median.</t>
        </is>
      </c>
      <c r="AK62" s="22" t="inlineStr">
        <is>
          <t>SAL21625</t>
        </is>
      </c>
      <c r="AL62" s="32" t="n">
        <v>3311</v>
      </c>
      <c r="AM62" s="22" t="n">
        <v>55</v>
      </c>
      <c r="AN62" s="33" t="n">
        <v>0.346</v>
      </c>
      <c r="AO62" s="33" t="n">
        <v>0.122</v>
      </c>
      <c r="AP62" s="33" t="n">
        <v>0.059</v>
      </c>
      <c r="AQ62" s="33" t="n">
        <v>0</v>
      </c>
      <c r="AR62" s="33" t="n">
        <v>0.002</v>
      </c>
      <c r="AS62" s="33" t="n">
        <v>0</v>
      </c>
      <c r="AT62" s="33" t="n">
        <v>0</v>
      </c>
      <c r="AU62" s="33" t="n">
        <v>0.048</v>
      </c>
      <c r="AV62" s="22" t="inlineStr">
        <is>
          <t>Greek 1.1%; Italian 0.8%; Croatian 0.5%</t>
        </is>
      </c>
      <c r="AW6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62" s="22">
        <f>IF(AU62="","",IF(OR(AU62&gt;=0.5,AQ62&gt;=0.08),"High",IF(OR(AU62&gt;=0.3,AQ62&gt;=0.04),"Medium","Low")))</f>
        <v/>
      </c>
    </row>
    <row r="63" ht="15.75" customHeight="1" s="15">
      <c r="A63" s="16" t="inlineStr">
        <is>
          <t>Mount Martha</t>
        </is>
      </c>
      <c r="B63" s="16" t="inlineStr">
        <is>
          <t>Mornington Peninsula</t>
        </is>
      </c>
      <c r="C63" s="16" t="inlineStr">
        <is>
          <t>Watchlist</t>
        </is>
      </c>
      <c r="D63" s="16" t="inlineStr">
        <is>
          <t>Not assessed</t>
        </is>
      </c>
      <c r="E63" s="16" t="inlineStr">
        <is>
          <t>Not assessed</t>
        </is>
      </c>
      <c r="F63" s="16" t="inlineStr">
        <is>
          <t>Not assessed</t>
        </is>
      </c>
      <c r="G63" s="16" t="n">
        <v>1344095</v>
      </c>
      <c r="H63" s="16" t="inlineStr">
        <is>
          <t>AVM estimate (31 Aug 2026), NOT a verified sale median; unit $777,939 (OnTheHouse/Cotality)</t>
        </is>
      </c>
      <c r="I63" s="16">
        <f>G63*(1+Settings!$B$6)</f>
        <v/>
      </c>
      <c r="J63" s="22" t="n">
        <v>47</v>
      </c>
      <c r="K63" s="22" t="n">
        <v>19</v>
      </c>
      <c r="L63" s="16" t="inlineStr">
        <is>
          <t>Provisional pass</t>
        </is>
      </c>
      <c r="M63" s="22">
        <f>IF(J63="","",ROUND(MAX(0,10*(1-J63/Filters!$B$4)),1))</f>
        <v/>
      </c>
      <c r="N63" s="22" t="n">
        <v>8</v>
      </c>
      <c r="O63" s="22">
        <f>IF(K63="","",ROUND(MAX(0,10*(1-K63/Filters!$B$5)),1))</f>
        <v/>
      </c>
      <c r="P63" s="22" t="n">
        <v>2</v>
      </c>
      <c r="Q63" s="22" t="n">
        <v>5</v>
      </c>
      <c r="R63" s="22" t="n">
        <v>7</v>
      </c>
      <c r="S63" s="22" t="n">
        <v>2</v>
      </c>
      <c r="T63" s="22">
        <f>IF(G63="","",ROUND(MAX(0,MIN(10,10*(Filters!$B$2-G63)/(Filters!$B$2-500000))),1))</f>
        <v/>
      </c>
      <c r="U63" s="22" t="n">
        <v>9</v>
      </c>
      <c r="V63" s="22" t="n">
        <v>2</v>
      </c>
      <c r="W63" s="16">
        <f>IF(M63="",0,COUNT(M63:V63))</f>
        <v/>
      </c>
      <c r="X63" s="16">
        <f>IF(W63&lt;10,"",M63*ForcedChoiceCorrections!$B$6+N63*ForcedChoiceCorrections!$B$7+O63*ForcedChoiceCorrections!$B$8+P63*ForcedChoiceCorrections!$B$9+Q63*ForcedChoiceCorrections!$B$10+R63*ForcedChoiceCorrections!$B$11+S63*ForcedChoiceCorrections!$B$12+T63*ForcedChoiceCorrections!$B$13+U63*ForcedChoiceCorrections!$B$14+V63*ForcedChoiceCorrections!$B$15)</f>
        <v/>
      </c>
      <c r="Y63" s="16">
        <f>IF(AND(ISNUMBER(SEARCH("pass",L63)),ISNUMBER(X63)),COUNTIFS(L$2:L$90,"*pass*",X$2:X$90,"&gt;"&amp;X63)+1,"")</f>
        <v/>
      </c>
      <c r="Z63" s="16" t="inlineStr">
        <is>
          <t>Added 27 Oct 2026 from realestate.com.au collection "Parents." (Listings tab). Fit ratings (P/Y/lens) not yet assessed. ED: Peninsula University Hospital 22 min.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19,846; 6 km S of Mornington, 52 km S of Melbourne [Victorian Places Mount Martha]. Beach: bathing beach on Port Phillip [Wikipedia Mount Martha]; U 9 consistent. Nature: boardwalk along Balcombe Creek from the North Beach mouth to The Briars Historic Park [Wikipedia]; summit park (161 m) reserved 1929, with an ornamental conifer plantation [Victorian Places]; N 8 consistent (coast and creek, plantings partly exotic). Village: Mount Martha shopping centre; heritage holiday houses on the Esplanade [Victorian Places]; R 7 plausible. Train: no station named; S 2 consistent. Indian community: India-born 0.1%, Hinduism 0.1% [ABS 2021 GCP SAL21803]; P 2 generous (1 arguable). City trip: 52 km, no rail; V 2 consistent. NOT checked: GPs, supermarket, bus. Scores unchanged.</t>
        </is>
      </c>
      <c r="AB63" s="22" t="inlineStr">
        <is>
          <t>No</t>
        </is>
      </c>
      <c r="AC63" s="22" t="inlineStr">
        <is>
          <t>No passenger rail on the Peninsula south of Frankston (recall; verify)</t>
        </is>
      </c>
      <c r="AD63" s="22" t="inlineStr">
        <is>
          <t>Rosebud Hospital ED (drive times: Google Maps leave-now 27 Oct 2026, suburb name not postcode, not peak)</t>
        </is>
      </c>
      <c r="AE63" s="22" t="n">
        <v>1500000</v>
      </c>
      <c r="AF63" s="22" t="inlineStr">
        <is>
          <t>Maximum purchase price, excluding transaction and moving costs</t>
        </is>
      </c>
      <c r="AG63" s="22" t="inlineStr">
        <is>
          <t>AVM estimate</t>
        </is>
      </c>
      <c r="AH63" s="22" t="inlineStr">
        <is>
          <t>27 Oct 2026</t>
        </is>
      </c>
      <c r="AI63" s="22" t="inlineStr">
        <is>
          <t>Pass</t>
        </is>
      </c>
      <c r="AJ63" s="22" t="inlineStr">
        <is>
          <t>AVM house value ($1,344,095) is under $1.5M cap. Not a sale median.</t>
        </is>
      </c>
      <c r="AK63" s="22" t="inlineStr">
        <is>
          <t>SAL21803</t>
        </is>
      </c>
      <c r="AL63" s="32" t="n">
        <v>19846</v>
      </c>
      <c r="AM63" s="22" t="n">
        <v>46</v>
      </c>
      <c r="AN63" s="33" t="n">
        <v>0.238</v>
      </c>
      <c r="AO63" s="33" t="n">
        <v>0.202</v>
      </c>
      <c r="AP63" s="33" t="n">
        <v>0.034</v>
      </c>
      <c r="AQ63" s="33" t="n">
        <v>0.001</v>
      </c>
      <c r="AR63" s="33" t="n">
        <v>0.004</v>
      </c>
      <c r="AS63" s="33" t="n">
        <v>0.001</v>
      </c>
      <c r="AT63" s="33" t="n">
        <v>0</v>
      </c>
      <c r="AU63" s="33" t="n">
        <v>0.049</v>
      </c>
      <c r="AV63" s="22" t="inlineStr">
        <is>
          <t>Italian 0.8%; German 0.6%; Greek 0.6%</t>
        </is>
      </c>
      <c r="AW6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63" s="22">
        <f>IF(AU63="","",IF(OR(AU63&gt;=0.5,AQ63&gt;=0.08),"High",IF(OR(AU63&gt;=0.3,AQ63&gt;=0.04),"Medium","Low")))</f>
        <v/>
      </c>
    </row>
    <row r="64" ht="15.75" customHeight="1" s="15">
      <c r="A64" s="16" t="inlineStr">
        <is>
          <t>Mordialloc</t>
        </is>
      </c>
      <c r="B64" s="16" t="inlineStr">
        <is>
          <t>South / Coastal</t>
        </is>
      </c>
      <c r="C64" s="16" t="inlineStr">
        <is>
          <t>Watchlist</t>
        </is>
      </c>
      <c r="D64" s="16" t="inlineStr">
        <is>
          <t>Not assessed</t>
        </is>
      </c>
      <c r="E64" s="16" t="inlineStr">
        <is>
          <t>Not assessed</t>
        </is>
      </c>
      <c r="F64" s="16" t="inlineStr">
        <is>
          <t>Not assessed</t>
        </is>
      </c>
      <c r="G64" s="16" t="n">
        <v>1401241</v>
      </c>
      <c r="H64" s="16" t="inlineStr">
        <is>
          <t>AVM estimate (31 Aug 2026), NOT a verified sale median; unit $756,915 (OnTheHouse/Cotality)</t>
        </is>
      </c>
      <c r="I64" s="16">
        <f>G64*(1+Settings!$B$6)</f>
        <v/>
      </c>
      <c r="J64" s="22" t="n">
        <v>28</v>
      </c>
      <c r="K64" s="22" t="n">
        <v>14</v>
      </c>
      <c r="L64" s="16" t="inlineStr">
        <is>
          <t>Provisional pass</t>
        </is>
      </c>
      <c r="M64" s="22">
        <f>IF(J64="","",ROUND(MAX(0,10*(1-J64/Filters!$B$4)),1))</f>
        <v/>
      </c>
      <c r="N64" s="22" t="n">
        <v>5</v>
      </c>
      <c r="O64" s="22">
        <f>IF(K64="","",ROUND(MAX(0,10*(1-K64/Filters!$B$5)),1))</f>
        <v/>
      </c>
      <c r="P64" s="22" t="n">
        <v>5</v>
      </c>
      <c r="Q64" s="22" t="n">
        <v>8</v>
      </c>
      <c r="R64" s="22" t="n">
        <v>7</v>
      </c>
      <c r="S64" s="22" t="n">
        <v>8</v>
      </c>
      <c r="T64" s="22">
        <f>IF(G64="","",ROUND(MAX(0,MIN(10,10*(Filters!$B$2-G64)/(Filters!$B$2-500000))),1))</f>
        <v/>
      </c>
      <c r="U64" s="22" t="n">
        <v>9</v>
      </c>
      <c r="V64" s="22" t="n">
        <v>7</v>
      </c>
      <c r="W64" s="16">
        <f>IF(M64="",0,COUNT(M64:V64))</f>
        <v/>
      </c>
      <c r="X64" s="16">
        <f>IF(W64&lt;10,"",M64*ForcedChoiceCorrections!$B$6+N64*ForcedChoiceCorrections!$B$7+O64*ForcedChoiceCorrections!$B$8+P64*ForcedChoiceCorrections!$B$9+Q64*ForcedChoiceCorrections!$B$10+R64*ForcedChoiceCorrections!$B$11+S64*ForcedChoiceCorrections!$B$12+T64*ForcedChoiceCorrections!$B$13+U64*ForcedChoiceCorrections!$B$14+V64*ForcedChoiceCorrections!$B$15)</f>
        <v/>
      </c>
      <c r="Y64" s="16">
        <f>IF(AND(ISNUMBER(SEARCH("pass",L64)),ISNUMBER(X64)),COUNTIFS(L$2:L$90,"*pass*",X$2:X$90,"&gt;"&amp;X64)+1,"")</f>
        <v/>
      </c>
      <c r="Z64" s="16" t="inlineStr">
        <is>
          <t>Added 27 Oct 2026 from realestate.com.au collection "Parents." (Listings tab). Fit ratings (P/Y/lens) not yet assessed. ED: Alfred Health: Sandringham ED 24 hrs, 7 days. Monash Medical Centre Clayton 18 min.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 on Frankston line; beach and pier (Wikipedia Mordialloc). GP: McDonald Street Medical Centre (healthdirect). Woolworths Mordialloc (grocerize). N, P, R, V remain estimates. | CHECKED 27 Oct 2026, second pass (N, P, R, V; suburb level). Nature: tidal Mordialloc Creek mouth, beach with lifesaving and picnic facilities, numerous walking and cycling trails [Wikipedia Mordialloc; Victorian Places]; N 5 consistent. Village: shops within walking distance of the beach and station; pier and sailing club at the creek mouth [Victorian Places]; R 7 consistent. Indian community: India-born 1.4%, Indian ancestry 2.2%, Hinduism 1.4% [ABS 2021 GCP SAL21760]; P 5 generous (3 arguable). City trip: 24-25 km SE on the Frankston line [Wikipedia; Victorian Places]; V 7 plausible. Scores unchanged.</t>
        </is>
      </c>
      <c r="AB64" s="22" t="inlineStr">
        <is>
          <t>Yes</t>
        </is>
      </c>
      <c r="AC64" s="22" t="inlineStr">
        <is>
          <t>Mordialloc station, Frankston line (checked: Wikipedia Mordialloc)</t>
        </is>
      </c>
      <c r="AD64" s="22" t="inlineStr">
        <is>
          <t>Sandringham Hospital ED (drive times: Google Maps leave-now 27 Oct 2026, suburb name not postcode, not peak)</t>
        </is>
      </c>
      <c r="AE64" s="22" t="n">
        <v>1500000</v>
      </c>
      <c r="AF64" s="22" t="inlineStr">
        <is>
          <t>Maximum purchase price, excluding transaction and moving costs</t>
        </is>
      </c>
      <c r="AG64" s="22" t="inlineStr">
        <is>
          <t>AVM estimate</t>
        </is>
      </c>
      <c r="AH64" s="22" t="inlineStr">
        <is>
          <t>27 Oct 2026</t>
        </is>
      </c>
      <c r="AI64" s="22" t="inlineStr">
        <is>
          <t>Pass</t>
        </is>
      </c>
      <c r="AJ64" s="22" t="inlineStr">
        <is>
          <t>AVM house value ($1,401,241) is under $1.5M cap. Not a sale median.</t>
        </is>
      </c>
      <c r="AK64" s="22" t="inlineStr">
        <is>
          <t>SAL21760</t>
        </is>
      </c>
      <c r="AL64" s="32" t="n">
        <v>8886</v>
      </c>
      <c r="AM64" s="22" t="n">
        <v>40</v>
      </c>
      <c r="AN64" s="33" t="n">
        <v>0.155</v>
      </c>
      <c r="AO64" s="33" t="n">
        <v>0.283</v>
      </c>
      <c r="AP64" s="33" t="n">
        <v>0.031</v>
      </c>
      <c r="AQ64" s="33" t="n">
        <v>0.014</v>
      </c>
      <c r="AR64" s="33" t="n">
        <v>0.022</v>
      </c>
      <c r="AS64" s="33" t="n">
        <v>0.014</v>
      </c>
      <c r="AT64" s="33" t="n">
        <v>0.001</v>
      </c>
      <c r="AU64" s="33" t="n">
        <v>0.187</v>
      </c>
      <c r="AV64" s="22" t="inlineStr">
        <is>
          <t>Greek 2.9%; Mandarin 2.3%; Italian 1.5%</t>
        </is>
      </c>
      <c r="AW64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64" s="22">
        <f>IF(AU64="","",IF(OR(AU64&gt;=0.5,AQ64&gt;=0.08),"High",IF(OR(AU64&gt;=0.3,AQ64&gt;=0.04),"Medium","Low")))</f>
        <v/>
      </c>
    </row>
    <row r="65" ht="15.75" customHeight="1" s="15">
      <c r="A65" s="16" t="inlineStr">
        <is>
          <t>Newport</t>
        </is>
      </c>
      <c r="B65" s="16" t="inlineStr">
        <is>
          <t>West</t>
        </is>
      </c>
      <c r="C65" s="16" t="inlineStr">
        <is>
          <t>Watchlist</t>
        </is>
      </c>
      <c r="D65" s="16" t="inlineStr">
        <is>
          <t>Not assessed</t>
        </is>
      </c>
      <c r="E65" s="16" t="inlineStr">
        <is>
          <t>Not assessed</t>
        </is>
      </c>
      <c r="F65" s="16" t="inlineStr">
        <is>
          <t>Not assessed</t>
        </is>
      </c>
      <c r="G65" s="16" t="n">
        <v>1150951</v>
      </c>
      <c r="H65" s="16" t="inlineStr">
        <is>
          <t>AVM estimate (30 Sep 2026), NOT a verified sale median; unit $809,243 (OnTheHouse/Cotality)</t>
        </is>
      </c>
      <c r="I65" s="16">
        <f>G65*(1+Settings!$B$6)</f>
        <v/>
      </c>
      <c r="J65" s="22" t="n">
        <v>35</v>
      </c>
      <c r="K65" s="22" t="n">
        <v>14</v>
      </c>
      <c r="L65" s="16" t="inlineStr">
        <is>
          <t>Provisional pass</t>
        </is>
      </c>
      <c r="M65" s="22">
        <f>IF(J65="","",ROUND(MAX(0,10*(1-J65/Filters!$B$4)),1))</f>
        <v/>
      </c>
      <c r="N65" s="22" t="n">
        <v>5</v>
      </c>
      <c r="O65" s="22">
        <f>IF(K65="","",ROUND(MAX(0,10*(1-K65/Filters!$B$5)),1))</f>
        <v/>
      </c>
      <c r="P65" s="22" t="n">
        <v>6</v>
      </c>
      <c r="Q65" s="22" t="n">
        <v>7</v>
      </c>
      <c r="R65" s="22" t="n">
        <v>6</v>
      </c>
      <c r="S65" s="22" t="n">
        <v>9</v>
      </c>
      <c r="T65" s="22">
        <f>IF(G65="","",ROUND(MAX(0,MIN(10,10*(Filters!$B$2-G65)/(Filters!$B$2-500000))),1))</f>
        <v/>
      </c>
      <c r="U65" s="22" t="n">
        <v>4</v>
      </c>
      <c r="V65" s="22" t="n">
        <v>9</v>
      </c>
      <c r="W65" s="16">
        <f>IF(M65="",0,COUNT(M65:V65))</f>
        <v/>
      </c>
      <c r="X65" s="16">
        <f>IF(W65&lt;10,"",M65*ForcedChoiceCorrections!$B$6+N65*ForcedChoiceCorrections!$B$7+O65*ForcedChoiceCorrections!$B$8+P65*ForcedChoiceCorrections!$B$9+Q65*ForcedChoiceCorrections!$B$10+R65*ForcedChoiceCorrections!$B$11+S65*ForcedChoiceCorrections!$B$12+T65*ForcedChoiceCorrections!$B$13+U65*ForcedChoiceCorrections!$B$14+V65*ForcedChoiceCorrections!$B$15)</f>
        <v/>
      </c>
      <c r="Y65" s="16">
        <f>IF(AND(ISNUMBER(SEARCH("pass",L65)),ISNUMBER(X65)),COUNTIFS(L$2:L$90,"*pass*",X$2:X$90,"&gt;"&amp;X65)+1,"")</f>
        <v/>
      </c>
      <c r="Z65" s="16" t="inlineStr">
        <is>
          <t>Added 27 Oct 2026 from realestate.com.au collection "Parents." (Listings tab). Fit ratings (P/Y/lens) not yet assessed. ED: Matches Williamstown row; Williamstown Hospital not checked.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Two lines. No beach in suburb: The Strand foreshore and Altona Beach nearby; Newport Lakes 33 ha bushland (Wikipedia Newport). GP: Complete Family Care (healthdirect). Supermarket NOT confirmed; Q lowered 8-&gt;7. N, P, R, V remain estimates. | CHECKED 27 Oct 2026, second pass (N, P, R, V; suburb level). Nature: Newport Lakes Park, 33 ha 'bushland oasis' on a former quarry, 200+ plant and 85 bird species; Sandy Point Conservation Area; Greenwich Bay and The Strand [Wikipedia Newport]; N 4 low (5-6 arguable). Village: diverse mix; Substation arts centre beside the station; monthly artists' market; folk festival [Wikipedia]; residential and industrial suburb [Victorian Places]; R 6 consistent. Indian community: India-born 1.1%, Indian ancestry 1.8%, Hinduism 0.9% [ABS 2021 GCP SAL21934]; P 6 not supported (2-3 arguable). City trip: 7.5 km SW; 'a 20-minute train journey from Flinders Street' [Wikipedia]; V 9 consistent. Scores unchanged. | C3 28 Oct 2026: N 4-&gt;5 (source: Newport Lakes Park, 33 ha 'bushland oasis', 200+ plant species; Sandy Point Conservation Area [Wikipedia Newport]).</t>
        </is>
      </c>
      <c r="AB65" s="22" t="inlineStr">
        <is>
          <t>Yes</t>
        </is>
      </c>
      <c r="AC65" s="22" t="inlineStr">
        <is>
          <t>Newport station, Werribee and Williamstown lines (checked: Wikipedia Newport)</t>
        </is>
      </c>
      <c r="AD65" s="22" t="inlineStr">
        <is>
          <t>Footscray Hospital ED (drive times: Google Maps leave-now 27 Oct 2026, suburb name not postcode, not peak)</t>
        </is>
      </c>
      <c r="AE65" s="22" t="n">
        <v>1500000</v>
      </c>
      <c r="AF65" s="22" t="inlineStr">
        <is>
          <t>Maximum purchase price, excluding transaction and moving costs</t>
        </is>
      </c>
      <c r="AG65" s="22" t="inlineStr">
        <is>
          <t>AVM estimate</t>
        </is>
      </c>
      <c r="AH65" s="22" t="inlineStr">
        <is>
          <t>27 Oct 2026</t>
        </is>
      </c>
      <c r="AI65" s="22" t="inlineStr">
        <is>
          <t>Pass</t>
        </is>
      </c>
      <c r="AJ65" s="22" t="inlineStr">
        <is>
          <t>AVM house value ($1,150,951) is under $1.5M cap. Not a sale median.</t>
        </is>
      </c>
      <c r="AK65" s="22" t="inlineStr">
        <is>
          <t>SAL21934</t>
        </is>
      </c>
      <c r="AL65" s="32" t="n">
        <v>13658</v>
      </c>
      <c r="AM65" s="22" t="n">
        <v>38</v>
      </c>
      <c r="AN65" s="33" t="n">
        <v>0.115</v>
      </c>
      <c r="AO65" s="33" t="n">
        <v>0.232</v>
      </c>
      <c r="AP65" s="33" t="n">
        <v>0.028</v>
      </c>
      <c r="AQ65" s="33" t="n">
        <v>0.011</v>
      </c>
      <c r="AR65" s="33" t="n">
        <v>0.018</v>
      </c>
      <c r="AS65" s="33" t="n">
        <v>0.009000000000000001</v>
      </c>
      <c r="AT65" s="33" t="n">
        <v>0.001</v>
      </c>
      <c r="AU65" s="33" t="n">
        <v>0.176</v>
      </c>
      <c r="AV65" s="22" t="inlineStr">
        <is>
          <t>Arabic 2.4%; Greek 2.4%; Italian 1.5%</t>
        </is>
      </c>
      <c r="AW6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65" s="22">
        <f>IF(AU65="","",IF(OR(AU65&gt;=0.5,AQ65&gt;=0.08),"High",IF(OR(AU65&gt;=0.3,AQ65&gt;=0.04),"Medium","Low")))</f>
        <v/>
      </c>
    </row>
    <row r="66" ht="15.75" customHeight="1" s="15">
      <c r="A66" s="16" t="inlineStr">
        <is>
          <t>Arthurs Seat</t>
        </is>
      </c>
      <c r="B66" s="16" t="inlineStr">
        <is>
          <t>Mornington Peninsula</t>
        </is>
      </c>
      <c r="C66" s="16" t="inlineStr">
        <is>
          <t>Watchlist</t>
        </is>
      </c>
      <c r="D66" s="16" t="inlineStr">
        <is>
          <t>Not assessed</t>
        </is>
      </c>
      <c r="E66" s="16" t="inlineStr">
        <is>
          <t>Not assessed</t>
        </is>
      </c>
      <c r="F66" s="16" t="inlineStr">
        <is>
          <t>Not assessed</t>
        </is>
      </c>
      <c r="G66" s="16" t="n">
        <v>1430000</v>
      </c>
      <c r="H66" s="16" t="inlineStr">
        <is>
          <t>Sale median $1,430,000, latest 12 months, only 5 house sales (Microburbs; page says data updated Nov 2026, date unclear). WEAK evidence</t>
        </is>
      </c>
      <c r="I66" s="16">
        <f>G66*(1+Settings!$B$6)</f>
        <v/>
      </c>
      <c r="J66" s="22" t="n">
        <v>52</v>
      </c>
      <c r="K66" s="22" t="n">
        <v>13</v>
      </c>
      <c r="L66" s="16" t="inlineStr">
        <is>
          <t>Provisional pass</t>
        </is>
      </c>
      <c r="M66" s="22">
        <f>IF(J66="","",ROUND(MAX(0,10*(1-J66/Filters!$B$4)),1))</f>
        <v/>
      </c>
      <c r="N66" s="22" t="n">
        <v>9</v>
      </c>
      <c r="O66" s="22">
        <f>IF(K66="","",ROUND(MAX(0,10*(1-K66/Filters!$B$5)),1))</f>
        <v/>
      </c>
      <c r="P66" s="22" t="n">
        <v>1</v>
      </c>
      <c r="Q66" s="22" t="n">
        <v>2</v>
      </c>
      <c r="R66" s="22" t="n">
        <v>4</v>
      </c>
      <c r="S66" s="22" t="n">
        <v>1</v>
      </c>
      <c r="T66" s="22">
        <f>IF(G66="","",ROUND(MAX(0,MIN(10,10*(Filters!$B$2-G66)/(Filters!$B$2-500000))),1))</f>
        <v/>
      </c>
      <c r="U66" s="22" t="n">
        <v>6</v>
      </c>
      <c r="V66" s="22" t="n">
        <v>2</v>
      </c>
      <c r="W66" s="16">
        <f>IF(M66="",0,COUNT(M66:V66))</f>
        <v/>
      </c>
      <c r="X66" s="16">
        <f>IF(W66&lt;10,"",M66*ForcedChoiceCorrections!$B$6+N66*ForcedChoiceCorrections!$B$7+O66*ForcedChoiceCorrections!$B$8+P66*ForcedChoiceCorrections!$B$9+Q66*ForcedChoiceCorrections!$B$10+R66*ForcedChoiceCorrections!$B$11+S66*ForcedChoiceCorrections!$B$12+T66*ForcedChoiceCorrections!$B$13+U66*ForcedChoiceCorrections!$B$14+V66*ForcedChoiceCorrections!$B$15)</f>
        <v/>
      </c>
      <c r="Y66" s="16">
        <f>IF(AND(ISNUMBER(SEARCH("pass",L66)),ISNUMBER(X66)),COUNTIFS(L$2:L$90,"*pass*",X$2:X$90,"&gt;"&amp;X66)+1,"")</f>
        <v/>
      </c>
      <c r="Z66" s="16" t="inlineStr">
        <is>
          <t>Added 27 Oct 2026 from realestate.com.au collection "Parents." (Listings tab). Fit ratings (P/Y/lens) not yet assessed. ED: Peninsula University Hospital 30 min.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 Price from 5 sales only (weak). | CHECKED 27 Oct 2026, source run C1 (suburb level; Wikipedia, Victorian Places, ABS 2021 GCP DataPack). Pop 414; small hill locality, 60 km S of CBD [Victorian Places] (Wikipedia's 85 km looks wrong); summit 304-314 m. Nature: Arthurs Seat State Park covers the western half with many walking tracks (Two Bays track, Kings Falls circuit); dry open eucalypt forest, burnt in 1973 and 1997; weeds on the NW face [Wikipedia; Victorian Places]; N 9 consistent. Village: no centre; residential area east of the summit 'shading into open country towards Main Ridge'; tourist attractions (Seawinds gardens, maze, restaurants) [Victorian Places; Wikipedia]; R 6 generous for a locality with no shops (4 arguable). Shops: none named; Q 2 consistent. Beach: Dromana and McCrae beaches below; U 6 plausible. Train: none; S 1 consistent. Indian community: 0 India-born, 0 Indian ancestry [ABS 2021 GCP SAL20072]; P 1 consistent. Very small population: ABS perturbs small counts. City trip: no rail; V 2 consistent. NOT checked: road access for older drivers, bushfire overlay. Scores unchanged. | C3 28 Oct 2026: R 6-&gt;4 (source: no village centre or shops; residential area 'shading into open country towards Main Ridge' [Victorian Places Arthurs Seat]).</t>
        </is>
      </c>
      <c r="AB66" s="22" t="inlineStr">
        <is>
          <t>No</t>
        </is>
      </c>
      <c r="AC66" s="22" t="inlineStr">
        <is>
          <t>No passenger rail on the Peninsula south of Frankston (recall; verify)</t>
        </is>
      </c>
      <c r="AD66" s="22" t="inlineStr">
        <is>
          <t>Rosebud Hospital ED (drive times: Google Maps leave-now 27 Oct 2026, suburb name not postcode, not peak)</t>
        </is>
      </c>
      <c r="AE66" s="22" t="n">
        <v>1500000</v>
      </c>
      <c r="AF66" s="22" t="inlineStr">
        <is>
          <t>Maximum purchase price, excluding transaction and moving costs</t>
        </is>
      </c>
      <c r="AG66" s="22" t="inlineStr">
        <is>
          <t>Suburb sale median (5 sales)</t>
        </is>
      </c>
      <c r="AH66" s="22" t="inlineStr">
        <is>
          <t>27 Oct 2026</t>
        </is>
      </c>
      <c r="AI66" s="22" t="inlineStr">
        <is>
          <t>Pass</t>
        </is>
      </c>
      <c r="AJ66" s="22" t="inlineStr">
        <is>
          <t>Sale median ($1,430,000) is under $1.5M cap, but based on only 5 sales. Treat as unreliable.</t>
        </is>
      </c>
      <c r="AK66" s="22" t="inlineStr">
        <is>
          <t>SAL20072</t>
        </is>
      </c>
      <c r="AL66" s="32" t="n">
        <v>414</v>
      </c>
      <c r="AM66" s="22" t="n">
        <v>48</v>
      </c>
      <c r="AN66" s="33" t="n">
        <v>0.239</v>
      </c>
      <c r="AO66" s="33" t="n">
        <v>0.15</v>
      </c>
      <c r="AP66" s="33" t="n">
        <v>0.036</v>
      </c>
      <c r="AQ66" s="33" t="n">
        <v>0</v>
      </c>
      <c r="AR66" s="33" t="n">
        <v>0</v>
      </c>
      <c r="AS66" s="33" t="n">
        <v>0</v>
      </c>
      <c r="AT66" s="33" t="n">
        <v>0</v>
      </c>
      <c r="AU66" s="33" t="n">
        <v>0.039</v>
      </c>
      <c r="AV66" s="22" t="inlineStr">
        <is>
          <t>Greek 2.2%; Italian 0.7%</t>
        </is>
      </c>
      <c r="AW66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  <c r="AX66" s="22">
        <f>IF(AU66="","",IF(OR(AU66&gt;=0.5,AQ66&gt;=0.08),"High",IF(OR(AU66&gt;=0.3,AQ66&gt;=0.04),"Medium","Low")))</f>
        <v/>
      </c>
    </row>
    <row r="67" ht="15.75" customHeight="1" s="15">
      <c r="A67" s="16" t="inlineStr">
        <is>
          <t>Springvale</t>
        </is>
      </c>
      <c r="B67" s="16" t="inlineStr">
        <is>
          <t>South-East Melbourne</t>
        </is>
      </c>
      <c r="C67" s="16" t="inlineStr">
        <is>
          <t>Community comparator</t>
        </is>
      </c>
      <c r="D67" s="16" t="inlineStr">
        <is>
          <t>Not assessed</t>
        </is>
      </c>
      <c r="E67" s="16" t="inlineStr">
        <is>
          <t>Not assessed</t>
        </is>
      </c>
      <c r="F67" s="16" t="inlineStr">
        <is>
          <t>Community comparator — Diverse / lower-green</t>
        </is>
      </c>
      <c r="G67" s="16" t="n">
        <v>942500</v>
      </c>
      <c r="H67" s="16" t="inlineStr">
        <is>
          <t>SOI median price, house, 1 Jul 2025–30 Jun 2026 (pricefinder), on SOI 24 Phillip Ave</t>
        </is>
      </c>
      <c r="I67" s="16">
        <f>G67*(1+Settings!$B$6)</f>
        <v/>
      </c>
      <c r="J67" s="22" t="n">
        <v>26</v>
      </c>
      <c r="K67" s="22" t="n">
        <v>18</v>
      </c>
      <c r="L67" s="16" t="inlineStr">
        <is>
          <t>Comparator: filters met (not ranked)</t>
        </is>
      </c>
      <c r="M67" s="22">
        <f>IF(J67="","",ROUND(MAX(0,10*(1-J67/Filters!$B$4)),1))</f>
        <v/>
      </c>
      <c r="N67" s="22" t="n"/>
      <c r="O67" s="22">
        <f>IF(K67="","",ROUND(MAX(0,10*(1-K67/Filters!$B$5)),1))</f>
        <v/>
      </c>
      <c r="P67" s="22" t="n"/>
      <c r="Q67" s="22" t="n"/>
      <c r="R67" s="22" t="n"/>
      <c r="S67" s="22" t="n"/>
      <c r="T67" s="22">
        <f>IF(G67="","",ROUND(MAX(0,MIN(10,10*(Filters!$B$2-G67)/(Filters!$B$2-500000))),1))</f>
        <v/>
      </c>
      <c r="U67" s="22" t="n"/>
      <c r="V67" s="22" t="n"/>
      <c r="W67" s="16">
        <f>IF(M67="",0,COUNT(M67:V67))</f>
        <v/>
      </c>
      <c r="X67" s="16">
        <f>IF(W67&lt;10,"",M67*ForcedChoiceCorrections!$B$6+N67*ForcedChoiceCorrections!$B$7+O67*ForcedChoiceCorrections!$B$8+P67*ForcedChoiceCorrections!$B$9+Q67*ForcedChoiceCorrections!$B$10+R67*ForcedChoiceCorrections!$B$11+S67*ForcedChoiceCorrections!$B$12+T67*ForcedChoiceCorrections!$B$13+U67*ForcedChoiceCorrections!$B$14+V67*ForcedChoiceCorrections!$B$15)</f>
        <v/>
      </c>
      <c r="Y67" s="16">
        <f>IF(AND(ISNUMBER(SEARCH("pass",L67)),ISNUMBER(X67)),COUNTIFS(L$2:L$90,"*pass*",X$2:X$90,"&gt;"&amp;X67)+1,"")</f>
        <v/>
      </c>
      <c r="Z67" s="16" t="inlineStr">
        <is>
          <t>COMMUNITY COMPARATOR added 28 Oct 2026 (display-only; not ranked; no judgement scores). Corner: Diverse / lower-green. CHECKED (checked 28 Oct 2026 AEDT): GW drive peak (08:00), not used in J: typical 10–35 min (top 35, passes 90-min cap), 8.3 km via Springvale Rd [https://www.google.com/maps/dir/Springvale%20VIC%203171/Glen%20Waverley%20VIC%203150/data=!4m6!4m5!2m3!6e0!7e2!8j1793174400!3e0]; GW drive 10:00 weekday (Wed 28 Oct 2026) typical 10–26 min, top 26 = J from 28 Oct 2026 (off-peak basis, closest checked figure to the Filters tab's "leave now") [https://www.google.com/maps/dir/Springvale%20VIC%203171/Glen%20Waverley%20VIC%203150/data=!4m6!4m5!2m3!6e0!7e2!8j1793181600!3e0]. ED Monash Medical Centre Clayton 10–18 min. Price: SOI median $942,500 house (pricefinder, 1 Jul 2025–30 Jun 2026) [https://s3-ap-southeast-2.amazonaws.com/zenu/soi/b0b62daa-8691-4f3f-b21b-fc0a629845ff.pdf]; under-cap listings $700k–$790k. Indian grocery: India Town, 11b/310 Springvale Rd, 4 min (Google Business Profile). Hindu temple: Sankat Mochan Hanuman Mandir, 4 Margaret St, Oakleigh South, 10–20 min (Google, 602 reviews). Church: St Joseph's Catholic, cnr Buckingham Ave &amp; 7 St James Ave, 4 min (Google). ABS 2021: AQ 7.4%, AU 75.6%. Nature: none of real size (Wikipedia Springvale). ESTIMATE: train service (recall). NEEDS VERIFICATION: suitable property under cap; a 6-month SOI gives an outlier median $600k. Full sources: 'Community comparators — research (28 Oct 2026).md'.</t>
        </is>
      </c>
      <c r="AB67" s="22" t="inlineStr">
        <is>
          <t>Yes</t>
        </is>
      </c>
      <c r="AC67" s="22" t="inlineStr">
        <is>
          <t>Springvale station, Cranbourne/Pakenham lines (recall; verify)</t>
        </is>
      </c>
      <c r="AD67" s="22" t="inlineStr">
        <is>
          <t>Monash Medical Centre Clayton ED, 10–18 min; public hospital with 24-hour ED (Vic Dept of Health public-hospitals list; healthdirect "Open 24 hours"/"Mixed billing"); drive = top of Google Maps typical range, Depart at Wed 28 Oct 2026 10:00, suburb name not postcode</t>
        </is>
      </c>
      <c r="AE67" s="22" t="n">
        <v>1500000</v>
      </c>
      <c r="AF67" s="22" t="inlineStr">
        <is>
          <t>Maximum purchase price, excluding transaction and moving costs</t>
        </is>
      </c>
      <c r="AG67" s="22" t="inlineStr">
        <is>
          <t>SOI suburb median + under-cap listing</t>
        </is>
      </c>
      <c r="AH67" s="22" t="inlineStr">
        <is>
          <t>28 Oct 2026</t>
        </is>
      </c>
      <c r="AI67" s="22" t="inlineStr">
        <is>
          <t>Pass</t>
        </is>
      </c>
      <c r="AJ67" s="22" t="inlineStr">
        <is>
          <t>Median $942,500 under $1.5M cap. Houses also list/sell under cap: 24 Phillip Ave SOI range $700k–$770k; 15 Acacia Mews SOI range $720k–$790k with comparables 34 View Rd $730k (3 May 2026), 13 Acacia Mews $790k (27 Mar 2026). Suitable-property check (stairs, size) still needs data.</t>
        </is>
      </c>
      <c r="AK67" s="22" t="inlineStr">
        <is>
          <t>SAL22328</t>
        </is>
      </c>
      <c r="AL67" s="32" t="n">
        <v>22174</v>
      </c>
      <c r="AM67" s="22" t="n">
        <v>36</v>
      </c>
      <c r="AN67" s="33" t="n">
        <v>0.164</v>
      </c>
      <c r="AO67" s="33" t="n">
        <v>0.6629999999999999</v>
      </c>
      <c r="AP67" s="33" t="n">
        <v>0.048</v>
      </c>
      <c r="AQ67" s="33" t="n">
        <v>0.07400000000000001</v>
      </c>
      <c r="AR67" s="33" t="n">
        <v>0.057</v>
      </c>
      <c r="AS67" s="33" t="n">
        <v>0.042</v>
      </c>
      <c r="AT67" s="33" t="n">
        <v>0.032</v>
      </c>
      <c r="AU67" s="33" t="n">
        <v>0.7559999999999999</v>
      </c>
      <c r="AV67" s="22" t="inlineStr">
        <is>
          <t>Vietnamese 25.2%; Mandarin 6.7%; Cantonese 6.3%</t>
        </is>
      </c>
      <c r="AW67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67" s="22">
        <f>IF(AU67="","",IF(OR(AU67&gt;=0.5,AQ67&gt;=0.08),"High",IF(OR(AU67&gt;=0.3,AQ67&gt;=0.04),"Medium","Low")))</f>
        <v/>
      </c>
    </row>
    <row r="68" ht="15.75" customHeight="1" s="15">
      <c r="A68" s="16" t="inlineStr">
        <is>
          <t>Clayton South</t>
        </is>
      </c>
      <c r="B68" s="16" t="inlineStr">
        <is>
          <t>South-East Melbourne</t>
        </is>
      </c>
      <c r="C68" s="16" t="inlineStr">
        <is>
          <t>Community comparator</t>
        </is>
      </c>
      <c r="D68" s="16" t="inlineStr">
        <is>
          <t>Not assessed</t>
        </is>
      </c>
      <c r="E68" s="16" t="inlineStr">
        <is>
          <t>Not assessed</t>
        </is>
      </c>
      <c r="F68" s="16" t="inlineStr">
        <is>
          <t>Community comparator — Diverse / lower-green</t>
        </is>
      </c>
      <c r="G68" s="16" t="n">
        <v>985000</v>
      </c>
      <c r="H68" s="16" t="inlineStr">
        <is>
          <t>SOI median price, house, 1 Apr 2025–31 Mar 2026 (pricefinder), on SOI 85 Osborne Ave</t>
        </is>
      </c>
      <c r="I68" s="16">
        <f>G68*(1+Settings!$B$6)</f>
        <v/>
      </c>
      <c r="J68" s="22" t="n">
        <v>35</v>
      </c>
      <c r="K68" s="22" t="n">
        <v>12</v>
      </c>
      <c r="L68" s="16" t="inlineStr">
        <is>
          <t>Comparator: filters met (not ranked)</t>
        </is>
      </c>
      <c r="M68" s="22">
        <f>IF(J68="","",ROUND(MAX(0,10*(1-J68/Filters!$B$4)),1))</f>
        <v/>
      </c>
      <c r="N68" s="22" t="n"/>
      <c r="O68" s="22">
        <f>IF(K68="","",ROUND(MAX(0,10*(1-K68/Filters!$B$5)),1))</f>
        <v/>
      </c>
      <c r="P68" s="22" t="n"/>
      <c r="Q68" s="22" t="n"/>
      <c r="R68" s="22" t="n"/>
      <c r="S68" s="22" t="n"/>
      <c r="T68" s="22">
        <f>IF(G68="","",ROUND(MAX(0,MIN(10,10*(Filters!$B$2-G68)/(Filters!$B$2-500000))),1))</f>
        <v/>
      </c>
      <c r="U68" s="22" t="n"/>
      <c r="V68" s="22" t="n"/>
      <c r="W68" s="16">
        <f>IF(M68="",0,COUNT(M68:V68))</f>
        <v/>
      </c>
      <c r="X68" s="16">
        <f>IF(W68&lt;10,"",M68*ForcedChoiceCorrections!$B$6+N68*ForcedChoiceCorrections!$B$7+O68*ForcedChoiceCorrections!$B$8+P68*ForcedChoiceCorrections!$B$9+Q68*ForcedChoiceCorrections!$B$10+R68*ForcedChoiceCorrections!$B$11+S68*ForcedChoiceCorrections!$B$12+T68*ForcedChoiceCorrections!$B$13+U68*ForcedChoiceCorrections!$B$14+V68*ForcedChoiceCorrections!$B$15)</f>
        <v/>
      </c>
      <c r="Y68" s="16">
        <f>IF(AND(ISNUMBER(SEARCH("pass",L68)),ISNUMBER(X68)),COUNTIFS(L$2:L$90,"*pass*",X$2:X$90,"&gt;"&amp;X68)+1,"")</f>
        <v/>
      </c>
      <c r="Z68" s="16" t="inlineStr">
        <is>
          <t>COMMUNITY COMPARATOR added 28 Oct 2026 (display-only; not ranked; no judgement scores). Corner: Diverse / lower-green. CHECKED (checked 28 Oct 2026 AEDT): GW drive peak (08:00), not used in J: typical 16–40 min (top 40, passes), 11.4 km [https://www.google.com/maps/dir/Clayton%20South%20VIC%203169/Glen%20Waverley%20VIC%203150/data=!4m6!4m5!2m3!6e0!7e2!8j1793174400!3e0]; GW drive 10:00 weekday (Wed 28 Oct 2026) typical 14–35 min, top 35 = J from 28 Oct 2026 (off-peak basis, closest checked figure to the Filters tab's "leave now") [https://www.google.com/maps/dir/Clayton%20South%20VIC%203169/Glen%20Waverley%20VIC%203150/data=!4m6!4m5!2m3!6e0!7e2!8j1793181600!3e0]. ED Monash Medical Centre Clayton 8–12 min. Price: SOI median $985,000 house (pricefinder, Apr 2025–Mar 2026) [https://s3-ap-southeast-2.amazonaws.com/zenu/soi/daf40c18-47a7-4907-9f9a-1801cc782a35.pdf]; listing $1.00–1.08M and three comparables ~$1.0M. Indian grocery: Sarawan Spices, 335 Clayton Rd, Clayton, 5–8 min (Google Business Profile, confirmed operating); Little India Mart, 2/1310 Centre Rd, 4–6 min (Google). Hindu temple: Sankat Mochan Hanuman Mandir, Oakleigh South, 7–12 min (Google). Church: St Andrews Catholic, 76 Springs Rd, 5 min (Google). ABS 2021: AQ 14.9%, AU 67.1%. Nature: golf course and landfill; no named reserve (Victorian Places). ESTIMATE: Little India Mart's suburb (listing does not print it); train access (recall). NEEDS VERIFICATION: suitable property under cap.</t>
        </is>
      </c>
      <c r="AB68" s="22" t="inlineStr">
        <is>
          <t>No</t>
        </is>
      </c>
      <c r="AC68" s="22" t="inlineStr">
        <is>
          <t>No station in suburb; Westall and Clayton stations nearby (recall; verify)</t>
        </is>
      </c>
      <c r="AD68" s="22" t="inlineStr">
        <is>
          <t>Monash Medical Centre Clayton ED, 8–12 min; public hospital with 24-hour ED (Vic Dept of Health public-hospitals list; healthdirect "Open 24 hours"/"Mixed billing"); drive = top of Google Maps typical range, Depart at Wed 28 Oct 2026 10:00, suburb name not postcode</t>
        </is>
      </c>
      <c r="AE68" s="22" t="n">
        <v>1500000</v>
      </c>
      <c r="AF68" s="22" t="inlineStr">
        <is>
          <t>Maximum purchase price, excluding transaction and moving costs</t>
        </is>
      </c>
      <c r="AG68" s="22" t="inlineStr">
        <is>
          <t>SOI suburb median + under-cap listing</t>
        </is>
      </c>
      <c r="AH68" s="22" t="inlineStr">
        <is>
          <t>28 Oct 2026</t>
        </is>
      </c>
      <c r="AI68" s="22" t="inlineStr">
        <is>
          <t>Pass</t>
        </is>
      </c>
      <c r="AJ68" s="22" t="inlineStr">
        <is>
          <t>Median $985,000 under cap. 85 Osborne Ave SOI range $1.00M–$1.08M; comparables 37 Glenmorgan Cl $1.0M, 15 Clarevale St $1.033M, 3 Hadkinson St $1.045M (May 2026). Suitable-property check still needs data.</t>
        </is>
      </c>
      <c r="AK68" s="22" t="inlineStr">
        <is>
          <t>SAL20570</t>
        </is>
      </c>
      <c r="AL68" s="32" t="n">
        <v>13381</v>
      </c>
      <c r="AM68" s="22" t="n">
        <v>34</v>
      </c>
      <c r="AN68" s="33" t="n">
        <v>0.155</v>
      </c>
      <c r="AO68" s="33" t="n">
        <v>0.628</v>
      </c>
      <c r="AP68" s="33" t="n">
        <v>0.04099999999999999</v>
      </c>
      <c r="AQ68" s="33" t="n">
        <v>0.149</v>
      </c>
      <c r="AR68" s="33" t="n">
        <v>0.123</v>
      </c>
      <c r="AS68" s="33" t="n">
        <v>0.123</v>
      </c>
      <c r="AT68" s="33" t="n">
        <v>0.03</v>
      </c>
      <c r="AU68" s="33" t="n">
        <v>0.6709999999999999</v>
      </c>
      <c r="AV68" s="22" t="inlineStr">
        <is>
          <t>Mandarin 10.7%; Greek 9.3%; Vietnamese 4.5%</t>
        </is>
      </c>
      <c r="AW6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68" s="22">
        <f>IF(AU68="","",IF(OR(AU68&gt;=0.5,AQ68&gt;=0.08),"High",IF(OR(AU68&gt;=0.3,AQ68&gt;=0.04),"Medium","Low")))</f>
        <v/>
      </c>
    </row>
    <row r="69" ht="15.75" customHeight="1" s="15">
      <c r="A69" s="16" t="inlineStr">
        <is>
          <t>Keysborough</t>
        </is>
      </c>
      <c r="B69" s="16" t="inlineStr">
        <is>
          <t>South-East Melbourne</t>
        </is>
      </c>
      <c r="C69" s="16" t="inlineStr">
        <is>
          <t>Community comparator</t>
        </is>
      </c>
      <c r="D69" s="16" t="inlineStr">
        <is>
          <t>Not assessed</t>
        </is>
      </c>
      <c r="E69" s="16" t="inlineStr">
        <is>
          <t>Not assessed</t>
        </is>
      </c>
      <c r="F69" s="16" t="inlineStr">
        <is>
          <t>Community comparator — Diverse / lower-green</t>
        </is>
      </c>
      <c r="G69" s="16" t="n">
        <v>975000</v>
      </c>
      <c r="H69" s="16" t="inlineStr">
        <is>
          <t>SOI median price, house, 1 Jul 2025–30 Jun 2026 (pricefinder), on SOI 7-9 Cascade Pl</t>
        </is>
      </c>
      <c r="I69" s="16">
        <f>G69*(1+Settings!$B$6)</f>
        <v/>
      </c>
      <c r="J69" s="22" t="n">
        <v>24</v>
      </c>
      <c r="K69" s="22" t="n">
        <v>18</v>
      </c>
      <c r="L69" s="16" t="inlineStr">
        <is>
          <t>Comparator: filters met (not ranked)</t>
        </is>
      </c>
      <c r="M69" s="22">
        <f>IF(J69="","",ROUND(MAX(0,10*(1-J69/Filters!$B$4)),1))</f>
        <v/>
      </c>
      <c r="N69" s="22" t="n"/>
      <c r="O69" s="22">
        <f>IF(K69="","",ROUND(MAX(0,10*(1-K69/Filters!$B$5)),1))</f>
        <v/>
      </c>
      <c r="P69" s="22" t="n"/>
      <c r="Q69" s="22" t="n"/>
      <c r="R69" s="22" t="n"/>
      <c r="S69" s="22" t="n"/>
      <c r="T69" s="22">
        <f>IF(G69="","",ROUND(MAX(0,MIN(10,10*(Filters!$B$2-G69)/(Filters!$B$2-500000))),1))</f>
        <v/>
      </c>
      <c r="U69" s="22" t="n"/>
      <c r="V69" s="22" t="n"/>
      <c r="W69" s="16">
        <f>IF(M69="",0,COUNT(M69:V69))</f>
        <v/>
      </c>
      <c r="X69" s="16">
        <f>IF(W69&lt;10,"",M69*ForcedChoiceCorrections!$B$6+N69*ForcedChoiceCorrections!$B$7+O69*ForcedChoiceCorrections!$B$8+P69*ForcedChoiceCorrections!$B$9+Q69*ForcedChoiceCorrections!$B$10+R69*ForcedChoiceCorrections!$B$11+S69*ForcedChoiceCorrections!$B$12+T69*ForcedChoiceCorrections!$B$13+U69*ForcedChoiceCorrections!$B$14+V69*ForcedChoiceCorrections!$B$15)</f>
        <v/>
      </c>
      <c r="Y69" s="16">
        <f>IF(AND(ISNUMBER(SEARCH("pass",L69)),ISNUMBER(X69)),COUNTIFS(L$2:L$90,"*pass*",X$2:X$90,"&gt;"&amp;X69)+1,"")</f>
        <v/>
      </c>
      <c r="Z69" s="16" t="inlineStr">
        <is>
          <t>COMMUNITY COMPARATOR added 28 Oct 2026 (display-only; not ranked; no judgement scores). Corner: Diverse / lower-green. CHECKED (checked 28 Oct 2026 AEDT): GW drive peak (08:00), not used in J: typical 18–30 min (top 30, passes), 21.0 km via M3 [https://www.google.com/maps/dir/Keysborough%20VIC%203173/Glen%20Waverley%20VIC%203150/data=!4m6!4m5!2m3!6e0!7e2!8j1793174400!3e0]; GW drive 10:00 weekday (Wed 28 Oct 2026) typical 18–24 min, top 24 = J from 28 Oct 2026 (off-peak basis, closest checked figure to the Filters tab's "leave now") [https://www.google.com/maps/dir/Keysborough%20VIC%203173/Glen%20Waverley%20VIC%203150/data=!4m6!4m5!2m3!6e0!7e2!8j1793181600!3e0]. ED Dandenong Hospital 12–18 min. Price: SOI median $975,000 house [https://s3-ap-southeast-2.amazonaws.com/zenu/soi/ca8cd377-fe5e-42cd-a3d6-525992dc0a9d.pdf]; under-cap listing 45 Weston St $1.05–1.155M [https://s3-ap-southeast-2.amazonaws.com/zenu/soi/7b6728e4-a512-4e2d-b761-4e7595257093.pdf]. Indian grocery: India at Home, Parkmore Shopping Centre, 4–6 min (Google). Hindu temple: Shri Shiva Vishnu Temple, 52 Boundary Rd, Carrum Downs, 14–20 min (Google, 6,483 reviews); gurdwara at 198-206 Perry Rd in suburb. Church: Resurrection Parish, 402 Corrigan Rd, 5–6 min (Google). ABS 2021: AQ 6.6%, AU 61.1%. Nature: market gardens to the south; no named reserve (Wikipedia). ESTIMATE: no train (recall). NEEDS VERIFICATION: suitable property under cap.</t>
        </is>
      </c>
      <c r="AB69" s="22" t="inlineStr">
        <is>
          <t>No</t>
        </is>
      </c>
      <c r="AC69" s="22" t="inlineStr">
        <is>
          <t>No passenger rail in suburb (recall; verify)</t>
        </is>
      </c>
      <c r="AD69" s="22" t="inlineStr">
        <is>
          <t>Dandenong Hospital ED, 12–18 min; public hospital with 24-hour ED (Vic Dept of Health public-hospitals list; healthdirect "Open 24 hours"/"Mixed billing"); drive = top of Google Maps typical range, Depart at Wed 28 Oct 2026 10:00, suburb name not postcode</t>
        </is>
      </c>
      <c r="AE69" s="22" t="n">
        <v>1500000</v>
      </c>
      <c r="AF69" s="22" t="inlineStr">
        <is>
          <t>Maximum purchase price, excluding transaction and moving costs</t>
        </is>
      </c>
      <c r="AG69" s="22" t="inlineStr">
        <is>
          <t>SOI suburb median + under-cap listing</t>
        </is>
      </c>
      <c r="AH69" s="22" t="inlineStr">
        <is>
          <t>28 Oct 2026</t>
        </is>
      </c>
      <c r="AI69" s="22" t="inlineStr">
        <is>
          <t>Pass</t>
        </is>
      </c>
      <c r="AJ69" s="22" t="inlineStr">
        <is>
          <t>Median $975,000 under cap. 45 Weston St SOI range $1.05M–$1.155M; comparables 15 Petunia Dr $1.11M, 9 Annabelle Blvd $1.06M, 13 Sunflower Ct $1.128M (Feb–Jun 2026). Note the median SOI listing itself (7-9 Cascade Pl) is $1.75–1.85M, over cap. Suitable-property check still needs data.</t>
        </is>
      </c>
      <c r="AK69" s="22" t="inlineStr">
        <is>
          <t>SAL21339</t>
        </is>
      </c>
      <c r="AL69" s="32" t="n">
        <v>30018</v>
      </c>
      <c r="AM69" s="22" t="n">
        <v>36</v>
      </c>
      <c r="AN69" s="33" t="n">
        <v>0.141</v>
      </c>
      <c r="AO69" s="33" t="n">
        <v>0.541</v>
      </c>
      <c r="AP69" s="33" t="n">
        <v>0.028</v>
      </c>
      <c r="AQ69" s="33" t="n">
        <v>0.066</v>
      </c>
      <c r="AR69" s="33" t="n">
        <v>0.073</v>
      </c>
      <c r="AS69" s="33" t="n">
        <v>0.049</v>
      </c>
      <c r="AT69" s="33" t="n">
        <v>0.018</v>
      </c>
      <c r="AU69" s="33" t="n">
        <v>0.611</v>
      </c>
      <c r="AV69" s="22" t="inlineStr">
        <is>
          <t>Vietnamese 11.5%; Khmer 9.7%; Mandarin 6.8%</t>
        </is>
      </c>
      <c r="AW6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69" s="22">
        <f>IF(AU69="","",IF(OR(AU69&gt;=0.5,AQ69&gt;=0.08),"High",IF(OR(AU69&gt;=0.3,AQ69&gt;=0.04),"Medium","Low")))</f>
        <v/>
      </c>
    </row>
    <row r="70" ht="15.75" customHeight="1" s="15">
      <c r="A70" s="16" t="inlineStr">
        <is>
          <t>Clyde North</t>
        </is>
      </c>
      <c r="B70" s="16" t="inlineStr">
        <is>
          <t>South-East Melbourne</t>
        </is>
      </c>
      <c r="C70" s="16" t="inlineStr">
        <is>
          <t>Community comparator</t>
        </is>
      </c>
      <c r="D70" s="16" t="inlineStr">
        <is>
          <t>Not assessed</t>
        </is>
      </c>
      <c r="E70" s="16" t="inlineStr">
        <is>
          <t>Not assessed</t>
        </is>
      </c>
      <c r="F70" s="16" t="inlineStr">
        <is>
          <t>Community comparator — Diverse / lower-green</t>
        </is>
      </c>
      <c r="G70" s="16" t="n">
        <v>752932</v>
      </c>
      <c r="H70" s="16" t="inlineStr">
        <is>
          <t>SOI median price, house, 1 Jun 2025–31 May 2026 (PropTrack), on SOI 24 Hollywell Rd</t>
        </is>
      </c>
      <c r="I70" s="16">
        <f>G70*(1+Settings!$B$6)</f>
        <v/>
      </c>
      <c r="J70" s="22" t="n">
        <v>50</v>
      </c>
      <c r="K70" s="22" t="n">
        <v>24</v>
      </c>
      <c r="L70" s="16" t="inlineStr">
        <is>
          <t>Comparator: filters met (not ranked)</t>
        </is>
      </c>
      <c r="M70" s="22">
        <f>IF(J70="","",ROUND(MAX(0,10*(1-J70/Filters!$B$4)),1))</f>
        <v/>
      </c>
      <c r="N70" s="22" t="n"/>
      <c r="O70" s="22">
        <f>IF(K70="","",ROUND(MAX(0,10*(1-K70/Filters!$B$5)),1))</f>
        <v/>
      </c>
      <c r="P70" s="22" t="n"/>
      <c r="Q70" s="22" t="n"/>
      <c r="R70" s="22" t="n"/>
      <c r="S70" s="22" t="n"/>
      <c r="T70" s="22">
        <f>IF(G70="","",ROUND(MAX(0,MIN(10,10*(Filters!$B$2-G70)/(Filters!$B$2-500000))),1))</f>
        <v/>
      </c>
      <c r="U70" s="22" t="n"/>
      <c r="V70" s="22" t="n"/>
      <c r="W70" s="16">
        <f>IF(M70="",0,COUNT(M70:V70))</f>
        <v/>
      </c>
      <c r="X70" s="16">
        <f>IF(W70&lt;10,"",M70*ForcedChoiceCorrections!$B$6+N70*ForcedChoiceCorrections!$B$7+O70*ForcedChoiceCorrections!$B$8+P70*ForcedChoiceCorrections!$B$9+Q70*ForcedChoiceCorrections!$B$10+R70*ForcedChoiceCorrections!$B$11+S70*ForcedChoiceCorrections!$B$12+T70*ForcedChoiceCorrections!$B$13+U70*ForcedChoiceCorrections!$B$14+V70*ForcedChoiceCorrections!$B$15)</f>
        <v/>
      </c>
      <c r="Y70" s="16">
        <f>IF(AND(ISNUMBER(SEARCH("pass",L70)),ISNUMBER(X70)),COUNTIFS(L$2:L$90,"*pass*",X$2:X$90,"&gt;"&amp;X70)+1,"")</f>
        <v/>
      </c>
      <c r="Z70" s="16" t="inlineStr">
        <is>
          <t>COMMUNITY COMPARATOR added 28 Oct 2026 (display-only; not ranked; no judgement scores). Corner: Diverse / lower-green. CHECKED (checked 28 Oct 2026 AEDT): GW drive peak (08:00), not used in J: typical 35 min–1 hr 10 (top 70): passes the 90-min cap, but EXCEEDS A 60-MIN PREFERENCE if the family adopts one; 42.0 km via Thompsons Rd and M3 [https://www.google.com/maps/dir/Clyde%20North%20VIC%203978/Glen%20Waverley%20VIC%203150/data=!4m6!4m5!2m3!6e0!7e2!8j1793174400!3e0]; GW drive 10:00 weekday (Wed 28 Oct 2026) typical 28–50 min, top 50 = J from 28 Oct 2026 (off-peak basis, closest checked figure to the Filters tab's "leave now") [https://www.google.com/maps/dir/Clyde%20North%20VIC%203978/Glen%20Waverley%20VIC%203150/data=!4m6!4m5!2m3!6e0!7e2!8j1793181600!3e0]. ED Casey Hospital 12–24 min. Price: SOI median $752,932 house (PropTrack) [https://s3-ap-southeast-2.amazonaws.com/zenu/soi/a24be22a-1f37-4f59-820a-aeb288704b8c.pdf]; listing $790–860k and comparables ~$810k. Indian grocery: Wirsa Indian Groceries, 13/16 Selandra Blvd, 2 min (Google). Hindu temple: Shrinathji Haveli, 3-5 Princes Domain Dr, Hallam, 16–30 min (Google, confirmed operating). Church: St Thomas The Apostle Catholic, 5 Fiorelli Blvd, 4 min (Google; replaces the approximate GCatholic location). ABS 2021: AQ 18.2%, AU 53.6%. Nature: green-wedge farmland; regional park only proposed (Wikipedia). ESTIMATE: BAPS Mandir, 175-177 Smiths Ln, 8–12 min (listing does not print suburb); no train (recall). NEEDS VERIFICATION: suitable property under cap.</t>
        </is>
      </c>
      <c r="AB70" s="22" t="inlineStr">
        <is>
          <t>No</t>
        </is>
      </c>
      <c r="AC70" s="22" t="inlineStr">
        <is>
          <t>No station in suburb; Cranbourne line nearby (recall; verify)</t>
        </is>
      </c>
      <c r="AD70" s="22" t="inlineStr">
        <is>
          <t>Casey Hospital ED, Berwick, 12–24 min; public hospital with 24-hour ED (Vic Dept of Health public-hospitals list; healthdirect "Open 24 hours"/"Mixed billing"); drive = top of Google Maps typical range, Depart at Wed 28 Oct 2026 10:00, suburb name not postcode</t>
        </is>
      </c>
      <c r="AE70" s="22" t="n">
        <v>1500000</v>
      </c>
      <c r="AF70" s="22" t="inlineStr">
        <is>
          <t>Maximum purchase price, excluding transaction and moving costs</t>
        </is>
      </c>
      <c r="AG70" s="22" t="inlineStr">
        <is>
          <t>SOI suburb median + under-cap listing</t>
        </is>
      </c>
      <c r="AH70" s="22" t="inlineStr">
        <is>
          <t>28 Oct 2026</t>
        </is>
      </c>
      <c r="AI70" s="22" t="inlineStr">
        <is>
          <t>Pass</t>
        </is>
      </c>
      <c r="AJ70" s="22" t="inlineStr">
        <is>
          <t>Median $752,932 under cap. 24 Hollywell Rd SOI range $790k–$860k; comparables 20 &amp; 100 Deoro Pde, 55 Bazadaise Dr $810k–$827.5k (Feb–May 2026). Suitable-property check still needs data.</t>
        </is>
      </c>
      <c r="AK70" s="22" t="inlineStr">
        <is>
          <t>SAL20582</t>
        </is>
      </c>
      <c r="AL70" s="32" t="n">
        <v>31681</v>
      </c>
      <c r="AM70" s="22" t="n">
        <v>30</v>
      </c>
      <c r="AN70" s="33" t="n">
        <v>0.053</v>
      </c>
      <c r="AO70" s="33" t="n">
        <v>0.507</v>
      </c>
      <c r="AP70" s="33" t="n">
        <v>0.033</v>
      </c>
      <c r="AQ70" s="33" t="n">
        <v>0.182</v>
      </c>
      <c r="AR70" s="33" t="n">
        <v>0.184</v>
      </c>
      <c r="AS70" s="33" t="n">
        <v>0.122</v>
      </c>
      <c r="AT70" s="33" t="n">
        <v>0.102</v>
      </c>
      <c r="AU70" s="33" t="n">
        <v>0.536</v>
      </c>
      <c r="AV70" s="22" t="inlineStr">
        <is>
          <t>Punjabi 11.5%; Sinhalese 7.9%; Malayalam 3.7%</t>
        </is>
      </c>
      <c r="AW70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70" s="22">
        <f>IF(AU70="","",IF(OR(AU70&gt;=0.5,AQ70&gt;=0.08),"High",IF(OR(AU70&gt;=0.3,AQ70&gt;=0.04),"Medium","Low")))</f>
        <v/>
      </c>
    </row>
    <row r="71" ht="15.75" customHeight="1" s="15">
      <c r="A71" s="16" t="inlineStr">
        <is>
          <t>Endeavour Hills</t>
        </is>
      </c>
      <c r="B71" s="16" t="inlineStr">
        <is>
          <t>Dandenong Foothills</t>
        </is>
      </c>
      <c r="C71" s="16" t="inlineStr">
        <is>
          <t>Community comparator</t>
        </is>
      </c>
      <c r="D71" s="16" t="inlineStr">
        <is>
          <t>Not assessed</t>
        </is>
      </c>
      <c r="E71" s="16" t="inlineStr">
        <is>
          <t>Not assessed</t>
        </is>
      </c>
      <c r="F71" s="16" t="inlineStr">
        <is>
          <t>Community comparator — Potential both</t>
        </is>
      </c>
      <c r="G71" s="16" t="n">
        <v>857000</v>
      </c>
      <c r="H71" s="16" t="inlineStr">
        <is>
          <t>SOI median price, house, 1 Aug 2025–1 Aug 2026 (Price Finder), on SOI 6 Isaac Smith Cres</t>
        </is>
      </c>
      <c r="I71" s="16">
        <f>G71*(1+Settings!$B$6)</f>
        <v/>
      </c>
      <c r="J71" s="22" t="n">
        <v>26</v>
      </c>
      <c r="K71" s="22" t="n">
        <v>12</v>
      </c>
      <c r="L71" s="16" t="inlineStr">
        <is>
          <t>Comparator: filters met (not ranked)</t>
        </is>
      </c>
      <c r="M71" s="22">
        <f>IF(J71="","",ROUND(MAX(0,10*(1-J71/Filters!$B$4)),1))</f>
        <v/>
      </c>
      <c r="N71" s="22" t="n"/>
      <c r="O71" s="22">
        <f>IF(K71="","",ROUND(MAX(0,10*(1-K71/Filters!$B$5)),1))</f>
        <v/>
      </c>
      <c r="P71" s="22" t="n"/>
      <c r="Q71" s="22" t="n"/>
      <c r="R71" s="22" t="n"/>
      <c r="S71" s="22" t="n"/>
      <c r="T71" s="22">
        <f>IF(G71="","",ROUND(MAX(0,MIN(10,10*(Filters!$B$2-G71)/(Filters!$B$2-500000))),1))</f>
        <v/>
      </c>
      <c r="U71" s="22" t="n"/>
      <c r="V71" s="22" t="n"/>
      <c r="W71" s="16">
        <f>IF(M71="",0,COUNT(M71:V71))</f>
        <v/>
      </c>
      <c r="X71" s="16">
        <f>IF(W71&lt;10,"",M71*ForcedChoiceCorrections!$B$6+N71*ForcedChoiceCorrections!$B$7+O71*ForcedChoiceCorrections!$B$8+P71*ForcedChoiceCorrections!$B$9+Q71*ForcedChoiceCorrections!$B$10+R71*ForcedChoiceCorrections!$B$11+S71*ForcedChoiceCorrections!$B$12+T71*ForcedChoiceCorrections!$B$13+U71*ForcedChoiceCorrections!$B$14+V71*ForcedChoiceCorrections!$B$15)</f>
        <v/>
      </c>
      <c r="Y71" s="16">
        <f>IF(AND(ISNUMBER(SEARCH("pass",L71)),ISNUMBER(X71)),COUNTIFS(L$2:L$90,"*pass*",X$2:X$90,"&gt;"&amp;X71)+1,"")</f>
        <v/>
      </c>
      <c r="Z71" s="16" t="inlineStr">
        <is>
          <t>COMMUNITY COMPARATOR added 28 Oct 2026 (display-only; not ranked; no judgement scores). Corner: POTENTIAL BOTH (nature and community both realistic weekly). CHECKED (checked 28 Oct 2026 AEDT): GW drive peak (08:00), not used in J: typical 18–35 min (top 35, passes), 18.6 km via M3 [https://www.google.com/maps/dir/Endeavour%20Hills%20VIC%203802/Glen%20Waverley%20VIC%203150/data=!4m6!4m5!2m3!6e0!7e2!8j1793174400!3e0]; GW drive 10:00 weekday (Wed 28 Oct 2026) typical 16–26 min, top 26 = J from 28 Oct 2026 (off-peak basis, closest checked figure to the Filters tab's "leave now") [https://www.google.com/maps/dir/Endeavour%20Hills%20VIC%203802/Glen%20Waverley%20VIC%203150/data=!4m6!4m5!2m3!6e0!7e2!8j1793181600!3e0]. ED Dandenong Hospital 7–12 min. Price: SOI median $857,000 house [https://s3-ap-southeast-2.amazonaws.com/zenu/soi/8fc3f19f-6ab3-47ea-b801-9bbd2d72885f.pdf]; listing $760–820k. Indian grocery: India At Home – Dandenong, Dandenong Plaza, 49 McCrae St, 8–12 min (Google). Hindu temple: Shrinathji Haveli, Hallam, 8–14 min (Google, confirmed operating). Church: St Paul Apostle Catholic, 5 William Hovell Dr, 2 min (Google). Nature: Casuarina Forest / James Alexander Reserve 1.1 km, 3 min; Churchill National Park 8–10 min; Lysterfield Park 12 min. ABS 2021: AQ 4.6%, AU 51.3%. ESTIMATE: reserve walkable from central/northern streets (distance from suburb centre only); no train (recall). NEEDS VERIFICATION: Endeavour Spices (not found on Google Maps; not counted); Shri Sanatan Dharam Society, 126/128 Hallam N Rd (listing has no hours; 4–6 min if open); suitable property under cap. | UPDATE 28 Oct 2026: Endeavour Spices still NEEDS VERIFICATION (no Google Maps listing; web search found no listing, website or directory entry beyond the earlier onlymelbourne record); not counted as community access. Shri Sanatan Dharam Society: opening hours NEEDS VERIFICATION (Google listing shows none; web search found none). ACNC-linked register lists the society at Narre Warren North VIC 3804, so the 126/128 Hallam N Rd site may be in Narre Warren North, not Endeavour Hills; the 4–6 min drive (geocoded with "Endeavour Hills") is therefore an ESTIMATE. Source: https://civicgraph.app/charities/44400281254</t>
        </is>
      </c>
      <c r="AB71" s="22" t="inlineStr">
        <is>
          <t>No</t>
        </is>
      </c>
      <c r="AC71" s="22" t="inlineStr">
        <is>
          <t>No passenger rail in suburb (recall; verify)</t>
        </is>
      </c>
      <c r="AD71" s="22" t="inlineStr">
        <is>
          <t>Dandenong Hospital ED, 7–12 min; public hospital with 24-hour ED (Vic Dept of Health public-hospitals list; healthdirect "Open 24 hours"/"Mixed billing"); drive = top of Google Maps typical range, Depart at Wed 28 Oct 2026 10:00, suburb name not postcode</t>
        </is>
      </c>
      <c r="AE71" s="22" t="n">
        <v>1500000</v>
      </c>
      <c r="AF71" s="22" t="inlineStr">
        <is>
          <t>Maximum purchase price, excluding transaction and moving costs</t>
        </is>
      </c>
      <c r="AG71" s="22" t="inlineStr">
        <is>
          <t>SOI suburb median + under-cap listing</t>
        </is>
      </c>
      <c r="AH71" s="22" t="inlineStr">
        <is>
          <t>28 Oct 2026</t>
        </is>
      </c>
      <c r="AI71" s="22" t="inlineStr">
        <is>
          <t>Pass</t>
        </is>
      </c>
      <c r="AJ71" s="22" t="inlineStr">
        <is>
          <t>Median $857,000 under cap. 6 Isaac Smith Cres SOI range $760k–$820k. Suitable-property check still needs data.</t>
        </is>
      </c>
      <c r="AK71" s="22" t="inlineStr">
        <is>
          <t>SAL20871</t>
        </is>
      </c>
      <c r="AL71" s="32" t="n">
        <v>24455</v>
      </c>
      <c r="AM71" s="22" t="n">
        <v>39</v>
      </c>
      <c r="AN71" s="33" t="n">
        <v>0.17</v>
      </c>
      <c r="AO71" s="33" t="n">
        <v>0.492</v>
      </c>
      <c r="AP71" s="33" t="n">
        <v>0.044</v>
      </c>
      <c r="AQ71" s="33" t="n">
        <v>0.046</v>
      </c>
      <c r="AR71" s="33" t="n">
        <v>0.059</v>
      </c>
      <c r="AS71" s="33" t="n">
        <v>0.038</v>
      </c>
      <c r="AT71" s="33" t="n">
        <v>0.008</v>
      </c>
      <c r="AU71" s="33" t="n">
        <v>0.513</v>
      </c>
      <c r="AV71" s="22" t="inlineStr">
        <is>
          <t>Mandarin 4.3%; Sinhalese 3.6%; Arabic 3.1%</t>
        </is>
      </c>
      <c r="AW7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71" s="22">
        <f>IF(AU71="","",IF(OR(AU71&gt;=0.5,AQ71&gt;=0.08),"High",IF(OR(AU71&gt;=0.3,AQ71&gt;=0.04),"Medium","Low")))</f>
        <v/>
      </c>
    </row>
    <row r="72" ht="15.75" customHeight="1" s="15">
      <c r="A72" s="16" t="inlineStr">
        <is>
          <t>Wheelers Hill</t>
        </is>
      </c>
      <c r="B72" s="16" t="inlineStr">
        <is>
          <t>Dandenong Foothills</t>
        </is>
      </c>
      <c r="C72" s="16" t="inlineStr">
        <is>
          <t>Community comparator</t>
        </is>
      </c>
      <c r="D72" s="16" t="inlineStr">
        <is>
          <t>Not assessed</t>
        </is>
      </c>
      <c r="E72" s="16" t="inlineStr">
        <is>
          <t>Not assessed</t>
        </is>
      </c>
      <c r="F72" s="16" t="inlineStr">
        <is>
          <t>Community comparator — Potential both (community lighter)</t>
        </is>
      </c>
      <c r="G72" s="16" t="n">
        <v>1475000</v>
      </c>
      <c r="H72" s="16" t="inlineStr">
        <is>
          <t>SOI median price, house, 22 Jun 2025–21 Jun 2026 (Property Data), on SOI 9 Sunnybrook Dr</t>
        </is>
      </c>
      <c r="I72" s="16">
        <f>G72*(1+Settings!$B$6)</f>
        <v/>
      </c>
      <c r="J72" s="22" t="n">
        <v>12</v>
      </c>
      <c r="K72" s="22" t="n">
        <v>18</v>
      </c>
      <c r="L72" s="16" t="inlineStr">
        <is>
          <t>Comparator: filters met; suitable-property verification outstanding (not ranked)</t>
        </is>
      </c>
      <c r="M72" s="22">
        <f>IF(J72="","",ROUND(MAX(0,10*(1-J72/Filters!$B$4)),1))</f>
        <v/>
      </c>
      <c r="N72" s="22" t="n"/>
      <c r="O72" s="22">
        <f>IF(K72="","",ROUND(MAX(0,10*(1-K72/Filters!$B$5)),1))</f>
        <v/>
      </c>
      <c r="P72" s="22" t="n"/>
      <c r="Q72" s="22" t="n"/>
      <c r="R72" s="22" t="n"/>
      <c r="S72" s="22" t="n"/>
      <c r="T72" s="22">
        <f>IF(G72="","",ROUND(MAX(0,MIN(10,10*(Filters!$B$2-G72)/(Filters!$B$2-500000))),1))</f>
        <v/>
      </c>
      <c r="U72" s="22" t="n"/>
      <c r="V72" s="22" t="n"/>
      <c r="W72" s="16">
        <f>IF(M72="",0,COUNT(M72:V72))</f>
        <v/>
      </c>
      <c r="X72" s="16">
        <f>IF(W72&lt;10,"",M72*ForcedChoiceCorrections!$B$6+N72*ForcedChoiceCorrections!$B$7+O72*ForcedChoiceCorrections!$B$8+P72*ForcedChoiceCorrections!$B$9+Q72*ForcedChoiceCorrections!$B$10+R72*ForcedChoiceCorrections!$B$11+S72*ForcedChoiceCorrections!$B$12+T72*ForcedChoiceCorrections!$B$13+U72*ForcedChoiceCorrections!$B$14+V72*ForcedChoiceCorrections!$B$15)</f>
        <v/>
      </c>
      <c r="Y72" s="16">
        <f>IF(AND(ISNUMBER(SEARCH("pass",L72)),ISNUMBER(X72)),COUNTIFS(L$2:L$90,"*pass*",X$2:X$90,"&gt;"&amp;X72)+1,"")</f>
        <v/>
      </c>
      <c r="Z72" s="16" t="inlineStr">
        <is>
          <t>COMMUNITY COMPARATOR added 28 Oct 2026 (display-only; not ranked; no judgement scores). Corner: POTENTIAL BOTH, with caveat: community access is lighter (Medium band; nearest Hindu temple 10–20 min). CHECKED (checked 28 Oct 2026 AEDT): GW drive peak (08:00), not used in J: typical 4–12 min (top 12, passes), 2.6 km [https://www.google.com/maps/dir/Wheelers%20Hill%20VIC%203150/Glen%20Waverley%20VIC%203150/data=!4m6!4m5!2m3!6e0!7e2!8j1793174400!3e0]; GW drive 10:00 weekday (Wed 28 Oct 2026) typical 7–12 min, top 12 = J from 28 Oct 2026 (off-peak basis, closest checked figure to the Filters tab's "leave now") [https://www.google.com/maps/dir/Wheelers%20Hill%20VIC%203150/Glen%20Waverley%20VIC%203150/data=!4m6!4m5!2m3!6e0!7e2!8j1793181600!3e0]. ED Dandenong Hospital 12–18 min. Price: SOI median $1,475,000 house (Property Data) [https://s3-ap-southeast-2.amazonaws.com/attach-property-clientvault-com/3868/11973436/S-13799066/1782296638-118760-9-Sunnybrook-WheelersHillSOI220626.pdf]. Indian grocery: The Heritage Spices, G15/580 Ferntree Gully Rd, 6–9 min (Google). Hindu temple: Shree Swaminarayan Temple, 69 Wadhurst Dr, Boronia, 10–20 min (Google, 253 reviews); Sankat Mochan 14–28; Vakrathunda 16–35. Church: St Justin's Catholic, 48 Whalley Dr, 4 min (Google). Nature: Jells Park (~127 ha) 2.6 km, 6 min. ABS 2021: AQ 4.1%, AU 46.0%. HARD FILTER: Pass on median only; suitable-property verification outstanding. ESTIMATE: budget (under-cap listings $1.28–1.38M and $1.32M from search text only); Jells Park walkable only from eastern streets; no train (recall). NEEDS VERIFICATION: open an under-cap SOI; suitable property under cap. | UPDATE 28 Oct 2026: budget evidence changed ESTIMATE -&gt; CHECKED. Jellis Craig Wheelers Hill Suburb Report Sep 2026 (data to 6 Sep 2026) lists houses sold under $1.5M, e.g. 8 Bottlebrush Ct 4-bed house $1,215,000 (27 Aug 2026), 4 Locum Ct 4-bed $1,224,500 (8 Aug 2026), 81 Cootamundra Dr 3-bed $1,130,000 (18 Jul 2026); report median $1.46M [https://helpers.jelliscraig.com.au/suburbreportsdownloads/Wheelers_Hill_Suburb_Reports_Sep_2026.pdf]. Agency sold-results report, not an SOI. Suitable-property verification still outstanding. | 28 Oct 2026: family accepted this report as Checked budget evidence. It shows recent sold houses under the cap; it does NOT verify that a specific suitable downsizing/family home is available. L updated to "filters met; suitable-property verification outstanding".</t>
        </is>
      </c>
      <c r="AB72" s="22" t="inlineStr">
        <is>
          <t>No</t>
        </is>
      </c>
      <c r="AC72" s="22" t="inlineStr">
        <is>
          <t>No passenger rail in suburb (recall; verify)</t>
        </is>
      </c>
      <c r="AD72" s="22" t="inlineStr">
        <is>
          <t>Dandenong Hospital ED, 12–18 min (MMC 14–30); public hospital with 24-hour ED (Vic Dept of Health public-hospitals list; healthdirect "Open 24 hours"/"Mixed billing"); drive = top of Google Maps typical range, Depart at Wed 28 Oct 2026 10:00, suburb name not postcode</t>
        </is>
      </c>
      <c r="AE72" s="22" t="n">
        <v>1500000</v>
      </c>
      <c r="AF72" s="22" t="inlineStr">
        <is>
          <t>Maximum purchase price, excluding transaction and moving costs</t>
        </is>
      </c>
      <c r="AG72" s="22" t="inlineStr">
        <is>
          <t>Recorded house sales under cap (agency sold-results report) + SOI suburb median</t>
        </is>
      </c>
      <c r="AH72" s="22" t="inlineStr">
        <is>
          <t>28 Oct 2026 (report data current to 6 Sep 2026)</t>
        </is>
      </c>
      <c r="AI72" s="22" t="inlineStr">
        <is>
          <t>Checked</t>
        </is>
      </c>
      <c r="AJ72" s="22" t="inlineStr">
        <is>
          <t>Budget evidence CHECKED 28 Oct 2026: Jellis Craig "Wheelers Hill Suburb Report" Sep 2026 (data current to 6 Sep 2026; Victorian sales data) lists houses SOLD under $1.5M, e.g. 8 Bottlebrush Ct, 4-bed house, $1,215,000, 27 Aug 2026; 4 Locum Ct, 4-bed house, $1,224,500, 8 Aug 2026; 21 Haversham Ave, 4-bed house, $1,140,000, 27 Jul 2026; 81 Cootamundra Dr, 3-bed house, $1,130,000, 18 Jul 2026; 25 Calderwood Ave $1,370,000; 1 Lanoma Ct $1,360,000; 1 Sean Cl $1,350,000; 58 The Deviation $1,120,000 (10 of the 16 disclosed house prices Jun–Sep 2026 are under cap). Report median house price $1.46M. Source: https://helpers.jelliscraig.com.au/suburbreportsdownloads/Wheelers_Hill_Suburb_Reports_Sep_2026.pdf. Document type: agency sold-results report, not a listing Statement of Information. Earlier search-text listings (10 Dalkeith Cl, 22 Darlington Ave) still not opened. Suitable-property check (stairs, size) still needs data. Accepted by family 28 Oct 2026 as Checked budget evidence; supports further suitable-property investigation only, not a verified suitable property.</t>
        </is>
      </c>
      <c r="AK72" s="22" t="inlineStr">
        <is>
          <t>SAL22766</t>
        </is>
      </c>
      <c r="AL72" s="32" t="n">
        <v>20652</v>
      </c>
      <c r="AM72" s="22" t="n">
        <v>48</v>
      </c>
      <c r="AN72" s="33" t="n">
        <v>0.294</v>
      </c>
      <c r="AO72" s="33" t="n">
        <v>0.463</v>
      </c>
      <c r="AP72" s="33" t="n">
        <v>0.04</v>
      </c>
      <c r="AQ72" s="33" t="n">
        <v>0.04099999999999999</v>
      </c>
      <c r="AR72" s="33" t="n">
        <v>0.05599999999999999</v>
      </c>
      <c r="AS72" s="33" t="n">
        <v>0.045</v>
      </c>
      <c r="AT72" s="33" t="n">
        <v>0.006999999999999999</v>
      </c>
      <c r="AU72" s="33" t="n">
        <v>0.46</v>
      </c>
      <c r="AV72" s="22" t="inlineStr">
        <is>
          <t>Mandarin 15.4%; Cantonese 4.7%; Greek 4.5%</t>
        </is>
      </c>
      <c r="AW7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72" s="22">
        <f>IF(AU72="","",IF(OR(AU72&gt;=0.5,AQ72&gt;=0.08),"High",IF(OR(AU72&gt;=0.3,AQ72&gt;=0.04),"Medium","Low")))</f>
        <v/>
      </c>
    </row>
    <row r="73" ht="15.75" customHeight="1" s="15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str"/>
      <c r="L73" s="16" t="n"/>
      <c r="W73" s="16">
        <f>IF(M73="",0,COUNT(M73:V73))</f>
        <v/>
      </c>
      <c r="X73" s="16">
        <f>IF(W73&lt;10,"",M73*ForcedChoiceCorrections!$B$6+N73*ForcedChoiceCorrections!$B$7+O73*ForcedChoiceCorrections!$B$8+P73*ForcedChoiceCorrections!$B$9+Q73*ForcedChoiceCorrections!$B$10+R73*ForcedChoiceCorrections!$B$11+S73*ForcedChoiceCorrections!$B$12+T73*ForcedChoiceCorrections!$B$13+U73*ForcedChoiceCorrections!$B$14+V73*ForcedChoiceCorrections!$B$15)</f>
        <v/>
      </c>
      <c r="Y73" s="16">
        <f>IF(AND(ISNUMBER(SEARCH("pass",L73)),ISNUMBER(X73)),COUNTIFS(L$2:L$90,"*pass*",X$2:X$90,"&gt;"&amp;X73)+1,"")</f>
        <v/>
      </c>
      <c r="Z73" s="16" t="n"/>
    </row>
    <row r="74" ht="15.75" customHeight="1" s="15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str"/>
      <c r="L74" s="16" t="n"/>
      <c r="W74" s="16">
        <f>IF(M74="",0,COUNT(M74:V74))</f>
        <v/>
      </c>
      <c r="X74" s="16">
        <f>IF(W74&lt;10,"",M74*ForcedChoiceCorrections!$B$6+N74*ForcedChoiceCorrections!$B$7+O74*ForcedChoiceCorrections!$B$8+P74*ForcedChoiceCorrections!$B$9+Q74*ForcedChoiceCorrections!$B$10+R74*ForcedChoiceCorrections!$B$11+S74*ForcedChoiceCorrections!$B$12+T74*ForcedChoiceCorrections!$B$13+U74*ForcedChoiceCorrections!$B$14+V74*ForcedChoiceCorrections!$B$15)</f>
        <v/>
      </c>
      <c r="Y74" s="16">
        <f>IF(AND(ISNUMBER(SEARCH("pass",L74)),ISNUMBER(X74)),COUNTIFS(L$2:L$90,"*pass*",X$2:X$90,"&gt;"&amp;X74)+1,"")</f>
        <v/>
      </c>
      <c r="Z74" s="16" t="n"/>
    </row>
    <row r="75" ht="15.75" customHeight="1" s="1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str"/>
      <c r="L75" s="16" t="n"/>
      <c r="W75" s="16">
        <f>IF(M75="",0,COUNT(M75:V75))</f>
        <v/>
      </c>
      <c r="X75" s="16">
        <f>IF(W75&lt;10,"",M75*ForcedChoiceCorrections!$B$6+N75*ForcedChoiceCorrections!$B$7+O75*ForcedChoiceCorrections!$B$8+P75*ForcedChoiceCorrections!$B$9+Q75*ForcedChoiceCorrections!$B$10+R75*ForcedChoiceCorrections!$B$11+S75*ForcedChoiceCorrections!$B$12+T75*ForcedChoiceCorrections!$B$13+U75*ForcedChoiceCorrections!$B$14+V75*ForcedChoiceCorrections!$B$15)</f>
        <v/>
      </c>
      <c r="Y75" s="16">
        <f>IF(AND(ISNUMBER(SEARCH("pass",L75)),ISNUMBER(X75)),COUNTIFS(L$2:L$90,"*pass*",X$2:X$90,"&gt;"&amp;X75)+1,"")</f>
        <v/>
      </c>
      <c r="Z75" s="16" t="n"/>
    </row>
    <row r="76" ht="15.75" customHeight="1" s="15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str"/>
      <c r="L76" s="16" t="n"/>
      <c r="W76" s="16">
        <f>IF(M76="",0,COUNT(M76:V76))</f>
        <v/>
      </c>
      <c r="X76" s="16">
        <f>IF(W76&lt;10,"",M76*ForcedChoiceCorrections!$B$6+N76*ForcedChoiceCorrections!$B$7+O76*ForcedChoiceCorrections!$B$8+P76*ForcedChoiceCorrections!$B$9+Q76*ForcedChoiceCorrections!$B$10+R76*ForcedChoiceCorrections!$B$11+S76*ForcedChoiceCorrections!$B$12+T76*ForcedChoiceCorrections!$B$13+U76*ForcedChoiceCorrections!$B$14+V76*ForcedChoiceCorrections!$B$15)</f>
        <v/>
      </c>
      <c r="Y76" s="16">
        <f>IF(AND(ISNUMBER(SEARCH("pass",L76)),ISNUMBER(X76)),COUNTIFS(L$2:L$90,"*pass*",X$2:X$90,"&gt;"&amp;X76)+1,"")</f>
        <v/>
      </c>
      <c r="Z76" s="16" t="n"/>
    </row>
    <row r="77" ht="15.75" customHeight="1" s="15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str"/>
      <c r="L77" s="16" t="n"/>
      <c r="W77" s="16">
        <f>IF(M77="",0,COUNT(M77:V77))</f>
        <v/>
      </c>
      <c r="X77" s="16">
        <f>IF(W77&lt;10,"",M77*ForcedChoiceCorrections!$B$6+N77*ForcedChoiceCorrections!$B$7+O77*ForcedChoiceCorrections!$B$8+P77*ForcedChoiceCorrections!$B$9+Q77*ForcedChoiceCorrections!$B$10+R77*ForcedChoiceCorrections!$B$11+S77*ForcedChoiceCorrections!$B$12+T77*ForcedChoiceCorrections!$B$13+U77*ForcedChoiceCorrections!$B$14+V77*ForcedChoiceCorrections!$B$15)</f>
        <v/>
      </c>
      <c r="Y77" s="16">
        <f>IF(AND(ISNUMBER(SEARCH("pass",L77)),ISNUMBER(X77)),COUNTIFS(L$2:L$90,"*pass*",X$2:X$90,"&gt;"&amp;X77)+1,"")</f>
        <v/>
      </c>
      <c r="Z77" s="16" t="n"/>
    </row>
    <row r="78" ht="15.75" customHeight="1" s="15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str"/>
      <c r="L78" s="16" t="n"/>
      <c r="W78" s="16">
        <f>IF(M78="",0,COUNT(M78:V78))</f>
        <v/>
      </c>
      <c r="X78" s="16">
        <f>IF(W78&lt;10,"",M78*ForcedChoiceCorrections!$B$6+N78*ForcedChoiceCorrections!$B$7+O78*ForcedChoiceCorrections!$B$8+P78*ForcedChoiceCorrections!$B$9+Q78*ForcedChoiceCorrections!$B$10+R78*ForcedChoiceCorrections!$B$11+S78*ForcedChoiceCorrections!$B$12+T78*ForcedChoiceCorrections!$B$13+U78*ForcedChoiceCorrections!$B$14+V78*ForcedChoiceCorrections!$B$15)</f>
        <v/>
      </c>
      <c r="Y78" s="16">
        <f>IF(AND(ISNUMBER(SEARCH("pass",L78)),ISNUMBER(X78)),COUNTIFS(L$2:L$90,"*pass*",X$2:X$90,"&gt;"&amp;X78)+1,"")</f>
        <v/>
      </c>
      <c r="Z78" s="16" t="n"/>
    </row>
    <row r="79" ht="15.75" customHeight="1" s="15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str"/>
      <c r="L79" s="16" t="n"/>
      <c r="W79" s="16">
        <f>IF(M79="",0,COUNT(M79:V79))</f>
        <v/>
      </c>
      <c r="X79" s="16">
        <f>IF(W79&lt;10,"",M79*ForcedChoiceCorrections!$B$6+N79*ForcedChoiceCorrections!$B$7+O79*ForcedChoiceCorrections!$B$8+P79*ForcedChoiceCorrections!$B$9+Q79*ForcedChoiceCorrections!$B$10+R79*ForcedChoiceCorrections!$B$11+S79*ForcedChoiceCorrections!$B$12+T79*ForcedChoiceCorrections!$B$13+U79*ForcedChoiceCorrections!$B$14+V79*ForcedChoiceCorrections!$B$15)</f>
        <v/>
      </c>
      <c r="Y79" s="16">
        <f>IF(AND(ISNUMBER(SEARCH("pass",L79)),ISNUMBER(X79)),COUNTIFS(L$2:L$90,"*pass*",X$2:X$90,"&gt;"&amp;X79)+1,"")</f>
        <v/>
      </c>
      <c r="Z79" s="16" t="n"/>
    </row>
    <row r="80" ht="15.75" customHeight="1" s="15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str"/>
      <c r="L80" s="16" t="n"/>
      <c r="W80" s="16">
        <f>IF(M80="",0,COUNT(M80:V80))</f>
        <v/>
      </c>
      <c r="X80" s="16">
        <f>IF(W80&lt;10,"",M80*ForcedChoiceCorrections!$B$6+N80*ForcedChoiceCorrections!$B$7+O80*ForcedChoiceCorrections!$B$8+P80*ForcedChoiceCorrections!$B$9+Q80*ForcedChoiceCorrections!$B$10+R80*ForcedChoiceCorrections!$B$11+S80*ForcedChoiceCorrections!$B$12+T80*ForcedChoiceCorrections!$B$13+U80*ForcedChoiceCorrections!$B$14+V80*ForcedChoiceCorrections!$B$15)</f>
        <v/>
      </c>
      <c r="Y80" s="16">
        <f>IF(AND(ISNUMBER(SEARCH("pass",L80)),ISNUMBER(X80)),COUNTIFS(L$2:L$90,"*pass*",X$2:X$90,"&gt;"&amp;X80)+1,"")</f>
        <v/>
      </c>
      <c r="Z80" s="16" t="n"/>
    </row>
    <row r="81" ht="15.75" customHeight="1" s="15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str"/>
      <c r="L81" s="16" t="n"/>
      <c r="W81" s="16">
        <f>IF(M81="",0,COUNT(M81:V81))</f>
        <v/>
      </c>
      <c r="X81" s="16">
        <f>IF(W81&lt;10,"",M81*ForcedChoiceCorrections!$B$6+N81*ForcedChoiceCorrections!$B$7+O81*ForcedChoiceCorrections!$B$8+P81*ForcedChoiceCorrections!$B$9+Q81*ForcedChoiceCorrections!$B$10+R81*ForcedChoiceCorrections!$B$11+S81*ForcedChoiceCorrections!$B$12+T81*ForcedChoiceCorrections!$B$13+U81*ForcedChoiceCorrections!$B$14+V81*ForcedChoiceCorrections!$B$15)</f>
        <v/>
      </c>
      <c r="Y81" s="16">
        <f>IF(AND(ISNUMBER(SEARCH("pass",L81)),ISNUMBER(X81)),COUNTIFS(L$2:L$90,"*pass*",X$2:X$90,"&gt;"&amp;X81)+1,"")</f>
        <v/>
      </c>
      <c r="Z81" s="16" t="n"/>
    </row>
    <row r="82" ht="15.75" customHeight="1" s="15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str"/>
      <c r="L82" s="16" t="n"/>
      <c r="W82" s="16">
        <f>IF(M82="",0,COUNT(M82:V82))</f>
        <v/>
      </c>
      <c r="X82" s="16">
        <f>IF(W82&lt;10,"",M82*ForcedChoiceCorrections!$B$6+N82*ForcedChoiceCorrections!$B$7+O82*ForcedChoiceCorrections!$B$8+P82*ForcedChoiceCorrections!$B$9+Q82*ForcedChoiceCorrections!$B$10+R82*ForcedChoiceCorrections!$B$11+S82*ForcedChoiceCorrections!$B$12+T82*ForcedChoiceCorrections!$B$13+U82*ForcedChoiceCorrections!$B$14+V82*ForcedChoiceCorrections!$B$15)</f>
        <v/>
      </c>
      <c r="Y82" s="16">
        <f>IF(AND(ISNUMBER(SEARCH("pass",L82)),ISNUMBER(X82)),COUNTIFS(L$2:L$90,"*pass*",X$2:X$90,"&gt;"&amp;X82)+1,"")</f>
        <v/>
      </c>
      <c r="Z82" s="16" t="n"/>
    </row>
    <row r="83" ht="15.75" customHeight="1" s="15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str"/>
      <c r="L83" s="16" t="n"/>
      <c r="W83" s="16">
        <f>IF(M83="",0,COUNT(M83:V83))</f>
        <v/>
      </c>
      <c r="X83" s="16">
        <f>IF(W83&lt;10,"",M83*ForcedChoiceCorrections!$B$6+N83*ForcedChoiceCorrections!$B$7+O83*ForcedChoiceCorrections!$B$8+P83*ForcedChoiceCorrections!$B$9+Q83*ForcedChoiceCorrections!$B$10+R83*ForcedChoiceCorrections!$B$11+S83*ForcedChoiceCorrections!$B$12+T83*ForcedChoiceCorrections!$B$13+U83*ForcedChoiceCorrections!$B$14+V83*ForcedChoiceCorrections!$B$15)</f>
        <v/>
      </c>
      <c r="Y83" s="16">
        <f>IF(AND(ISNUMBER(SEARCH("pass",L83)),ISNUMBER(X83)),COUNTIFS(L$2:L$90,"*pass*",X$2:X$90,"&gt;"&amp;X83)+1,"")</f>
        <v/>
      </c>
      <c r="Z83" s="16" t="n"/>
    </row>
    <row r="84" ht="15.75" customHeight="1" s="15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str"/>
      <c r="L84" s="16" t="n"/>
      <c r="W84" s="16">
        <f>IF(M84="",0,COUNT(M84:V84))</f>
        <v/>
      </c>
      <c r="X84" s="16">
        <f>IF(W84&lt;10,"",M84*ForcedChoiceCorrections!$B$6+N84*ForcedChoiceCorrections!$B$7+O84*ForcedChoiceCorrections!$B$8+P84*ForcedChoiceCorrections!$B$9+Q84*ForcedChoiceCorrections!$B$10+R84*ForcedChoiceCorrections!$B$11+S84*ForcedChoiceCorrections!$B$12+T84*ForcedChoiceCorrections!$B$13+U84*ForcedChoiceCorrections!$B$14+V84*ForcedChoiceCorrections!$B$15)</f>
        <v/>
      </c>
      <c r="Y84" s="16">
        <f>IF(AND(ISNUMBER(SEARCH("pass",L84)),ISNUMBER(X84)),COUNTIFS(L$2:L$90,"*pass*",X$2:X$90,"&gt;"&amp;X84)+1,"")</f>
        <v/>
      </c>
      <c r="Z84" s="16" t="n"/>
    </row>
    <row r="85" ht="15.75" customHeight="1" s="1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str"/>
      <c r="L85" s="16" t="n"/>
      <c r="W85" s="16">
        <f>IF(M85="",0,COUNT(M85:V85))</f>
        <v/>
      </c>
      <c r="X85" s="16">
        <f>IF(W85&lt;10,"",M85*ForcedChoiceCorrections!$B$6+N85*ForcedChoiceCorrections!$B$7+O85*ForcedChoiceCorrections!$B$8+P85*ForcedChoiceCorrections!$B$9+Q85*ForcedChoiceCorrections!$B$10+R85*ForcedChoiceCorrections!$B$11+S85*ForcedChoiceCorrections!$B$12+T85*ForcedChoiceCorrections!$B$13+U85*ForcedChoiceCorrections!$B$14+V85*ForcedChoiceCorrections!$B$15)</f>
        <v/>
      </c>
      <c r="Y85" s="16">
        <f>IF(AND(ISNUMBER(SEARCH("pass",L85)),ISNUMBER(X85)),COUNTIFS(L$2:L$90,"*pass*",X$2:X$90,"&gt;"&amp;X85)+1,"")</f>
        <v/>
      </c>
      <c r="Z85" s="16" t="n"/>
    </row>
    <row r="86" ht="15.75" customHeight="1" s="15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str"/>
      <c r="L86" s="16" t="n"/>
      <c r="W86" s="16">
        <f>IF(M86="",0,COUNT(M86:V86))</f>
        <v/>
      </c>
      <c r="X86" s="16">
        <f>IF(W86&lt;10,"",M86*ForcedChoiceCorrections!$B$6+N86*ForcedChoiceCorrections!$B$7+O86*ForcedChoiceCorrections!$B$8+P86*ForcedChoiceCorrections!$B$9+Q86*ForcedChoiceCorrections!$B$10+R86*ForcedChoiceCorrections!$B$11+S86*ForcedChoiceCorrections!$B$12+T86*ForcedChoiceCorrections!$B$13+U86*ForcedChoiceCorrections!$B$14+V86*ForcedChoiceCorrections!$B$15)</f>
        <v/>
      </c>
      <c r="Y86" s="16">
        <f>IF(AND(ISNUMBER(SEARCH("pass",L86)),ISNUMBER(X86)),COUNTIFS(L$2:L$90,"*pass*",X$2:X$90,"&gt;"&amp;X86)+1,"")</f>
        <v/>
      </c>
      <c r="Z86" s="16" t="n"/>
    </row>
    <row r="87" ht="15.75" customHeight="1" s="15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str"/>
      <c r="L87" s="16" t="n"/>
      <c r="W87" s="16">
        <f>IF(M87="",0,COUNT(M87:V87))</f>
        <v/>
      </c>
      <c r="X87" s="16">
        <f>IF(W87&lt;10,"",M87*ForcedChoiceCorrections!$B$6+N87*ForcedChoiceCorrections!$B$7+O87*ForcedChoiceCorrections!$B$8+P87*ForcedChoiceCorrections!$B$9+Q87*ForcedChoiceCorrections!$B$10+R87*ForcedChoiceCorrections!$B$11+S87*ForcedChoiceCorrections!$B$12+T87*ForcedChoiceCorrections!$B$13+U87*ForcedChoiceCorrections!$B$14+V87*ForcedChoiceCorrections!$B$15)</f>
        <v/>
      </c>
      <c r="Y87" s="16">
        <f>IF(AND(ISNUMBER(SEARCH("pass",L87)),ISNUMBER(X87)),COUNTIFS(L$2:L$90,"*pass*",X$2:X$90,"&gt;"&amp;X87)+1,"")</f>
        <v/>
      </c>
      <c r="Z87" s="16" t="n"/>
    </row>
    <row r="88" ht="15.75" customHeight="1" s="15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str"/>
      <c r="L88" s="16" t="n"/>
      <c r="W88" s="16">
        <f>IF(M88="",0,COUNT(M88:V88))</f>
        <v/>
      </c>
      <c r="X88" s="16">
        <f>IF(W88&lt;10,"",M88*ForcedChoiceCorrections!$B$6+N88*ForcedChoiceCorrections!$B$7+O88*ForcedChoiceCorrections!$B$8+P88*ForcedChoiceCorrections!$B$9+Q88*ForcedChoiceCorrections!$B$10+R88*ForcedChoiceCorrections!$B$11+S88*ForcedChoiceCorrections!$B$12+T88*ForcedChoiceCorrections!$B$13+U88*ForcedChoiceCorrections!$B$14+V88*ForcedChoiceCorrections!$B$15)</f>
        <v/>
      </c>
      <c r="Y88" s="16">
        <f>IF(AND(ISNUMBER(SEARCH("pass",L88)),ISNUMBER(X88)),COUNTIFS(L$2:L$90,"*pass*",X$2:X$90,"&gt;"&amp;X88)+1,"")</f>
        <v/>
      </c>
      <c r="Z88" s="16" t="n"/>
    </row>
    <row r="89" ht="15.75" customHeight="1" s="15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str"/>
      <c r="L89" s="16" t="n"/>
      <c r="W89" s="16">
        <f>IF(M89="",0,COUNT(M89:V89))</f>
        <v/>
      </c>
      <c r="X89" s="16">
        <f>IF(W89&lt;10,"",M89*ForcedChoiceCorrections!$B$6+N89*ForcedChoiceCorrections!$B$7+O89*ForcedChoiceCorrections!$B$8+P89*ForcedChoiceCorrections!$B$9+Q89*ForcedChoiceCorrections!$B$10+R89*ForcedChoiceCorrections!$B$11+S89*ForcedChoiceCorrections!$B$12+T89*ForcedChoiceCorrections!$B$13+U89*ForcedChoiceCorrections!$B$14+V89*ForcedChoiceCorrections!$B$15)</f>
        <v/>
      </c>
      <c r="Y89" s="16">
        <f>IF(AND(ISNUMBER(SEARCH("pass",L89)),ISNUMBER(X89)),COUNTIFS(L$2:L$90,"*pass*",X$2:X$90,"&gt;"&amp;X89)+1,"")</f>
        <v/>
      </c>
      <c r="Z89" s="16" t="n"/>
    </row>
    <row r="90" ht="15.75" customHeight="1" s="15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str"/>
      <c r="L90" s="16" t="n"/>
      <c r="W90" s="16">
        <f>IF(M90="",0,COUNT(M90:V90))</f>
        <v/>
      </c>
      <c r="X90" s="16">
        <f>IF(W90&lt;10,"",M90*ForcedChoiceCorrections!$B$6+N90*ForcedChoiceCorrections!$B$7+O90*ForcedChoiceCorrections!$B$8+P90*ForcedChoiceCorrections!$B$9+Q90*ForcedChoiceCorrections!$B$10+R90*ForcedChoiceCorrections!$B$11+S90*ForcedChoiceCorrections!$B$12+T90*ForcedChoiceCorrections!$B$13+U90*ForcedChoiceCorrections!$B$14+V90*ForcedChoiceCorrections!$B$15)</f>
        <v/>
      </c>
      <c r="Y90" s="16">
        <f>IF(AND(ISNUMBER(SEARCH("pass",L90)),ISNUMBER(X90)),COUNTIFS(L$2:L$90,"*pass*",X$2:X$90,"&gt;"&amp;X90)+1,"")</f>
        <v/>
      </c>
      <c r="Z90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G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22" min="1" max="1"/>
    <col width="26" customWidth="1" style="22" min="2" max="2"/>
    <col width="16" customWidth="1" style="22" min="3" max="3"/>
    <col width="30" customWidth="1" style="22" min="4" max="4"/>
    <col width="12" customWidth="1" style="22" min="5" max="6"/>
    <col width="15" customWidth="1" style="22" min="7" max="7"/>
    <col width="6" customWidth="1" style="22" min="8" max="10"/>
    <col width="9" customWidth="1" style="22" min="11" max="11"/>
    <col width="12" customWidth="1" style="22" min="12" max="12"/>
    <col width="20" customWidth="1" style="22" min="13" max="13"/>
    <col width="17" customWidth="1" style="22" min="14" max="14"/>
    <col width="16" customWidth="1" style="22" min="15" max="15"/>
    <col width="18" customWidth="1" style="22" min="16" max="16"/>
    <col width="10" customWidth="1" style="22" min="17" max="19"/>
    <col width="24" customWidth="1" style="22" min="20" max="20"/>
    <col width="50" customWidth="1" style="22" min="21" max="21"/>
    <col width="60" customWidth="1" style="15" min="22" max="22"/>
    <col width="60" customWidth="1" style="22" min="23" max="23"/>
  </cols>
  <sheetData>
    <row r="1" ht="79.84999999999999" customHeight="1" s="15">
      <c r="A1" s="25" t="inlineStr">
        <is>
          <t>#</t>
        </is>
      </c>
      <c r="B1" s="25" t="inlineStr">
        <is>
          <t>Address</t>
        </is>
      </c>
      <c r="C1" s="25" t="inlineStr">
        <is>
          <t>Suburb</t>
        </is>
      </c>
      <c r="D1" s="25" t="inlineStr">
        <is>
          <t>Price guide (as listed)</t>
        </is>
      </c>
      <c r="E1" s="25" t="inlineStr">
        <is>
          <t>Guide low ($)</t>
        </is>
      </c>
      <c r="F1" s="25" t="inlineStr">
        <is>
          <t>Guide high ($)</t>
        </is>
      </c>
      <c r="G1" s="25" t="inlineStr">
        <is>
          <t>Budget check (vs Filters!B2)</t>
        </is>
      </c>
      <c r="H1" s="25" t="inlineStr">
        <is>
          <t>Beds</t>
        </is>
      </c>
      <c r="I1" s="25" t="inlineStr">
        <is>
          <t>Baths</t>
        </is>
      </c>
      <c r="J1" s="25" t="inlineStr">
        <is>
          <t>Cars</t>
        </is>
      </c>
      <c r="K1" s="25" t="inlineStr">
        <is>
          <t>Land (m²)</t>
        </is>
      </c>
      <c r="L1" s="25" t="inlineStr">
        <is>
          <t>Listing status</t>
        </is>
      </c>
      <c r="M1" s="25" t="inlineStr">
        <is>
          <t>Next inspection (as of 27 Oct)</t>
        </is>
      </c>
      <c r="N1" s="25" t="inlineStr">
        <is>
          <t>Agent</t>
        </is>
      </c>
      <c r="O1" s="25" t="inlineStr">
        <is>
          <t>Scorecard suburb (lookup key)</t>
        </is>
      </c>
      <c r="P1" s="25" t="inlineStr">
        <is>
          <t>Scorecard shortlist status</t>
        </is>
      </c>
      <c r="Q1" s="25" t="inlineStr">
        <is>
          <t>Drive to GW (min, suburb)</t>
        </is>
      </c>
      <c r="R1" s="25" t="inlineStr">
        <is>
          <t>Drive to ED (min, suburb)</t>
        </is>
      </c>
      <c r="S1" s="25" t="inlineStr">
        <is>
          <t>Train (suburb)</t>
        </is>
      </c>
      <c r="T1" s="25" t="inlineStr">
        <is>
          <t>Overall check</t>
        </is>
      </c>
      <c r="U1" s="25" t="inlineStr">
        <is>
          <t>Notes</t>
        </is>
      </c>
      <c r="V1" s="30" t="inlineStr">
        <is>
          <t>Listing URL (realestate.com.au)</t>
        </is>
      </c>
      <c r="W1" s="26" t="inlineStr">
        <is>
          <t>Source: realestate.com.au collection 'Parents.', read from browser 27 Oct 2026 (copied from the Google Sheet version of this tab). A–F, H–O, U are pasted values; G and P–T are formulas. Prices are agent guides (purchase price, before costs), compared with Filters!B2 purchase cap. Drive times and train are suburb-level from SuburbScorecard, not per address. Inspection times go stale after 31 Oct. Refresh = re-read the collection and overwrite pasted columns only.</t>
        </is>
      </c>
      <c r="X1" t="inlineStr">
        <is>
          <t>Separation tier now (A–D / Unknown; R6.1 ladder, from floorplan)</t>
        </is>
      </c>
      <c r="Y1" t="inlineStr">
        <is>
          <t>Mobility level met now (0–3 / Unknown; R6.4 ladder)</t>
        </is>
      </c>
      <c r="Z1" t="inlineStr">
        <is>
          <t>Mobility gap (None / Minor works / Major / Unknown)</t>
        </is>
      </c>
      <c r="AA1" t="inlineStr">
        <is>
          <t>Garden band 1–4 (formula: K vs Settings B35:B37; photos override, note in AF)</t>
        </is>
      </c>
      <c r="AB1" t="inlineStr">
        <is>
          <t>Walk to supermarket (min; basis named)</t>
        </is>
      </c>
      <c r="AC1" t="inlineStr">
        <is>
          <t>Walk to GP (min; basis named)</t>
        </is>
      </c>
      <c r="AD1" t="inlineStr">
        <is>
          <t>Noise flag (Highway / Rail / Flight path / None)</t>
        </is>
      </c>
      <c r="AE1" t="inlineStr">
        <is>
          <t>Overlay (Bushfire / Flood / Heritage / None; task B3)</t>
        </is>
      </c>
      <c r="AF1" t="inlineStr">
        <is>
          <t>Evidence basis + date (Floorplan seen / Photos only / Not checked)</t>
        </is>
      </c>
      <c r="AG1" t="inlineStr">
        <is>
          <t>Home fit (formula: first matching rule, design doc section 5)</t>
        </is>
      </c>
    </row>
    <row r="2" ht="15" customHeight="1" s="15">
      <c r="A2" s="22" t="n">
        <v>1</v>
      </c>
      <c r="B2" s="31" t="inlineStr">
        <is>
          <t>6 Beales Street</t>
        </is>
      </c>
      <c r="C2" s="22" t="inlineStr">
        <is>
          <t>Torquay</t>
        </is>
      </c>
      <c r="D2" s="22" t="inlineStr">
        <is>
          <t>$1,475,000-$1,575,000</t>
        </is>
      </c>
      <c r="E2" s="24" t="n">
        <v>1475000</v>
      </c>
      <c r="F2" s="24" t="n">
        <v>1575000</v>
      </c>
      <c r="G2" s="22">
        <f>IF(E2="","Needs data",IF(F2&lt;=Filters!$B$2,"Within cap",IF(E2&lt;=Filters!$B$2,"Straddles cap","Over cap")))</f>
        <v/>
      </c>
      <c r="H2" s="22" t="n">
        <v>4</v>
      </c>
      <c r="I2" s="22" t="n">
        <v>2</v>
      </c>
      <c r="J2" s="22" t="n">
        <v>2</v>
      </c>
      <c r="K2" s="22" t="n">
        <v>411</v>
      </c>
      <c r="L2" s="22" t="inlineStr">
        <is>
          <t>Active</t>
        </is>
      </c>
      <c r="M2" s="22" t="inlineStr">
        <is>
          <t>Tue 27 Oct 5:00pm</t>
        </is>
      </c>
      <c r="N2" s="22" t="inlineStr">
        <is>
          <t>Chris Henson</t>
        </is>
      </c>
      <c r="O2" s="22" t="inlineStr">
        <is>
          <t>Torquay</t>
        </is>
      </c>
      <c r="P2" s="22">
        <f>IFERROR(INDEX(SuburbScorecard!$C:$C,MATCH($O2,SuburbScorecard!$A:$A,0)),"Not on scorecard")</f>
        <v/>
      </c>
      <c r="Q2" s="22">
        <f>IFERROR(IF(INDEX(SuburbScorecard!$J:$J,MATCH($O2,SuburbScorecard!$A:$A,0))="","",INDEX(SuburbScorecard!$J:$J,MATCH($O2,SuburbScorecard!$A:$A,0))),"")</f>
        <v/>
      </c>
      <c r="R2" s="22">
        <f>IFERROR(IF(INDEX(SuburbScorecard!$K:$K,MATCH($O2,SuburbScorecard!$A:$A,0))="","",INDEX(SuburbScorecard!$K:$K,MATCH($O2,SuburbScorecard!$A:$A,0))),"")</f>
        <v/>
      </c>
      <c r="S2" s="22">
        <f>IFERROR(IF(INDEX(SuburbScorecard!$AB:$AB,MATCH($O2,SuburbScorecard!$A:$A,0))="","Needs data",INDEX(SuburbScorecard!$AB:$AB,MATCH($O2,SuburbScorecard!$A:$A,0))),"Needs data")</f>
        <v/>
      </c>
      <c r="T2" s="22">
        <f>IF(L2="Under offer","Under offer",IF(G2="Over cap","Fails: budget",IF(NOT(AND(ISNUMBER(Q2),ISNUMBER(R2))),"Needs data",IF(Q2&gt;Filters!$B$4,"Fails: GW drive",IF(R2&gt;Filters!$B$5,"Fails: ED drive",IF(G2="Straddles cap","Pass if bought near low end","Pass"))))))</f>
        <v/>
      </c>
      <c r="V2" s="22" t="inlineStr">
        <is>
          <t>https://www.realestate.com.au/property-house-vic-torquay-152666740</t>
        </is>
      </c>
      <c r="AA2">
        <f>IF(OR(NOT(ISNUMBER(K2)),Settings!$B$35=""),"",IF(K2&lt;=Settings!$B$35,1,IF(K2&lt;=Settings!$B$36,2,IF(K2&lt;=Settings!$B$37,3,4))))</f>
        <v/>
      </c>
      <c r="AG2">
        <f>IF(Settings!$B$28="","Pending rules",IFERROR(IF(OR(T2="Under offer",LEFT(T2,5)="Fails"),"Not suitable: suburb/budget check",IF(OR(X2="",X2="Unknown",Y2="",Y2="Unknown",AND(AND(ISNUMBER(Y2),Y2&lt;Settings!$B$31),OR(Z2="",Z2="Unknown"))),"Needs data: floorplan",IF(FIND(X2,"ABCD")&gt;Settings!$B$29,"Not suitable: more separation than wanted",IF(AND(FIND(X2,"ABCD")&lt;Settings!$B$28,Settings!$B$30=3),"Not suitable: not enough separation",IF(AND(AND(ISNUMBER(Y2),Y2&lt;Settings!$B$31),Z2="Major"),"Not suitable: mobility",IF(FIND(X2,"ABCD")&lt;Settings!$B$28,"Watchlist: less separation than wanted",IF(AND(AND(ISNUMBER(Y2),Y2&lt;Settings!$B$31),Z2="Minor works"),"Watchlist: minor mobility works",IF(T2="Pass if bought near low end","Watchlist: pass if bought near low end",IF(AND(ISNUMBER(AA2),AA2&gt;Settings!$B$33),"Watchlist: garden upkeep",IF(AND(ISNUMBER(AA2),ABS(AA2-Settings!$B$32)&gt;=2),"Watchlist: outdoor space",IF(AND(AD2&lt;&gt;"",AD2&lt;&gt;"None"),"Watchlist: noise",IF(AND(AE2&lt;&gt;"",AE2&lt;&gt;"None"),"Watchlist: overlay",IF(AND(Settings!$B$34=1,OR(AND(ISNUMBER(AB2),AB2&gt;10),AND(ISNUMBER(AC2),AC2&gt;10))),"Watchlist: walk to shops/GP","Strong fit"))))))))))))),"Needs data: check X–AE values"))</f>
        <v/>
      </c>
    </row>
    <row r="3" ht="15" customHeight="1" s="15">
      <c r="A3" s="22" t="n">
        <v>2</v>
      </c>
      <c r="B3" s="31" t="inlineStr">
        <is>
          <t>1/1 Bruce Street</t>
        </is>
      </c>
      <c r="C3" s="22" t="inlineStr">
        <is>
          <t>West Footscray</t>
        </is>
      </c>
      <c r="D3" s="22" t="inlineStr">
        <is>
          <t>$1,200,000-$1,300,000</t>
        </is>
      </c>
      <c r="E3" s="24" t="n">
        <v>1200000</v>
      </c>
      <c r="F3" s="24" t="n">
        <v>1300000</v>
      </c>
      <c r="G3" s="22">
        <f>IF(E3="","Needs data",IF(F3&lt;=Filters!$B$2,"Within cap",IF(E3&lt;=Filters!$B$2,"Straddles cap","Over cap")))</f>
        <v/>
      </c>
      <c r="H3" s="22" t="n">
        <v>3</v>
      </c>
      <c r="I3" s="22" t="n">
        <v>2</v>
      </c>
      <c r="J3" s="22" t="n">
        <v>2</v>
      </c>
      <c r="L3" s="22" t="inlineStr">
        <is>
          <t>Active</t>
        </is>
      </c>
      <c r="M3" s="22" t="inlineStr">
        <is>
          <t>Thu 29 Oct 5:15pm</t>
        </is>
      </c>
      <c r="N3" s="22" t="inlineStr">
        <is>
          <t>Huss Saad</t>
        </is>
      </c>
      <c r="O3" s="22" t="inlineStr">
        <is>
          <t>West Footscray</t>
        </is>
      </c>
      <c r="P3" s="22">
        <f>IFERROR(INDEX(SuburbScorecard!$C:$C,MATCH($O3,SuburbScorecard!$A:$A,0)),"Not on scorecard")</f>
        <v/>
      </c>
      <c r="Q3" s="22">
        <f>IFERROR(IF(INDEX(SuburbScorecard!$J:$J,MATCH($O3,SuburbScorecard!$A:$A,0))="","",INDEX(SuburbScorecard!$J:$J,MATCH($O3,SuburbScorecard!$A:$A,0))),"")</f>
        <v/>
      </c>
      <c r="R3" s="22">
        <f>IFERROR(IF(INDEX(SuburbScorecard!$K:$K,MATCH($O3,SuburbScorecard!$A:$A,0))="","",INDEX(SuburbScorecard!$K:$K,MATCH($O3,SuburbScorecard!$A:$A,0))),"")</f>
        <v/>
      </c>
      <c r="S3" s="22">
        <f>IFERROR(IF(INDEX(SuburbScorecard!$AB:$AB,MATCH($O3,SuburbScorecard!$A:$A,0))="","Needs data",INDEX(SuburbScorecard!$AB:$AB,MATCH($O3,SuburbScorecard!$A:$A,0))),"Needs data")</f>
        <v/>
      </c>
      <c r="T3" s="22">
        <f>IF(L3="Under offer","Under offer",IF(G3="Over cap","Fails: budget",IF(NOT(AND(ISNUMBER(Q3),ISNUMBER(R3))),"Needs data",IF(Q3&gt;Filters!$B$4,"Fails: GW drive",IF(R3&gt;Filters!$B$5,"Fails: ED drive",IF(G3="Straddles cap","Pass if bought near low end","Pass"))))))</f>
        <v/>
      </c>
      <c r="U3" s="22" t="n"/>
      <c r="V3" s="22" t="inlineStr">
        <is>
          <t>https://www.realestate.com.au/property-house-vic-west+footscray-152623144</t>
        </is>
      </c>
      <c r="AA3">
        <f>IF(OR(NOT(ISNUMBER(K3)),Settings!$B$35=""),"",IF(K3&lt;=Settings!$B$35,1,IF(K3&lt;=Settings!$B$36,2,IF(K3&lt;=Settings!$B$37,3,4))))</f>
        <v/>
      </c>
      <c r="AG3">
        <f>IF(Settings!$B$28="","Pending rules",IFERROR(IF(OR(T3="Under offer",LEFT(T3,5)="Fails"),"Not suitable: suburb/budget check",IF(OR(X3="",X3="Unknown",Y3="",Y3="Unknown",AND(AND(ISNUMBER(Y3),Y3&lt;Settings!$B$31),OR(Z3="",Z3="Unknown"))),"Needs data: floorplan",IF(FIND(X3,"ABCD")&gt;Settings!$B$29,"Not suitable: more separation than wanted",IF(AND(FIND(X3,"ABCD")&lt;Settings!$B$28,Settings!$B$30=3),"Not suitable: not enough separation",IF(AND(AND(ISNUMBER(Y3),Y3&lt;Settings!$B$31),Z3="Major"),"Not suitable: mobility",IF(FIND(X3,"ABCD")&lt;Settings!$B$28,"Watchlist: less separation than wanted",IF(AND(AND(ISNUMBER(Y3),Y3&lt;Settings!$B$31),Z3="Minor works"),"Watchlist: minor mobility works",IF(T3="Pass if bought near low end","Watchlist: pass if bought near low end",IF(AND(ISNUMBER(AA3),AA3&gt;Settings!$B$33),"Watchlist: garden upkeep",IF(AND(ISNUMBER(AA3),ABS(AA3-Settings!$B$32)&gt;=2),"Watchlist: outdoor space",IF(AND(AD3&lt;&gt;"",AD3&lt;&gt;"None"),"Watchlist: noise",IF(AND(AE3&lt;&gt;"",AE3&lt;&gt;"None"),"Watchlist: overlay",IF(AND(Settings!$B$34=1,OR(AND(ISNUMBER(AB3),AB3&gt;10),AND(ISNUMBER(AC3),AC3&gt;10))),"Watchlist: walk to shops/GP","Strong fit"))))))))))))),"Needs data: check X–AE values"))</f>
        <v/>
      </c>
    </row>
    <row r="4" ht="15" customHeight="1" s="15">
      <c r="A4" s="22" t="n">
        <v>3</v>
      </c>
      <c r="B4" s="31" t="inlineStr">
        <is>
          <t>67 Donna Buang Road</t>
        </is>
      </c>
      <c r="C4" s="22" t="inlineStr">
        <is>
          <t>Warburton</t>
        </is>
      </c>
      <c r="D4" s="22" t="inlineStr">
        <is>
          <t>$900,000-$990,000</t>
        </is>
      </c>
      <c r="E4" s="24" t="n">
        <v>900000</v>
      </c>
      <c r="F4" s="24" t="n">
        <v>990000</v>
      </c>
      <c r="G4" s="22">
        <f>IF(E4="","Needs data",IF(F4&lt;=Filters!$B$2,"Within cap",IF(E4&lt;=Filters!$B$2,"Straddles cap","Over cap")))</f>
        <v/>
      </c>
      <c r="H4" s="22" t="n">
        <v>5</v>
      </c>
      <c r="I4" s="22" t="n">
        <v>3</v>
      </c>
      <c r="J4" s="22" t="n">
        <v>4</v>
      </c>
      <c r="K4" s="22" t="n">
        <v>3235</v>
      </c>
      <c r="L4" s="22" t="inlineStr">
        <is>
          <t>Active</t>
        </is>
      </c>
      <c r="M4" s="22" t="inlineStr">
        <is>
          <t>None listed</t>
        </is>
      </c>
      <c r="N4" s="22" t="inlineStr">
        <is>
          <t>Suzie Brannelly</t>
        </is>
      </c>
      <c r="O4" s="22" t="inlineStr">
        <is>
          <t>Warburton</t>
        </is>
      </c>
      <c r="P4" s="22">
        <f>IFERROR(INDEX(SuburbScorecard!$C:$C,MATCH($O4,SuburbScorecard!$A:$A,0)),"Not on scorecard")</f>
        <v/>
      </c>
      <c r="Q4" s="22">
        <f>IFERROR(IF(INDEX(SuburbScorecard!$J:$J,MATCH($O4,SuburbScorecard!$A:$A,0))="","",INDEX(SuburbScorecard!$J:$J,MATCH($O4,SuburbScorecard!$A:$A,0))),"")</f>
        <v/>
      </c>
      <c r="R4" s="22">
        <f>IFERROR(IF(INDEX(SuburbScorecard!$K:$K,MATCH($O4,SuburbScorecard!$A:$A,0))="","",INDEX(SuburbScorecard!$K:$K,MATCH($O4,SuburbScorecard!$A:$A,0))),"")</f>
        <v/>
      </c>
      <c r="S4" s="22">
        <f>IFERROR(IF(INDEX(SuburbScorecard!$AB:$AB,MATCH($O4,SuburbScorecard!$A:$A,0))="","Needs data",INDEX(SuburbScorecard!$AB:$AB,MATCH($O4,SuburbScorecard!$A:$A,0))),"Needs data")</f>
        <v/>
      </c>
      <c r="T4" s="22">
        <f>IF(L4="Under offer","Under offer",IF(G4="Over cap","Fails: budget",IF(NOT(AND(ISNUMBER(Q4),ISNUMBER(R4))),"Needs data",IF(Q4&gt;Filters!$B$4,"Fails: GW drive",IF(R4&gt;Filters!$B$5,"Fails: ED drive",IF(G4="Straddles cap","Pass if bought near low end","Pass"))))))</f>
        <v/>
      </c>
      <c r="U4" s="22" t="inlineStr">
        <is>
          <t>Drive times added 27 Oct (suburb centre). 3,235 m² block; check winter, fire and slope</t>
        </is>
      </c>
      <c r="V4" s="22" t="inlineStr">
        <is>
          <t>https://www.realestate.com.au/property-house-vic-warburton-150763740</t>
        </is>
      </c>
      <c r="AA4">
        <f>IF(OR(NOT(ISNUMBER(K4)),Settings!$B$35=""),"",IF(K4&lt;=Settings!$B$35,1,IF(K4&lt;=Settings!$B$36,2,IF(K4&lt;=Settings!$B$37,3,4))))</f>
        <v/>
      </c>
      <c r="AG4">
        <f>IF(Settings!$B$28="","Pending rules",IFERROR(IF(OR(T4="Under offer",LEFT(T4,5)="Fails"),"Not suitable: suburb/budget check",IF(OR(X4="",X4="Unknown",Y4="",Y4="Unknown",AND(AND(ISNUMBER(Y4),Y4&lt;Settings!$B$31),OR(Z4="",Z4="Unknown"))),"Needs data: floorplan",IF(FIND(X4,"ABCD")&gt;Settings!$B$29,"Not suitable: more separation than wanted",IF(AND(FIND(X4,"ABCD")&lt;Settings!$B$28,Settings!$B$30=3),"Not suitable: not enough separation",IF(AND(AND(ISNUMBER(Y4),Y4&lt;Settings!$B$31),Z4="Major"),"Not suitable: mobility",IF(FIND(X4,"ABCD")&lt;Settings!$B$28,"Watchlist: less separation than wanted",IF(AND(AND(ISNUMBER(Y4),Y4&lt;Settings!$B$31),Z4="Minor works"),"Watchlist: minor mobility works",IF(T4="Pass if bought near low end","Watchlist: pass if bought near low end",IF(AND(ISNUMBER(AA4),AA4&gt;Settings!$B$33),"Watchlist: garden upkeep",IF(AND(ISNUMBER(AA4),ABS(AA4-Settings!$B$32)&gt;=2),"Watchlist: outdoor space",IF(AND(AD4&lt;&gt;"",AD4&lt;&gt;"None"),"Watchlist: noise",IF(AND(AE4&lt;&gt;"",AE4&lt;&gt;"None"),"Watchlist: overlay",IF(AND(Settings!$B$34=1,OR(AND(ISNUMBER(AB4),AB4&gt;10),AND(ISNUMBER(AC4),AC4&gt;10))),"Watchlist: walk to shops/GP","Strong fit"))))))))))))),"Needs data: check X–AE values"))</f>
        <v/>
      </c>
    </row>
    <row r="5" ht="15" customHeight="1" s="15">
      <c r="A5" s="22" t="n">
        <v>4</v>
      </c>
      <c r="B5" s="31" t="inlineStr">
        <is>
          <t>8 Williams Bay Grove</t>
        </is>
      </c>
      <c r="C5" s="22" t="inlineStr">
        <is>
          <t>Williamstown</t>
        </is>
      </c>
      <c r="D5" s="22" t="inlineStr">
        <is>
          <t>$1,700,000</t>
        </is>
      </c>
      <c r="E5" s="24" t="n">
        <v>1700000</v>
      </c>
      <c r="F5" s="24" t="n">
        <v>1700000</v>
      </c>
      <c r="G5" s="22">
        <f>IF(E5="","Needs data",IF(F5&lt;=Filters!$B$2,"Within cap",IF(E5&lt;=Filters!$B$2,"Straddles cap","Over cap")))</f>
        <v/>
      </c>
      <c r="H5" s="22" t="n">
        <v>3</v>
      </c>
      <c r="I5" s="22" t="n">
        <v>2</v>
      </c>
      <c r="J5" s="22" t="n">
        <v>2</v>
      </c>
      <c r="L5" s="22" t="inlineStr">
        <is>
          <t>Active</t>
        </is>
      </c>
      <c r="M5" s="22" t="inlineStr">
        <is>
          <t>Sat 31 Oct 11:15am</t>
        </is>
      </c>
      <c r="N5" s="22" t="inlineStr">
        <is>
          <t>Katie Smith</t>
        </is>
      </c>
      <c r="O5" s="22" t="inlineStr">
        <is>
          <t>Williamstown</t>
        </is>
      </c>
      <c r="P5" s="22">
        <f>IFERROR(INDEX(SuburbScorecard!$C:$C,MATCH($O5,SuburbScorecard!$A:$A,0)),"Not on scorecard")</f>
        <v/>
      </c>
      <c r="Q5" s="22">
        <f>IFERROR(IF(INDEX(SuburbScorecard!$J:$J,MATCH($O5,SuburbScorecard!$A:$A,0))="","",INDEX(SuburbScorecard!$J:$J,MATCH($O5,SuburbScorecard!$A:$A,0))),"")</f>
        <v/>
      </c>
      <c r="R5" s="22">
        <f>IFERROR(IF(INDEX(SuburbScorecard!$K:$K,MATCH($O5,SuburbScorecard!$A:$A,0))="","",INDEX(SuburbScorecard!$K:$K,MATCH($O5,SuburbScorecard!$A:$A,0))),"")</f>
        <v/>
      </c>
      <c r="S5" s="22">
        <f>IFERROR(IF(INDEX(SuburbScorecard!$AB:$AB,MATCH($O5,SuburbScorecard!$A:$A,0))="","Needs data",INDEX(SuburbScorecard!$AB:$AB,MATCH($O5,SuburbScorecard!$A:$A,0))),"Needs data")</f>
        <v/>
      </c>
      <c r="T5" s="22">
        <f>IF(L5="Under offer","Under offer",IF(G5="Over cap","Fails: budget",IF(NOT(AND(ISNUMBER(Q5),ISNUMBER(R5))),"Needs data",IF(Q5&gt;Filters!$B$4,"Fails: GW drive",IF(R5&gt;Filters!$B$5,"Fails: ED drive",IF(G5="Straddles cap","Pass if bought near low end","Pass"))))))</f>
        <v/>
      </c>
      <c r="V5" s="22" t="inlineStr">
        <is>
          <t>https://www.realestate.com.au/property-house-vic-williamstown-152686328</t>
        </is>
      </c>
      <c r="AA5">
        <f>IF(OR(NOT(ISNUMBER(K5)),Settings!$B$35=""),"",IF(K5&lt;=Settings!$B$35,1,IF(K5&lt;=Settings!$B$36,2,IF(K5&lt;=Settings!$B$37,3,4))))</f>
        <v/>
      </c>
      <c r="AG5">
        <f>IF(Settings!$B$28="","Pending rules",IFERROR(IF(OR(T5="Under offer",LEFT(T5,5)="Fails"),"Not suitable: suburb/budget check",IF(OR(X5="",X5="Unknown",Y5="",Y5="Unknown",AND(AND(ISNUMBER(Y5),Y5&lt;Settings!$B$31),OR(Z5="",Z5="Unknown"))),"Needs data: floorplan",IF(FIND(X5,"ABCD")&gt;Settings!$B$29,"Not suitable: more separation than wanted",IF(AND(FIND(X5,"ABCD")&lt;Settings!$B$28,Settings!$B$30=3),"Not suitable: not enough separation",IF(AND(AND(ISNUMBER(Y5),Y5&lt;Settings!$B$31),Z5="Major"),"Not suitable: mobility",IF(FIND(X5,"ABCD")&lt;Settings!$B$28,"Watchlist: less separation than wanted",IF(AND(AND(ISNUMBER(Y5),Y5&lt;Settings!$B$31),Z5="Minor works"),"Watchlist: minor mobility works",IF(T5="Pass if bought near low end","Watchlist: pass if bought near low end",IF(AND(ISNUMBER(AA5),AA5&gt;Settings!$B$33),"Watchlist: garden upkeep",IF(AND(ISNUMBER(AA5),ABS(AA5-Settings!$B$32)&gt;=2),"Watchlist: outdoor space",IF(AND(AD5&lt;&gt;"",AD5&lt;&gt;"None"),"Watchlist: noise",IF(AND(AE5&lt;&gt;"",AE5&lt;&gt;"None"),"Watchlist: overlay",IF(AND(Settings!$B$34=1,OR(AND(ISNUMBER(AB5),AB5&gt;10),AND(ISNUMBER(AC5),AC5&gt;10))),"Watchlist: walk to shops/GP","Strong fit"))))))))))))),"Needs data: check X–AE values"))</f>
        <v/>
      </c>
    </row>
    <row r="6" ht="15" customHeight="1" s="15">
      <c r="A6" s="22" t="n">
        <v>5</v>
      </c>
      <c r="B6" s="31" t="inlineStr">
        <is>
          <t>25 Phillips Crescent</t>
        </is>
      </c>
      <c r="C6" s="22" t="inlineStr">
        <is>
          <t>Rosanna</t>
        </is>
      </c>
      <c r="D6" s="22" t="inlineStr">
        <is>
          <t>ESR $1,450,000-$1,550,000</t>
        </is>
      </c>
      <c r="E6" s="24" t="n">
        <v>1450000</v>
      </c>
      <c r="F6" s="24" t="n">
        <v>1550000</v>
      </c>
      <c r="G6" s="22">
        <f>IF(E6="","Needs data",IF(F6&lt;=Filters!$B$2,"Within cap",IF(E6&lt;=Filters!$B$2,"Straddles cap","Over cap")))</f>
        <v/>
      </c>
      <c r="H6" s="22" t="n">
        <v>4</v>
      </c>
      <c r="I6" s="22" t="n">
        <v>3</v>
      </c>
      <c r="J6" s="22" t="n">
        <v>2</v>
      </c>
      <c r="K6" s="22" t="n">
        <v>655</v>
      </c>
      <c r="L6" s="22" t="inlineStr">
        <is>
          <t>Active</t>
        </is>
      </c>
      <c r="M6" s="22" t="inlineStr">
        <is>
          <t>Tue 27 Oct 5:00pm</t>
        </is>
      </c>
      <c r="N6" s="22" t="inlineStr">
        <is>
          <t>Ashlee Jade</t>
        </is>
      </c>
      <c r="O6" s="22" t="inlineStr">
        <is>
          <t>Rosanna</t>
        </is>
      </c>
      <c r="P6" s="22">
        <f>IFERROR(INDEX(SuburbScorecard!$C:$C,MATCH($O6,SuburbScorecard!$A:$A,0)),"Not on scorecard")</f>
        <v/>
      </c>
      <c r="Q6" s="22">
        <f>IFERROR(IF(INDEX(SuburbScorecard!$J:$J,MATCH($O6,SuburbScorecard!$A:$A,0))="","",INDEX(SuburbScorecard!$J:$J,MATCH($O6,SuburbScorecard!$A:$A,0))),"")</f>
        <v/>
      </c>
      <c r="R6" s="22">
        <f>IFERROR(IF(INDEX(SuburbScorecard!$K:$K,MATCH($O6,SuburbScorecard!$A:$A,0))="","",INDEX(SuburbScorecard!$K:$K,MATCH($O6,SuburbScorecard!$A:$A,0))),"")</f>
        <v/>
      </c>
      <c r="S6" s="22">
        <f>IFERROR(IF(INDEX(SuburbScorecard!$AB:$AB,MATCH($O6,SuburbScorecard!$A:$A,0))="","Needs data",INDEX(SuburbScorecard!$AB:$AB,MATCH($O6,SuburbScorecard!$A:$A,0))),"Needs data")</f>
        <v/>
      </c>
      <c r="T6" s="22">
        <f>IF(L6="Under offer","Under offer",IF(G6="Over cap","Fails: budget",IF(NOT(AND(ISNUMBER(Q6),ISNUMBER(R6))),"Needs data",IF(Q6&gt;Filters!$B$4,"Fails: GW drive",IF(R6&gt;Filters!$B$5,"Fails: ED drive",IF(G6="Straddles cap","Pass if bought near low end","Pass"))))))</f>
        <v/>
      </c>
      <c r="U6" s="22" t="n"/>
      <c r="V6" s="22" t="inlineStr">
        <is>
          <t>https://www.realestate.com.au/property-house-vic-rosanna-152574468</t>
        </is>
      </c>
      <c r="AA6">
        <f>IF(OR(NOT(ISNUMBER(K6)),Settings!$B$35=""),"",IF(K6&lt;=Settings!$B$35,1,IF(K6&lt;=Settings!$B$36,2,IF(K6&lt;=Settings!$B$37,3,4))))</f>
        <v/>
      </c>
      <c r="AG6">
        <f>IF(Settings!$B$28="","Pending rules",IFERROR(IF(OR(T6="Under offer",LEFT(T6,5)="Fails"),"Not suitable: suburb/budget check",IF(OR(X6="",X6="Unknown",Y6="",Y6="Unknown",AND(AND(ISNUMBER(Y6),Y6&lt;Settings!$B$31),OR(Z6="",Z6="Unknown"))),"Needs data: floorplan",IF(FIND(X6,"ABCD")&gt;Settings!$B$29,"Not suitable: more separation than wanted",IF(AND(FIND(X6,"ABCD")&lt;Settings!$B$28,Settings!$B$30=3),"Not suitable: not enough separation",IF(AND(AND(ISNUMBER(Y6),Y6&lt;Settings!$B$31),Z6="Major"),"Not suitable: mobility",IF(FIND(X6,"ABCD")&lt;Settings!$B$28,"Watchlist: less separation than wanted",IF(AND(AND(ISNUMBER(Y6),Y6&lt;Settings!$B$31),Z6="Minor works"),"Watchlist: minor mobility works",IF(T6="Pass if bought near low end","Watchlist: pass if bought near low end",IF(AND(ISNUMBER(AA6),AA6&gt;Settings!$B$33),"Watchlist: garden upkeep",IF(AND(ISNUMBER(AA6),ABS(AA6-Settings!$B$32)&gt;=2),"Watchlist: outdoor space",IF(AND(AD6&lt;&gt;"",AD6&lt;&gt;"None"),"Watchlist: noise",IF(AND(AE6&lt;&gt;"",AE6&lt;&gt;"None"),"Watchlist: overlay",IF(AND(Settings!$B$34=1,OR(AND(ISNUMBER(AB6),AB6&gt;10),AND(ISNUMBER(AC6),AC6&gt;10))),"Watchlist: walk to shops/GP","Strong fit"))))))))))))),"Needs data: check X–AE values"))</f>
        <v/>
      </c>
    </row>
    <row r="7" ht="15" customHeight="1" s="15">
      <c r="A7" s="22" t="n">
        <v>6</v>
      </c>
      <c r="B7" s="31" t="inlineStr">
        <is>
          <t>29 Campbell Street</t>
        </is>
      </c>
      <c r="C7" s="22" t="inlineStr">
        <is>
          <t>Diamond Creek</t>
        </is>
      </c>
      <c r="D7" s="22" t="inlineStr">
        <is>
          <t>New price $1.25m</t>
        </is>
      </c>
      <c r="E7" s="24" t="n">
        <v>1250000</v>
      </c>
      <c r="F7" s="24" t="n">
        <v>1250000</v>
      </c>
      <c r="G7" s="22">
        <f>IF(E7="","Needs data",IF(F7&lt;=Filters!$B$2,"Within cap",IF(E7&lt;=Filters!$B$2,"Straddles cap","Over cap")))</f>
        <v/>
      </c>
      <c r="H7" s="22" t="n">
        <v>4</v>
      </c>
      <c r="I7" s="22" t="n">
        <v>2</v>
      </c>
      <c r="J7" s="22" t="n">
        <v>2</v>
      </c>
      <c r="K7" s="22" t="n">
        <v>884</v>
      </c>
      <c r="L7" s="22" t="inlineStr">
        <is>
          <t>Active</t>
        </is>
      </c>
      <c r="M7" s="22" t="inlineStr">
        <is>
          <t>Tue 27 Oct 6:00pm</t>
        </is>
      </c>
      <c r="N7" s="22" t="inlineStr">
        <is>
          <t>Sheryl Emerson</t>
        </is>
      </c>
      <c r="O7" s="22" t="inlineStr">
        <is>
          <t>Diamond Creek</t>
        </is>
      </c>
      <c r="P7" s="22">
        <f>IFERROR(INDEX(SuburbScorecard!$C:$C,MATCH($O7,SuburbScorecard!$A:$A,0)),"Not on scorecard")</f>
        <v/>
      </c>
      <c r="Q7" s="22">
        <f>IFERROR(IF(INDEX(SuburbScorecard!$J:$J,MATCH($O7,SuburbScorecard!$A:$A,0))="","",INDEX(SuburbScorecard!$J:$J,MATCH($O7,SuburbScorecard!$A:$A,0))),"")</f>
        <v/>
      </c>
      <c r="R7" s="22">
        <f>IFERROR(IF(INDEX(SuburbScorecard!$K:$K,MATCH($O7,SuburbScorecard!$A:$A,0))="","",INDEX(SuburbScorecard!$K:$K,MATCH($O7,SuburbScorecard!$A:$A,0))),"")</f>
        <v/>
      </c>
      <c r="S7" s="22">
        <f>IFERROR(IF(INDEX(SuburbScorecard!$AB:$AB,MATCH($O7,SuburbScorecard!$A:$A,0))="","Needs data",INDEX(SuburbScorecard!$AB:$AB,MATCH($O7,SuburbScorecard!$A:$A,0))),"Needs data")</f>
        <v/>
      </c>
      <c r="T7" s="22">
        <f>IF(L7="Under offer","Under offer",IF(G7="Over cap","Fails: budget",IF(NOT(AND(ISNUMBER(Q7),ISNUMBER(R7))),"Needs data",IF(Q7&gt;Filters!$B$4,"Fails: GW drive",IF(R7&gt;Filters!$B$5,"Fails: ED drive",IF(G7="Straddles cap","Pass if bought near low end","Pass"))))))</f>
        <v/>
      </c>
      <c r="V7" s="22" t="inlineStr">
        <is>
          <t>https://www.realestate.com.au/property-house-vic-diamond+creek-152290624</t>
        </is>
      </c>
      <c r="AA7">
        <f>IF(OR(NOT(ISNUMBER(K7)),Settings!$B$35=""),"",IF(K7&lt;=Settings!$B$35,1,IF(K7&lt;=Settings!$B$36,2,IF(K7&lt;=Settings!$B$37,3,4))))</f>
        <v/>
      </c>
      <c r="AG7">
        <f>IF(Settings!$B$28="","Pending rules",IFERROR(IF(OR(T7="Under offer",LEFT(T7,5)="Fails"),"Not suitable: suburb/budget check",IF(OR(X7="",X7="Unknown",Y7="",Y7="Unknown",AND(AND(ISNUMBER(Y7),Y7&lt;Settings!$B$31),OR(Z7="",Z7="Unknown"))),"Needs data: floorplan",IF(FIND(X7,"ABCD")&gt;Settings!$B$29,"Not suitable: more separation than wanted",IF(AND(FIND(X7,"ABCD")&lt;Settings!$B$28,Settings!$B$30=3),"Not suitable: not enough separation",IF(AND(AND(ISNUMBER(Y7),Y7&lt;Settings!$B$31),Z7="Major"),"Not suitable: mobility",IF(FIND(X7,"ABCD")&lt;Settings!$B$28,"Watchlist: less separation than wanted",IF(AND(AND(ISNUMBER(Y7),Y7&lt;Settings!$B$31),Z7="Minor works"),"Watchlist: minor mobility works",IF(T7="Pass if bought near low end","Watchlist: pass if bought near low end",IF(AND(ISNUMBER(AA7),AA7&gt;Settings!$B$33),"Watchlist: garden upkeep",IF(AND(ISNUMBER(AA7),ABS(AA7-Settings!$B$32)&gt;=2),"Watchlist: outdoor space",IF(AND(AD7&lt;&gt;"",AD7&lt;&gt;"None"),"Watchlist: noise",IF(AND(AE7&lt;&gt;"",AE7&lt;&gt;"None"),"Watchlist: overlay",IF(AND(Settings!$B$34=1,OR(AND(ISNUMBER(AB7),AB7&gt;10),AND(ISNUMBER(AC7),AC7&gt;10))),"Watchlist: walk to shops/GP","Strong fit"))))))))))))),"Needs data: check X–AE values"))</f>
        <v/>
      </c>
    </row>
    <row r="8" ht="15" customHeight="1" s="15">
      <c r="A8" s="22" t="n">
        <v>7</v>
      </c>
      <c r="B8" s="31" t="inlineStr">
        <is>
          <t>23 Park Street</t>
        </is>
      </c>
      <c r="C8" s="22" t="inlineStr">
        <is>
          <t>Mordialloc</t>
        </is>
      </c>
      <c r="D8" s="22" t="inlineStr">
        <is>
          <t>$1,750,000-$1,900,000</t>
        </is>
      </c>
      <c r="E8" s="24" t="n">
        <v>1750000</v>
      </c>
      <c r="F8" s="24" t="n">
        <v>1900000</v>
      </c>
      <c r="G8" s="22">
        <f>IF(E8="","Needs data",IF(F8&lt;=Filters!$B$2,"Within cap",IF(E8&lt;=Filters!$B$2,"Straddles cap","Over cap")))</f>
        <v/>
      </c>
      <c r="H8" s="22" t="n">
        <v>4</v>
      </c>
      <c r="I8" s="22" t="n">
        <v>2</v>
      </c>
      <c r="J8" s="22" t="n">
        <v>2</v>
      </c>
      <c r="K8" s="22" t="n">
        <v>613</v>
      </c>
      <c r="L8" s="22" t="inlineStr">
        <is>
          <t>Active</t>
        </is>
      </c>
      <c r="M8" s="22" t="inlineStr">
        <is>
          <t>Tue 27 Oct 3:30pm</t>
        </is>
      </c>
      <c r="N8" s="22" t="inlineStr">
        <is>
          <t>Lou Colella</t>
        </is>
      </c>
      <c r="O8" s="22" t="inlineStr">
        <is>
          <t>Mordialloc</t>
        </is>
      </c>
      <c r="P8" s="22">
        <f>IFERROR(INDEX(SuburbScorecard!$C:$C,MATCH($O8,SuburbScorecard!$A:$A,0)),"Not on scorecard")</f>
        <v/>
      </c>
      <c r="Q8" s="22">
        <f>IFERROR(IF(INDEX(SuburbScorecard!$J:$J,MATCH($O8,SuburbScorecard!$A:$A,0))="","",INDEX(SuburbScorecard!$J:$J,MATCH($O8,SuburbScorecard!$A:$A,0))),"")</f>
        <v/>
      </c>
      <c r="R8" s="22">
        <f>IFERROR(IF(INDEX(SuburbScorecard!$K:$K,MATCH($O8,SuburbScorecard!$A:$A,0))="","",INDEX(SuburbScorecard!$K:$K,MATCH($O8,SuburbScorecard!$A:$A,0))),"")</f>
        <v/>
      </c>
      <c r="S8" s="22">
        <f>IFERROR(IF(INDEX(SuburbScorecard!$AB:$AB,MATCH($O8,SuburbScorecard!$A:$A,0))="","Needs data",INDEX(SuburbScorecard!$AB:$AB,MATCH($O8,SuburbScorecard!$A:$A,0))),"Needs data")</f>
        <v/>
      </c>
      <c r="T8" s="22">
        <f>IF(L8="Under offer","Under offer",IF(G8="Over cap","Fails: budget",IF(NOT(AND(ISNUMBER(Q8),ISNUMBER(R8))),"Needs data",IF(Q8&gt;Filters!$B$4,"Fails: GW drive",IF(R8&gt;Filters!$B$5,"Fails: ED drive",IF(G8="Straddles cap","Pass if bought near low end","Pass"))))))</f>
        <v/>
      </c>
      <c r="U8" s="22" t="n"/>
      <c r="V8" s="22" t="inlineStr">
        <is>
          <t>https://www.realestate.com.au/property-house-vic-mordialloc-152622844</t>
        </is>
      </c>
      <c r="AA8">
        <f>IF(OR(NOT(ISNUMBER(K8)),Settings!$B$35=""),"",IF(K8&lt;=Settings!$B$35,1,IF(K8&lt;=Settings!$B$36,2,IF(K8&lt;=Settings!$B$37,3,4))))</f>
        <v/>
      </c>
      <c r="AG8">
        <f>IF(Settings!$B$28="","Pending rules",IFERROR(IF(OR(T8="Under offer",LEFT(T8,5)="Fails"),"Not suitable: suburb/budget check",IF(OR(X8="",X8="Unknown",Y8="",Y8="Unknown",AND(AND(ISNUMBER(Y8),Y8&lt;Settings!$B$31),OR(Z8="",Z8="Unknown"))),"Needs data: floorplan",IF(FIND(X8,"ABCD")&gt;Settings!$B$29,"Not suitable: more separation than wanted",IF(AND(FIND(X8,"ABCD")&lt;Settings!$B$28,Settings!$B$30=3),"Not suitable: not enough separation",IF(AND(AND(ISNUMBER(Y8),Y8&lt;Settings!$B$31),Z8="Major"),"Not suitable: mobility",IF(FIND(X8,"ABCD")&lt;Settings!$B$28,"Watchlist: less separation than wanted",IF(AND(AND(ISNUMBER(Y8),Y8&lt;Settings!$B$31),Z8="Minor works"),"Watchlist: minor mobility works",IF(T8="Pass if bought near low end","Watchlist: pass if bought near low end",IF(AND(ISNUMBER(AA8),AA8&gt;Settings!$B$33),"Watchlist: garden upkeep",IF(AND(ISNUMBER(AA8),ABS(AA8-Settings!$B$32)&gt;=2),"Watchlist: outdoor space",IF(AND(AD8&lt;&gt;"",AD8&lt;&gt;"None"),"Watchlist: noise",IF(AND(AE8&lt;&gt;"",AE8&lt;&gt;"None"),"Watchlist: overlay",IF(AND(Settings!$B$34=1,OR(AND(ISNUMBER(AB8),AB8&gt;10),AND(ISNUMBER(AC8),AC8&gt;10))),"Watchlist: walk to shops/GP","Strong fit"))))))))))))),"Needs data: check X–AE values"))</f>
        <v/>
      </c>
    </row>
    <row r="9" ht="15" customHeight="1" s="15">
      <c r="A9" s="22" t="n">
        <v>8</v>
      </c>
      <c r="B9" s="31" t="inlineStr">
        <is>
          <t>156A Nepean Highway</t>
        </is>
      </c>
      <c r="C9" s="22" t="inlineStr">
        <is>
          <t>Seaford</t>
        </is>
      </c>
      <c r="D9" s="22" t="inlineStr">
        <is>
          <t>$1,690,000-$1,850,000</t>
        </is>
      </c>
      <c r="E9" s="24" t="n">
        <v>1690000</v>
      </c>
      <c r="F9" s="24" t="n">
        <v>1850000</v>
      </c>
      <c r="G9" s="22">
        <f>IF(E9="","Needs data",IF(F9&lt;=Filters!$B$2,"Within cap",IF(E9&lt;=Filters!$B$2,"Straddles cap","Over cap")))</f>
        <v/>
      </c>
      <c r="H9" s="22" t="n">
        <v>4</v>
      </c>
      <c r="I9" s="22" t="n">
        <v>2</v>
      </c>
      <c r="J9" s="22" t="n">
        <v>4</v>
      </c>
      <c r="K9" s="22" t="n">
        <v>319</v>
      </c>
      <c r="L9" s="22" t="inlineStr">
        <is>
          <t>Under offer</t>
        </is>
      </c>
      <c r="M9" s="22" t="inlineStr">
        <is>
          <t>None listed</t>
        </is>
      </c>
      <c r="N9" s="22" t="inlineStr">
        <is>
          <t>Dean Bozunovic</t>
        </is>
      </c>
      <c r="O9" s="22" t="inlineStr">
        <is>
          <t>Seaford</t>
        </is>
      </c>
      <c r="P9" s="22">
        <f>IFERROR(INDEX(SuburbScorecard!$C:$C,MATCH($O9,SuburbScorecard!$A:$A,0)),"Not on scorecard")</f>
        <v/>
      </c>
      <c r="Q9" s="22">
        <f>IFERROR(IF(INDEX(SuburbScorecard!$J:$J,MATCH($O9,SuburbScorecard!$A:$A,0))="","",INDEX(SuburbScorecard!$J:$J,MATCH($O9,SuburbScorecard!$A:$A,0))),"")</f>
        <v/>
      </c>
      <c r="R9" s="22">
        <f>IFERROR(IF(INDEX(SuburbScorecard!$K:$K,MATCH($O9,SuburbScorecard!$A:$A,0))="","",INDEX(SuburbScorecard!$K:$K,MATCH($O9,SuburbScorecard!$A:$A,0))),"")</f>
        <v/>
      </c>
      <c r="S9" s="22">
        <f>IFERROR(IF(INDEX(SuburbScorecard!$AB:$AB,MATCH($O9,SuburbScorecard!$A:$A,0))="","Needs data",INDEX(SuburbScorecard!$AB:$AB,MATCH($O9,SuburbScorecard!$A:$A,0))),"Needs data")</f>
        <v/>
      </c>
      <c r="T9" s="22">
        <f>IF(L9="Under offer","Under offer",IF(G9="Over cap","Fails: budget",IF(NOT(AND(ISNUMBER(Q9),ISNUMBER(R9))),"Needs data",IF(Q9&gt;Filters!$B$4,"Fails: GW drive",IF(R9&gt;Filters!$B$5,"Fails: ED drive",IF(G9="Straddles cap","Pass if bought near low end","Pass"))))))</f>
        <v/>
      </c>
      <c r="U9" s="22" t="n"/>
      <c r="V9" s="22" t="inlineStr">
        <is>
          <t>https://www.realestate.com.au/property-house-vic-seaford-152011424</t>
        </is>
      </c>
      <c r="AA9">
        <f>IF(OR(NOT(ISNUMBER(K9)),Settings!$B$35=""),"",IF(K9&lt;=Settings!$B$35,1,IF(K9&lt;=Settings!$B$36,2,IF(K9&lt;=Settings!$B$37,3,4))))</f>
        <v/>
      </c>
      <c r="AG9">
        <f>IF(Settings!$B$28="","Pending rules",IFERROR(IF(OR(T9="Under offer",LEFT(T9,5)="Fails"),"Not suitable: suburb/budget check",IF(OR(X9="",X9="Unknown",Y9="",Y9="Unknown",AND(AND(ISNUMBER(Y9),Y9&lt;Settings!$B$31),OR(Z9="",Z9="Unknown"))),"Needs data: floorplan",IF(FIND(X9,"ABCD")&gt;Settings!$B$29,"Not suitable: more separation than wanted",IF(AND(FIND(X9,"ABCD")&lt;Settings!$B$28,Settings!$B$30=3),"Not suitable: not enough separation",IF(AND(AND(ISNUMBER(Y9),Y9&lt;Settings!$B$31),Z9="Major"),"Not suitable: mobility",IF(FIND(X9,"ABCD")&lt;Settings!$B$28,"Watchlist: less separation than wanted",IF(AND(AND(ISNUMBER(Y9),Y9&lt;Settings!$B$31),Z9="Minor works"),"Watchlist: minor mobility works",IF(T9="Pass if bought near low end","Watchlist: pass if bought near low end",IF(AND(ISNUMBER(AA9),AA9&gt;Settings!$B$33),"Watchlist: garden upkeep",IF(AND(ISNUMBER(AA9),ABS(AA9-Settings!$B$32)&gt;=2),"Watchlist: outdoor space",IF(AND(AD9&lt;&gt;"",AD9&lt;&gt;"None"),"Watchlist: noise",IF(AND(AE9&lt;&gt;"",AE9&lt;&gt;"None"),"Watchlist: overlay",IF(AND(Settings!$B$34=1,OR(AND(ISNUMBER(AB9),AB9&gt;10),AND(ISNUMBER(AC9),AC9&gt;10))),"Watchlist: walk to shops/GP","Strong fit"))))))))))))),"Needs data: check X–AE values"))</f>
        <v/>
      </c>
    </row>
    <row r="10" ht="15" customHeight="1" s="15">
      <c r="A10" s="22" t="n">
        <v>9</v>
      </c>
      <c r="B10" s="31" t="inlineStr">
        <is>
          <t>1/192 Nepean Highway</t>
        </is>
      </c>
      <c r="C10" s="22" t="inlineStr">
        <is>
          <t>Seaford</t>
        </is>
      </c>
      <c r="D10" s="22" t="inlineStr">
        <is>
          <t>$1,450,000-$1,595,000</t>
        </is>
      </c>
      <c r="E10" s="24" t="n">
        <v>1450000</v>
      </c>
      <c r="F10" s="24" t="n">
        <v>1595000</v>
      </c>
      <c r="G10" s="22">
        <f>IF(E10="","Needs data",IF(F10&lt;=Filters!$B$2,"Within cap",IF(E10&lt;=Filters!$B$2,"Straddles cap","Over cap")))</f>
        <v/>
      </c>
      <c r="H10" s="22" t="n">
        <v>3</v>
      </c>
      <c r="I10" s="22" t="n">
        <v>2</v>
      </c>
      <c r="J10" s="22" t="n">
        <v>2</v>
      </c>
      <c r="K10" s="22" t="n">
        <v>1019</v>
      </c>
      <c r="L10" s="22" t="inlineStr">
        <is>
          <t>Active</t>
        </is>
      </c>
      <c r="M10" s="22" t="inlineStr">
        <is>
          <t>Sat 31 Oct 1:00pm</t>
        </is>
      </c>
      <c r="N10" s="22" t="inlineStr">
        <is>
          <t>Luke Magree</t>
        </is>
      </c>
      <c r="O10" s="22" t="inlineStr">
        <is>
          <t>Seaford</t>
        </is>
      </c>
      <c r="P10" s="22">
        <f>IFERROR(INDEX(SuburbScorecard!$C:$C,MATCH($O10,SuburbScorecard!$A:$A,0)),"Not on scorecard")</f>
        <v/>
      </c>
      <c r="Q10" s="22">
        <f>IFERROR(IF(INDEX(SuburbScorecard!$J:$J,MATCH($O10,SuburbScorecard!$A:$A,0))="","",INDEX(SuburbScorecard!$J:$J,MATCH($O10,SuburbScorecard!$A:$A,0))),"")</f>
        <v/>
      </c>
      <c r="R10" s="22">
        <f>IFERROR(IF(INDEX(SuburbScorecard!$K:$K,MATCH($O10,SuburbScorecard!$A:$A,0))="","",INDEX(SuburbScorecard!$K:$K,MATCH($O10,SuburbScorecard!$A:$A,0))),"")</f>
        <v/>
      </c>
      <c r="S10" s="22">
        <f>IFERROR(IF(INDEX(SuburbScorecard!$AB:$AB,MATCH($O10,SuburbScorecard!$A:$A,0))="","Needs data",INDEX(SuburbScorecard!$AB:$AB,MATCH($O10,SuburbScorecard!$A:$A,0))),"Needs data")</f>
        <v/>
      </c>
      <c r="T10" s="22">
        <f>IF(L10="Under offer","Under offer",IF(G10="Over cap","Fails: budget",IF(NOT(AND(ISNUMBER(Q10),ISNUMBER(R10))),"Needs data",IF(Q10&gt;Filters!$B$4,"Fails: GW drive",IF(R10&gt;Filters!$B$5,"Fails: ED drive",IF(G10="Straddles cap","Pass if bought near low end","Pass"))))))</f>
        <v/>
      </c>
      <c r="U10" s="22" t="n"/>
      <c r="V10" s="22" t="inlineStr">
        <is>
          <t>https://www.realestate.com.au/property-house-vic-seaford-151815440</t>
        </is>
      </c>
      <c r="AA10">
        <f>IF(OR(NOT(ISNUMBER(K10)),Settings!$B$35=""),"",IF(K10&lt;=Settings!$B$35,1,IF(K10&lt;=Settings!$B$36,2,IF(K10&lt;=Settings!$B$37,3,4))))</f>
        <v/>
      </c>
      <c r="AG10">
        <f>IF(Settings!$B$28="","Pending rules",IFERROR(IF(OR(T10="Under offer",LEFT(T10,5)="Fails"),"Not suitable: suburb/budget check",IF(OR(X10="",X10="Unknown",Y10="",Y10="Unknown",AND(AND(ISNUMBER(Y10),Y10&lt;Settings!$B$31),OR(Z10="",Z10="Unknown"))),"Needs data: floorplan",IF(FIND(X10,"ABCD")&gt;Settings!$B$29,"Not suitable: more separation than wanted",IF(AND(FIND(X10,"ABCD")&lt;Settings!$B$28,Settings!$B$30=3),"Not suitable: not enough separation",IF(AND(AND(ISNUMBER(Y10),Y10&lt;Settings!$B$31),Z10="Major"),"Not suitable: mobility",IF(FIND(X10,"ABCD")&lt;Settings!$B$28,"Watchlist: less separation than wanted",IF(AND(AND(ISNUMBER(Y10),Y10&lt;Settings!$B$31),Z10="Minor works"),"Watchlist: minor mobility works",IF(T10="Pass if bought near low end","Watchlist: pass if bought near low end",IF(AND(ISNUMBER(AA10),AA10&gt;Settings!$B$33),"Watchlist: garden upkeep",IF(AND(ISNUMBER(AA10),ABS(AA10-Settings!$B$32)&gt;=2),"Watchlist: outdoor space",IF(AND(AD10&lt;&gt;"",AD10&lt;&gt;"None"),"Watchlist: noise",IF(AND(AE10&lt;&gt;"",AE10&lt;&gt;"None"),"Watchlist: overlay",IF(AND(Settings!$B$34=1,OR(AND(ISNUMBER(AB10),AB10&gt;10),AND(ISNUMBER(AC10),AC10&gt;10))),"Watchlist: walk to shops/GP","Strong fit"))))))))))))),"Needs data: check X–AE values"))</f>
        <v/>
      </c>
    </row>
    <row r="11" ht="15" customHeight="1" s="15">
      <c r="A11" s="22" t="n">
        <v>10</v>
      </c>
      <c r="B11" s="31" t="inlineStr">
        <is>
          <t>51 Granya Grove</t>
        </is>
      </c>
      <c r="C11" s="22" t="inlineStr">
        <is>
          <t>Mount Eliza</t>
        </is>
      </c>
      <c r="D11" s="22" t="inlineStr">
        <is>
          <t>$1,799,000-$1,978,000</t>
        </is>
      </c>
      <c r="E11" s="24" t="n">
        <v>1799000</v>
      </c>
      <c r="F11" s="24" t="n">
        <v>1978000</v>
      </c>
      <c r="G11" s="22">
        <f>IF(E11="","Needs data",IF(F11&lt;=Filters!$B$2,"Within cap",IF(E11&lt;=Filters!$B$2,"Straddles cap","Over cap")))</f>
        <v/>
      </c>
      <c r="H11" s="22" t="n">
        <v>5</v>
      </c>
      <c r="I11" s="22" t="n">
        <v>2</v>
      </c>
      <c r="J11" s="22" t="n">
        <v>2</v>
      </c>
      <c r="K11" s="22" t="n">
        <v>976</v>
      </c>
      <c r="L11" s="22" t="inlineStr">
        <is>
          <t>Active</t>
        </is>
      </c>
      <c r="M11" s="22" t="inlineStr">
        <is>
          <t>Sat 31 Oct 1:00pm</t>
        </is>
      </c>
      <c r="N11" s="22" t="inlineStr">
        <is>
          <t>Bailey White</t>
        </is>
      </c>
      <c r="O11" s="22" t="inlineStr">
        <is>
          <t>Mount Eliza</t>
        </is>
      </c>
      <c r="P11" s="22">
        <f>IFERROR(INDEX(SuburbScorecard!$C:$C,MATCH($O11,SuburbScorecard!$A:$A,0)),"Not on scorecard")</f>
        <v/>
      </c>
      <c r="Q11" s="22">
        <f>IFERROR(IF(INDEX(SuburbScorecard!$J:$J,MATCH($O11,SuburbScorecard!$A:$A,0))="","",INDEX(SuburbScorecard!$J:$J,MATCH($O11,SuburbScorecard!$A:$A,0))),"")</f>
        <v/>
      </c>
      <c r="R11" s="22">
        <f>IFERROR(IF(INDEX(SuburbScorecard!$K:$K,MATCH($O11,SuburbScorecard!$A:$A,0))="","",INDEX(SuburbScorecard!$K:$K,MATCH($O11,SuburbScorecard!$A:$A,0))),"")</f>
        <v/>
      </c>
      <c r="S11" s="22">
        <f>IFERROR(IF(INDEX(SuburbScorecard!$AB:$AB,MATCH($O11,SuburbScorecard!$A:$A,0))="","Needs data",INDEX(SuburbScorecard!$AB:$AB,MATCH($O11,SuburbScorecard!$A:$A,0))),"Needs data")</f>
        <v/>
      </c>
      <c r="T11" s="22">
        <f>IF(L11="Under offer","Under offer",IF(G11="Over cap","Fails: budget",IF(NOT(AND(ISNUMBER(Q11),ISNUMBER(R11))),"Needs data",IF(Q11&gt;Filters!$B$4,"Fails: GW drive",IF(R11&gt;Filters!$B$5,"Fails: ED drive",IF(G11="Straddles cap","Pass if bought near low end","Pass"))))))</f>
        <v/>
      </c>
      <c r="V11" s="22" t="inlineStr">
        <is>
          <t>https://www.realestate.com.au/property-house-vic-mount+eliza-151176748</t>
        </is>
      </c>
      <c r="AA11">
        <f>IF(OR(NOT(ISNUMBER(K11)),Settings!$B$35=""),"",IF(K11&lt;=Settings!$B$35,1,IF(K11&lt;=Settings!$B$36,2,IF(K11&lt;=Settings!$B$37,3,4))))</f>
        <v/>
      </c>
      <c r="AG11">
        <f>IF(Settings!$B$28="","Pending rules",IFERROR(IF(OR(T11="Under offer",LEFT(T11,5)="Fails"),"Not suitable: suburb/budget check",IF(OR(X11="",X11="Unknown",Y11="",Y11="Unknown",AND(AND(ISNUMBER(Y11),Y11&lt;Settings!$B$31),OR(Z11="",Z11="Unknown"))),"Needs data: floorplan",IF(FIND(X11,"ABCD")&gt;Settings!$B$29,"Not suitable: more separation than wanted",IF(AND(FIND(X11,"ABCD")&lt;Settings!$B$28,Settings!$B$30=3),"Not suitable: not enough separation",IF(AND(AND(ISNUMBER(Y11),Y11&lt;Settings!$B$31),Z11="Major"),"Not suitable: mobility",IF(FIND(X11,"ABCD")&lt;Settings!$B$28,"Watchlist: less separation than wanted",IF(AND(AND(ISNUMBER(Y11),Y11&lt;Settings!$B$31),Z11="Minor works"),"Watchlist: minor mobility works",IF(T11="Pass if bought near low end","Watchlist: pass if bought near low end",IF(AND(ISNUMBER(AA11),AA11&gt;Settings!$B$33),"Watchlist: garden upkeep",IF(AND(ISNUMBER(AA11),ABS(AA11-Settings!$B$32)&gt;=2),"Watchlist: outdoor space",IF(AND(AD11&lt;&gt;"",AD11&lt;&gt;"None"),"Watchlist: noise",IF(AND(AE11&lt;&gt;"",AE11&lt;&gt;"None"),"Watchlist: overlay",IF(AND(Settings!$B$34=1,OR(AND(ISNUMBER(AB11),AB11&gt;10),AND(ISNUMBER(AC11),AC11&gt;10))),"Watchlist: walk to shops/GP","Strong fit"))))))))))))),"Needs data: check X–AE values"))</f>
        <v/>
      </c>
    </row>
    <row r="12" ht="15" customHeight="1" s="15">
      <c r="A12" s="22" t="n">
        <v>11</v>
      </c>
      <c r="B12" s="31" t="inlineStr">
        <is>
          <t>54 Granya Grove</t>
        </is>
      </c>
      <c r="C12" s="22" t="inlineStr">
        <is>
          <t>Mount Eliza</t>
        </is>
      </c>
      <c r="D12" s="22" t="inlineStr">
        <is>
          <t>$1,275,000-$1,375,000</t>
        </is>
      </c>
      <c r="E12" s="24" t="n">
        <v>1275000</v>
      </c>
      <c r="F12" s="24" t="n">
        <v>1375000</v>
      </c>
      <c r="G12" s="22">
        <f>IF(E12="","Needs data",IF(F12&lt;=Filters!$B$2,"Within cap",IF(E12&lt;=Filters!$B$2,"Straddles cap","Over cap")))</f>
        <v/>
      </c>
      <c r="H12" s="22" t="n">
        <v>3</v>
      </c>
      <c r="I12" s="22" t="n">
        <v>2</v>
      </c>
      <c r="J12" s="22" t="n">
        <v>2</v>
      </c>
      <c r="K12" s="22" t="n">
        <v>985</v>
      </c>
      <c r="L12" s="22" t="inlineStr">
        <is>
          <t>Active</t>
        </is>
      </c>
      <c r="M12" s="22" t="inlineStr">
        <is>
          <t>Sat 31 Oct 12:30pm</t>
        </is>
      </c>
      <c r="N12" s="22" t="inlineStr">
        <is>
          <t>Candice Blanch</t>
        </is>
      </c>
      <c r="O12" s="22" t="inlineStr">
        <is>
          <t>Mount Eliza</t>
        </is>
      </c>
      <c r="P12" s="22">
        <f>IFERROR(INDEX(SuburbScorecard!$C:$C,MATCH($O12,SuburbScorecard!$A:$A,0)),"Not on scorecard")</f>
        <v/>
      </c>
      <c r="Q12" s="22">
        <f>IFERROR(IF(INDEX(SuburbScorecard!$J:$J,MATCH($O12,SuburbScorecard!$A:$A,0))="","",INDEX(SuburbScorecard!$J:$J,MATCH($O12,SuburbScorecard!$A:$A,0))),"")</f>
        <v/>
      </c>
      <c r="R12" s="22">
        <f>IFERROR(IF(INDEX(SuburbScorecard!$K:$K,MATCH($O12,SuburbScorecard!$A:$A,0))="","",INDEX(SuburbScorecard!$K:$K,MATCH($O12,SuburbScorecard!$A:$A,0))),"")</f>
        <v/>
      </c>
      <c r="S12" s="22">
        <f>IFERROR(IF(INDEX(SuburbScorecard!$AB:$AB,MATCH($O12,SuburbScorecard!$A:$A,0))="","Needs data",INDEX(SuburbScorecard!$AB:$AB,MATCH($O12,SuburbScorecard!$A:$A,0))),"Needs data")</f>
        <v/>
      </c>
      <c r="T12" s="22">
        <f>IF(L12="Under offer","Under offer",IF(G12="Over cap","Fails: budget",IF(NOT(AND(ISNUMBER(Q12),ISNUMBER(R12))),"Needs data",IF(Q12&gt;Filters!$B$4,"Fails: GW drive",IF(R12&gt;Filters!$B$5,"Fails: ED drive",IF(G12="Straddles cap","Pass if bought near low end","Pass"))))))</f>
        <v/>
      </c>
      <c r="V12" s="22" t="inlineStr">
        <is>
          <t>https://www.realestate.com.au/property-house-vic-mount+eliza-152450032</t>
        </is>
      </c>
      <c r="AA12">
        <f>IF(OR(NOT(ISNUMBER(K12)),Settings!$B$35=""),"",IF(K12&lt;=Settings!$B$35,1,IF(K12&lt;=Settings!$B$36,2,IF(K12&lt;=Settings!$B$37,3,4))))</f>
        <v/>
      </c>
      <c r="AG12">
        <f>IF(Settings!$B$28="","Pending rules",IFERROR(IF(OR(T12="Under offer",LEFT(T12,5)="Fails"),"Not suitable: suburb/budget check",IF(OR(X12="",X12="Unknown",Y12="",Y12="Unknown",AND(AND(ISNUMBER(Y12),Y12&lt;Settings!$B$31),OR(Z12="",Z12="Unknown"))),"Needs data: floorplan",IF(FIND(X12,"ABCD")&gt;Settings!$B$29,"Not suitable: more separation than wanted",IF(AND(FIND(X12,"ABCD")&lt;Settings!$B$28,Settings!$B$30=3),"Not suitable: not enough separation",IF(AND(AND(ISNUMBER(Y12),Y12&lt;Settings!$B$31),Z12="Major"),"Not suitable: mobility",IF(FIND(X12,"ABCD")&lt;Settings!$B$28,"Watchlist: less separation than wanted",IF(AND(AND(ISNUMBER(Y12),Y12&lt;Settings!$B$31),Z12="Minor works"),"Watchlist: minor mobility works",IF(T12="Pass if bought near low end","Watchlist: pass if bought near low end",IF(AND(ISNUMBER(AA12),AA12&gt;Settings!$B$33),"Watchlist: garden upkeep",IF(AND(ISNUMBER(AA12),ABS(AA12-Settings!$B$32)&gt;=2),"Watchlist: outdoor space",IF(AND(AD12&lt;&gt;"",AD12&lt;&gt;"None"),"Watchlist: noise",IF(AND(AE12&lt;&gt;"",AE12&lt;&gt;"None"),"Watchlist: overlay",IF(AND(Settings!$B$34=1,OR(AND(ISNUMBER(AB12),AB12&gt;10),AND(ISNUMBER(AC12),AC12&gt;10))),"Watchlist: walk to shops/GP","Strong fit"))))))))))))),"Needs data: check X–AE values"))</f>
        <v/>
      </c>
    </row>
    <row r="13" ht="15" customHeight="1" s="15">
      <c r="A13" s="22" t="n">
        <v>12</v>
      </c>
      <c r="B13" s="31" t="inlineStr">
        <is>
          <t>110 Koornalla Crescent</t>
        </is>
      </c>
      <c r="C13" s="22" t="inlineStr">
        <is>
          <t>Mount Eliza</t>
        </is>
      </c>
      <c r="D13" s="22" t="inlineStr">
        <is>
          <t>$1,300,000-$1,430,000</t>
        </is>
      </c>
      <c r="E13" s="24" t="n">
        <v>1300000</v>
      </c>
      <c r="F13" s="24" t="n">
        <v>1430000</v>
      </c>
      <c r="G13" s="22">
        <f>IF(E13="","Needs data",IF(F13&lt;=Filters!$B$2,"Within cap",IF(E13&lt;=Filters!$B$2,"Straddles cap","Over cap")))</f>
        <v/>
      </c>
      <c r="H13" s="22" t="n">
        <v>4</v>
      </c>
      <c r="I13" s="22" t="n">
        <v>2</v>
      </c>
      <c r="J13" s="22" t="n">
        <v>2</v>
      </c>
      <c r="K13" s="22" t="n">
        <v>981</v>
      </c>
      <c r="L13" s="22" t="inlineStr">
        <is>
          <t>Active</t>
        </is>
      </c>
      <c r="M13" s="22" t="inlineStr">
        <is>
          <t>None listed</t>
        </is>
      </c>
      <c r="N13" s="22" t="inlineStr">
        <is>
          <t>Will Crowder</t>
        </is>
      </c>
      <c r="O13" s="22" t="inlineStr">
        <is>
          <t>Mount Eliza</t>
        </is>
      </c>
      <c r="P13" s="22">
        <f>IFERROR(INDEX(SuburbScorecard!$C:$C,MATCH($O13,SuburbScorecard!$A:$A,0)),"Not on scorecard")</f>
        <v/>
      </c>
      <c r="Q13" s="22">
        <f>IFERROR(IF(INDEX(SuburbScorecard!$J:$J,MATCH($O13,SuburbScorecard!$A:$A,0))="","",INDEX(SuburbScorecard!$J:$J,MATCH($O13,SuburbScorecard!$A:$A,0))),"")</f>
        <v/>
      </c>
      <c r="R13" s="22">
        <f>IFERROR(IF(INDEX(SuburbScorecard!$K:$K,MATCH($O13,SuburbScorecard!$A:$A,0))="","",INDEX(SuburbScorecard!$K:$K,MATCH($O13,SuburbScorecard!$A:$A,0))),"")</f>
        <v/>
      </c>
      <c r="S13" s="22">
        <f>IFERROR(IF(INDEX(SuburbScorecard!$AB:$AB,MATCH($O13,SuburbScorecard!$A:$A,0))="","Needs data",INDEX(SuburbScorecard!$AB:$AB,MATCH($O13,SuburbScorecard!$A:$A,0))),"Needs data")</f>
        <v/>
      </c>
      <c r="T13" s="22">
        <f>IF(L13="Under offer","Under offer",IF(G13="Over cap","Fails: budget",IF(NOT(AND(ISNUMBER(Q13),ISNUMBER(R13))),"Needs data",IF(Q13&gt;Filters!$B$4,"Fails: GW drive",IF(R13&gt;Filters!$B$5,"Fails: ED drive",IF(G13="Straddles cap","Pass if bought near low end","Pass"))))))</f>
        <v/>
      </c>
      <c r="V13" s="22" t="inlineStr">
        <is>
          <t>https://www.realestate.com.au/property-house-vic-mount+eliza-152376824</t>
        </is>
      </c>
      <c r="AA13">
        <f>IF(OR(NOT(ISNUMBER(K13)),Settings!$B$35=""),"",IF(K13&lt;=Settings!$B$35,1,IF(K13&lt;=Settings!$B$36,2,IF(K13&lt;=Settings!$B$37,3,4))))</f>
        <v/>
      </c>
      <c r="AG13">
        <f>IF(Settings!$B$28="","Pending rules",IFERROR(IF(OR(T13="Under offer",LEFT(T13,5)="Fails"),"Not suitable: suburb/budget check",IF(OR(X13="",X13="Unknown",Y13="",Y13="Unknown",AND(AND(ISNUMBER(Y13),Y13&lt;Settings!$B$31),OR(Z13="",Z13="Unknown"))),"Needs data: floorplan",IF(FIND(X13,"ABCD")&gt;Settings!$B$29,"Not suitable: more separation than wanted",IF(AND(FIND(X13,"ABCD")&lt;Settings!$B$28,Settings!$B$30=3),"Not suitable: not enough separation",IF(AND(AND(ISNUMBER(Y13),Y13&lt;Settings!$B$31),Z13="Major"),"Not suitable: mobility",IF(FIND(X13,"ABCD")&lt;Settings!$B$28,"Watchlist: less separation than wanted",IF(AND(AND(ISNUMBER(Y13),Y13&lt;Settings!$B$31),Z13="Minor works"),"Watchlist: minor mobility works",IF(T13="Pass if bought near low end","Watchlist: pass if bought near low end",IF(AND(ISNUMBER(AA13),AA13&gt;Settings!$B$33),"Watchlist: garden upkeep",IF(AND(ISNUMBER(AA13),ABS(AA13-Settings!$B$32)&gt;=2),"Watchlist: outdoor space",IF(AND(AD13&lt;&gt;"",AD13&lt;&gt;"None"),"Watchlist: noise",IF(AND(AE13&lt;&gt;"",AE13&lt;&gt;"None"),"Watchlist: overlay",IF(AND(Settings!$B$34=1,OR(AND(ISNUMBER(AB13),AB13&gt;10),AND(ISNUMBER(AC13),AC13&gt;10))),"Watchlist: walk to shops/GP","Strong fit"))))))))))))),"Needs data: check X–AE values"))</f>
        <v/>
      </c>
    </row>
    <row r="14" ht="15" customHeight="1" s="15">
      <c r="A14" s="22" t="n">
        <v>13</v>
      </c>
      <c r="B14" s="31" t="inlineStr">
        <is>
          <t>1374 Nepean Highway</t>
        </is>
      </c>
      <c r="C14" s="22" t="inlineStr">
        <is>
          <t>Mount Eliza</t>
        </is>
      </c>
      <c r="D14" s="22" t="inlineStr">
        <is>
          <t>$890,000-$970,000</t>
        </is>
      </c>
      <c r="E14" s="24" t="n">
        <v>890000</v>
      </c>
      <c r="F14" s="24" t="n">
        <v>970000</v>
      </c>
      <c r="G14" s="22">
        <f>IF(E14="","Needs data",IF(F14&lt;=Filters!$B$2,"Within cap",IF(E14&lt;=Filters!$B$2,"Straddles cap","Over cap")))</f>
        <v/>
      </c>
      <c r="H14" s="22" t="n">
        <v>4</v>
      </c>
      <c r="I14" s="22" t="n">
        <v>2</v>
      </c>
      <c r="J14" s="22" t="n">
        <v>2</v>
      </c>
      <c r="K14" s="22" t="n">
        <v>790</v>
      </c>
      <c r="L14" s="22" t="inlineStr">
        <is>
          <t>Active</t>
        </is>
      </c>
      <c r="M14" s="22" t="inlineStr">
        <is>
          <t>Sat 31 Oct 2:00pm</t>
        </is>
      </c>
      <c r="N14" s="22" t="inlineStr">
        <is>
          <t>Danae Eden</t>
        </is>
      </c>
      <c r="O14" s="22" t="inlineStr">
        <is>
          <t>Mount Eliza</t>
        </is>
      </c>
      <c r="P14" s="22">
        <f>IFERROR(INDEX(SuburbScorecard!$C:$C,MATCH($O14,SuburbScorecard!$A:$A,0)),"Not on scorecard")</f>
        <v/>
      </c>
      <c r="Q14" s="22">
        <f>IFERROR(IF(INDEX(SuburbScorecard!$J:$J,MATCH($O14,SuburbScorecard!$A:$A,0))="","",INDEX(SuburbScorecard!$J:$J,MATCH($O14,SuburbScorecard!$A:$A,0))),"")</f>
        <v/>
      </c>
      <c r="R14" s="22">
        <f>IFERROR(IF(INDEX(SuburbScorecard!$K:$K,MATCH($O14,SuburbScorecard!$A:$A,0))="","",INDEX(SuburbScorecard!$K:$K,MATCH($O14,SuburbScorecard!$A:$A,0))),"")</f>
        <v/>
      </c>
      <c r="S14" s="22">
        <f>IFERROR(IF(INDEX(SuburbScorecard!$AB:$AB,MATCH($O14,SuburbScorecard!$A:$A,0))="","Needs data",INDEX(SuburbScorecard!$AB:$AB,MATCH($O14,SuburbScorecard!$A:$A,0))),"Needs data")</f>
        <v/>
      </c>
      <c r="T14" s="22">
        <f>IF(L14="Under offer","Under offer",IF(G14="Over cap","Fails: budget",IF(NOT(AND(ISNUMBER(Q14),ISNUMBER(R14))),"Needs data",IF(Q14&gt;Filters!$B$4,"Fails: GW drive",IF(R14&gt;Filters!$B$5,"Fails: ED drive",IF(G14="Straddles cap","Pass if bought near low end","Pass"))))))</f>
        <v/>
      </c>
      <c r="V14" s="22" t="inlineStr">
        <is>
          <t>https://www.realestate.com.au/property-house-vic-mount+eliza-151903892</t>
        </is>
      </c>
      <c r="AA14">
        <f>IF(OR(NOT(ISNUMBER(K14)),Settings!$B$35=""),"",IF(K14&lt;=Settings!$B$35,1,IF(K14&lt;=Settings!$B$36,2,IF(K14&lt;=Settings!$B$37,3,4))))</f>
        <v/>
      </c>
      <c r="AG14">
        <f>IF(Settings!$B$28="","Pending rules",IFERROR(IF(OR(T14="Under offer",LEFT(T14,5)="Fails"),"Not suitable: suburb/budget check",IF(OR(X14="",X14="Unknown",Y14="",Y14="Unknown",AND(AND(ISNUMBER(Y14),Y14&lt;Settings!$B$31),OR(Z14="",Z14="Unknown"))),"Needs data: floorplan",IF(FIND(X14,"ABCD")&gt;Settings!$B$29,"Not suitable: more separation than wanted",IF(AND(FIND(X14,"ABCD")&lt;Settings!$B$28,Settings!$B$30=3),"Not suitable: not enough separation",IF(AND(AND(ISNUMBER(Y14),Y14&lt;Settings!$B$31),Z14="Major"),"Not suitable: mobility",IF(FIND(X14,"ABCD")&lt;Settings!$B$28,"Watchlist: less separation than wanted",IF(AND(AND(ISNUMBER(Y14),Y14&lt;Settings!$B$31),Z14="Minor works"),"Watchlist: minor mobility works",IF(T14="Pass if bought near low end","Watchlist: pass if bought near low end",IF(AND(ISNUMBER(AA14),AA14&gt;Settings!$B$33),"Watchlist: garden upkeep",IF(AND(ISNUMBER(AA14),ABS(AA14-Settings!$B$32)&gt;=2),"Watchlist: outdoor space",IF(AND(AD14&lt;&gt;"",AD14&lt;&gt;"None"),"Watchlist: noise",IF(AND(AE14&lt;&gt;"",AE14&lt;&gt;"None"),"Watchlist: overlay",IF(AND(Settings!$B$34=1,OR(AND(ISNUMBER(AB14),AB14&gt;10),AND(ISNUMBER(AC14),AC14&gt;10))),"Watchlist: walk to shops/GP","Strong fit"))))))))))))),"Needs data: check X–AE values"))</f>
        <v/>
      </c>
    </row>
    <row r="15" ht="15" customHeight="1" s="15">
      <c r="A15" s="22" t="n">
        <v>14</v>
      </c>
      <c r="B15" s="31" t="inlineStr">
        <is>
          <t>45 Seahaze Street</t>
        </is>
      </c>
      <c r="C15" s="22" t="inlineStr">
        <is>
          <t>Arthurs Seat</t>
        </is>
      </c>
      <c r="D15" s="22" t="inlineStr">
        <is>
          <t>Private sale $1,650,000-$1,750,000</t>
        </is>
      </c>
      <c r="E15" s="24" t="n">
        <v>1650000</v>
      </c>
      <c r="F15" s="24" t="n">
        <v>1750000</v>
      </c>
      <c r="G15" s="22">
        <f>IF(E15="","Needs data",IF(F15&lt;=Filters!$B$2,"Within cap",IF(E15&lt;=Filters!$B$2,"Straddles cap","Over cap")))</f>
        <v/>
      </c>
      <c r="H15" s="22" t="n">
        <v>4</v>
      </c>
      <c r="I15" s="22" t="n">
        <v>2</v>
      </c>
      <c r="J15" s="22" t="n">
        <v>4</v>
      </c>
      <c r="K15" s="22" t="n">
        <v>819</v>
      </c>
      <c r="L15" s="22" t="inlineStr">
        <is>
          <t>Active</t>
        </is>
      </c>
      <c r="M15" s="22" t="inlineStr">
        <is>
          <t>None listed</t>
        </is>
      </c>
      <c r="N15" s="22" t="inlineStr">
        <is>
          <t>Tom Barr Smith</t>
        </is>
      </c>
      <c r="O15" s="22" t="inlineStr">
        <is>
          <t>Arthurs Seat</t>
        </is>
      </c>
      <c r="P15" s="22">
        <f>IFERROR(INDEX(SuburbScorecard!$C:$C,MATCH($O15,SuburbScorecard!$A:$A,0)),"Not on scorecard")</f>
        <v/>
      </c>
      <c r="Q15" s="22">
        <f>IFERROR(IF(INDEX(SuburbScorecard!$J:$J,MATCH($O15,SuburbScorecard!$A:$A,0))="","",INDEX(SuburbScorecard!$J:$J,MATCH($O15,SuburbScorecard!$A:$A,0))),"")</f>
        <v/>
      </c>
      <c r="R15" s="22">
        <f>IFERROR(IF(INDEX(SuburbScorecard!$K:$K,MATCH($O15,SuburbScorecard!$A:$A,0))="","",INDEX(SuburbScorecard!$K:$K,MATCH($O15,SuburbScorecard!$A:$A,0))),"")</f>
        <v/>
      </c>
      <c r="S15" s="22">
        <f>IFERROR(IF(INDEX(SuburbScorecard!$AB:$AB,MATCH($O15,SuburbScorecard!$A:$A,0))="","Needs data",INDEX(SuburbScorecard!$AB:$AB,MATCH($O15,SuburbScorecard!$A:$A,0))),"Needs data")</f>
        <v/>
      </c>
      <c r="T15" s="22">
        <f>IF(L15="Under offer","Under offer",IF(G15="Over cap","Fails: budget",IF(NOT(AND(ISNUMBER(Q15),ISNUMBER(R15))),"Needs data",IF(Q15&gt;Filters!$B$4,"Fails: GW drive",IF(R15&gt;Filters!$B$5,"Fails: ED drive",IF(G15="Straddles cap","Pass if bought near low end","Pass"))))))</f>
        <v/>
      </c>
      <c r="U15" s="22" t="n"/>
      <c r="V15" s="22" t="inlineStr">
        <is>
          <t>https://www.realestate.com.au/property-house-vic-arthurs+seat-146680920</t>
        </is>
      </c>
      <c r="AA15">
        <f>IF(OR(NOT(ISNUMBER(K15)),Settings!$B$35=""),"",IF(K15&lt;=Settings!$B$35,1,IF(K15&lt;=Settings!$B$36,2,IF(K15&lt;=Settings!$B$37,3,4))))</f>
        <v/>
      </c>
      <c r="AG15">
        <f>IF(Settings!$B$28="","Pending rules",IFERROR(IF(OR(T15="Under offer",LEFT(T15,5)="Fails"),"Not suitable: suburb/budget check",IF(OR(X15="",X15="Unknown",Y15="",Y15="Unknown",AND(AND(ISNUMBER(Y15),Y15&lt;Settings!$B$31),OR(Z15="",Z15="Unknown"))),"Needs data: floorplan",IF(FIND(X15,"ABCD")&gt;Settings!$B$29,"Not suitable: more separation than wanted",IF(AND(FIND(X15,"ABCD")&lt;Settings!$B$28,Settings!$B$30=3),"Not suitable: not enough separation",IF(AND(AND(ISNUMBER(Y15),Y15&lt;Settings!$B$31),Z15="Major"),"Not suitable: mobility",IF(FIND(X15,"ABCD")&lt;Settings!$B$28,"Watchlist: less separation than wanted",IF(AND(AND(ISNUMBER(Y15),Y15&lt;Settings!$B$31),Z15="Minor works"),"Watchlist: minor mobility works",IF(T15="Pass if bought near low end","Watchlist: pass if bought near low end",IF(AND(ISNUMBER(AA15),AA15&gt;Settings!$B$33),"Watchlist: garden upkeep",IF(AND(ISNUMBER(AA15),ABS(AA15-Settings!$B$32)&gt;=2),"Watchlist: outdoor space",IF(AND(AD15&lt;&gt;"",AD15&lt;&gt;"None"),"Watchlist: noise",IF(AND(AE15&lt;&gt;"",AE15&lt;&gt;"None"),"Watchlist: overlay",IF(AND(Settings!$B$34=1,OR(AND(ISNUMBER(AB15),AB15&gt;10),AND(ISNUMBER(AC15),AC15&gt;10))),"Watchlist: walk to shops/GP","Strong fit"))))))))))))),"Needs data: check X–AE values"))</f>
        <v/>
      </c>
    </row>
    <row r="16" ht="15" customHeight="1" s="15">
      <c r="A16" s="22" t="n">
        <v>15</v>
      </c>
      <c r="B16" s="31" t="inlineStr">
        <is>
          <t>4 McArthur Street</t>
        </is>
      </c>
      <c r="C16" s="22" t="inlineStr">
        <is>
          <t>Dromana</t>
        </is>
      </c>
      <c r="D16" s="22" t="inlineStr">
        <is>
          <t>$1,349,000</t>
        </is>
      </c>
      <c r="E16" s="24" t="n">
        <v>1349000</v>
      </c>
      <c r="F16" s="24" t="n">
        <v>1349000</v>
      </c>
      <c r="G16" s="22">
        <f>IF(E16="","Needs data",IF(F16&lt;=Filters!$B$2,"Within cap",IF(E16&lt;=Filters!$B$2,"Straddles cap","Over cap")))</f>
        <v/>
      </c>
      <c r="H16" s="22" t="n">
        <v>3</v>
      </c>
      <c r="I16" s="22" t="n">
        <v>2</v>
      </c>
      <c r="J16" s="22" t="n">
        <v>2</v>
      </c>
      <c r="K16" s="22" t="n">
        <v>675</v>
      </c>
      <c r="L16" s="22" t="inlineStr">
        <is>
          <t>Active</t>
        </is>
      </c>
      <c r="M16" s="22" t="inlineStr">
        <is>
          <t>None listed</t>
        </is>
      </c>
      <c r="N16" s="22" t="inlineStr">
        <is>
          <t>Scott Joyce</t>
        </is>
      </c>
      <c r="O16" s="22" t="inlineStr">
        <is>
          <t>Dromana</t>
        </is>
      </c>
      <c r="P16" s="22">
        <f>IFERROR(INDEX(SuburbScorecard!$C:$C,MATCH($O16,SuburbScorecard!$A:$A,0)),"Not on scorecard")</f>
        <v/>
      </c>
      <c r="Q16" s="22">
        <f>IFERROR(IF(INDEX(SuburbScorecard!$J:$J,MATCH($O16,SuburbScorecard!$A:$A,0))="","",INDEX(SuburbScorecard!$J:$J,MATCH($O16,SuburbScorecard!$A:$A,0))),"")</f>
        <v/>
      </c>
      <c r="R16" s="22">
        <f>IFERROR(IF(INDEX(SuburbScorecard!$K:$K,MATCH($O16,SuburbScorecard!$A:$A,0))="","",INDEX(SuburbScorecard!$K:$K,MATCH($O16,SuburbScorecard!$A:$A,0))),"")</f>
        <v/>
      </c>
      <c r="S16" s="22">
        <f>IFERROR(IF(INDEX(SuburbScorecard!$AB:$AB,MATCH($O16,SuburbScorecard!$A:$A,0))="","Needs data",INDEX(SuburbScorecard!$AB:$AB,MATCH($O16,SuburbScorecard!$A:$A,0))),"Needs data")</f>
        <v/>
      </c>
      <c r="T16" s="22">
        <f>IF(L16="Under offer","Under offer",IF(G16="Over cap","Fails: budget",IF(NOT(AND(ISNUMBER(Q16),ISNUMBER(R16))),"Needs data",IF(Q16&gt;Filters!$B$4,"Fails: GW drive",IF(R16&gt;Filters!$B$5,"Fails: ED drive",IF(G16="Straddles cap","Pass if bought near low end","Pass"))))))</f>
        <v/>
      </c>
      <c r="U16" s="22" t="n"/>
      <c r="V16" s="22" t="inlineStr">
        <is>
          <t>https://www.realestate.com.au/property-house-vic-dromana-152005848</t>
        </is>
      </c>
      <c r="AA16">
        <f>IF(OR(NOT(ISNUMBER(K16)),Settings!$B$35=""),"",IF(K16&lt;=Settings!$B$35,1,IF(K16&lt;=Settings!$B$36,2,IF(K16&lt;=Settings!$B$37,3,4))))</f>
        <v/>
      </c>
      <c r="AG16">
        <f>IF(Settings!$B$28="","Pending rules",IFERROR(IF(OR(T16="Under offer",LEFT(T16,5)="Fails"),"Not suitable: suburb/budget check",IF(OR(X16="",X16="Unknown",Y16="",Y16="Unknown",AND(AND(ISNUMBER(Y16),Y16&lt;Settings!$B$31),OR(Z16="",Z16="Unknown"))),"Needs data: floorplan",IF(FIND(X16,"ABCD")&gt;Settings!$B$29,"Not suitable: more separation than wanted",IF(AND(FIND(X16,"ABCD")&lt;Settings!$B$28,Settings!$B$30=3),"Not suitable: not enough separation",IF(AND(AND(ISNUMBER(Y16),Y16&lt;Settings!$B$31),Z16="Major"),"Not suitable: mobility",IF(FIND(X16,"ABCD")&lt;Settings!$B$28,"Watchlist: less separation than wanted",IF(AND(AND(ISNUMBER(Y16),Y16&lt;Settings!$B$31),Z16="Minor works"),"Watchlist: minor mobility works",IF(T16="Pass if bought near low end","Watchlist: pass if bought near low end",IF(AND(ISNUMBER(AA16),AA16&gt;Settings!$B$33),"Watchlist: garden upkeep",IF(AND(ISNUMBER(AA16),ABS(AA16-Settings!$B$32)&gt;=2),"Watchlist: outdoor space",IF(AND(AD16&lt;&gt;"",AD16&lt;&gt;"None"),"Watchlist: noise",IF(AND(AE16&lt;&gt;"",AE16&lt;&gt;"None"),"Watchlist: overlay",IF(AND(Settings!$B$34=1,OR(AND(ISNUMBER(AB16),AB16&gt;10),AND(ISNUMBER(AC16),AC16&gt;10))),"Watchlist: walk to shops/GP","Strong fit"))))))))))))),"Needs data: check X–AE values"))</f>
        <v/>
      </c>
    </row>
    <row r="17" ht="15" customHeight="1" s="15">
      <c r="A17" s="22" t="n">
        <v>16</v>
      </c>
      <c r="B17" s="31" t="inlineStr">
        <is>
          <t>3-5 Bonavista Way</t>
        </is>
      </c>
      <c r="C17" s="22" t="inlineStr">
        <is>
          <t>Curlewis</t>
        </is>
      </c>
      <c r="D17" s="22" t="inlineStr">
        <is>
          <t>$1,350,000-$1,450,000</t>
        </is>
      </c>
      <c r="E17" s="24" t="n">
        <v>1350000</v>
      </c>
      <c r="F17" s="24" t="n">
        <v>1450000</v>
      </c>
      <c r="G17" s="22">
        <f>IF(E17="","Needs data",IF(F17&lt;=Filters!$B$2,"Within cap",IF(E17&lt;=Filters!$B$2,"Straddles cap","Over cap")))</f>
        <v/>
      </c>
      <c r="H17" s="22" t="n">
        <v>5</v>
      </c>
      <c r="I17" s="22" t="n">
        <v>3</v>
      </c>
      <c r="J17" s="22" t="n">
        <v>5</v>
      </c>
      <c r="K17" s="22" t="n">
        <v>580</v>
      </c>
      <c r="L17" s="22" t="inlineStr">
        <is>
          <t>Active</t>
        </is>
      </c>
      <c r="M17" s="22" t="inlineStr">
        <is>
          <t>Sat 31 Oct 11:50am</t>
        </is>
      </c>
      <c r="N17" s="22" t="inlineStr">
        <is>
          <t>Harley Lewis</t>
        </is>
      </c>
      <c r="O17" s="22" t="inlineStr">
        <is>
          <t>Curlewis</t>
        </is>
      </c>
      <c r="P17" s="22">
        <f>IFERROR(INDEX(SuburbScorecard!$C:$C,MATCH($O17,SuburbScorecard!$A:$A,0)),"Not on scorecard")</f>
        <v/>
      </c>
      <c r="Q17" s="22">
        <f>IFERROR(IF(INDEX(SuburbScorecard!$J:$J,MATCH($O17,SuburbScorecard!$A:$A,0))="","",INDEX(SuburbScorecard!$J:$J,MATCH($O17,SuburbScorecard!$A:$A,0))),"")</f>
        <v/>
      </c>
      <c r="R17" s="22">
        <f>IFERROR(IF(INDEX(SuburbScorecard!$K:$K,MATCH($O17,SuburbScorecard!$A:$A,0))="","",INDEX(SuburbScorecard!$K:$K,MATCH($O17,SuburbScorecard!$A:$A,0))),"")</f>
        <v/>
      </c>
      <c r="S17" s="22">
        <f>IFERROR(IF(INDEX(SuburbScorecard!$AB:$AB,MATCH($O17,SuburbScorecard!$A:$A,0))="","Needs data",INDEX(SuburbScorecard!$AB:$AB,MATCH($O17,SuburbScorecard!$A:$A,0))),"Needs data")</f>
        <v/>
      </c>
      <c r="T17" s="22">
        <f>IF(L17="Under offer","Under offer",IF(G17="Over cap","Fails: budget",IF(NOT(AND(ISNUMBER(Q17),ISNUMBER(R17))),"Needs data",IF(Q17&gt;Filters!$B$4,"Fails: GW drive",IF(R17&gt;Filters!$B$5,"Fails: ED drive",IF(G17="Straddles cap","Pass if bought near low end","Pass"))))))</f>
        <v/>
      </c>
      <c r="U17" s="22" t="n"/>
      <c r="V17" s="22" t="inlineStr">
        <is>
          <t>https://www.realestate.com.au/property-house-vic-curlewis-152352192</t>
        </is>
      </c>
      <c r="AA17">
        <f>IF(OR(NOT(ISNUMBER(K17)),Settings!$B$35=""),"",IF(K17&lt;=Settings!$B$35,1,IF(K17&lt;=Settings!$B$36,2,IF(K17&lt;=Settings!$B$37,3,4))))</f>
        <v/>
      </c>
      <c r="AG17">
        <f>IF(Settings!$B$28="","Pending rules",IFERROR(IF(OR(T17="Under offer",LEFT(T17,5)="Fails"),"Not suitable: suburb/budget check",IF(OR(X17="",X17="Unknown",Y17="",Y17="Unknown",AND(AND(ISNUMBER(Y17),Y17&lt;Settings!$B$31),OR(Z17="",Z17="Unknown"))),"Needs data: floorplan",IF(FIND(X17,"ABCD")&gt;Settings!$B$29,"Not suitable: more separation than wanted",IF(AND(FIND(X17,"ABCD")&lt;Settings!$B$28,Settings!$B$30=3),"Not suitable: not enough separation",IF(AND(AND(ISNUMBER(Y17),Y17&lt;Settings!$B$31),Z17="Major"),"Not suitable: mobility",IF(FIND(X17,"ABCD")&lt;Settings!$B$28,"Watchlist: less separation than wanted",IF(AND(AND(ISNUMBER(Y17),Y17&lt;Settings!$B$31),Z17="Minor works"),"Watchlist: minor mobility works",IF(T17="Pass if bought near low end","Watchlist: pass if bought near low end",IF(AND(ISNUMBER(AA17),AA17&gt;Settings!$B$33),"Watchlist: garden upkeep",IF(AND(ISNUMBER(AA17),ABS(AA17-Settings!$B$32)&gt;=2),"Watchlist: outdoor space",IF(AND(AD17&lt;&gt;"",AD17&lt;&gt;"None"),"Watchlist: noise",IF(AND(AE17&lt;&gt;"",AE17&lt;&gt;"None"),"Watchlist: overlay",IF(AND(Settings!$B$34=1,OR(AND(ISNUMBER(AB17),AB17&gt;10),AND(ISNUMBER(AC17),AC17&gt;10))),"Watchlist: walk to shops/GP","Strong fit"))))))))))))),"Needs data: check X–AE values"))</f>
        <v/>
      </c>
    </row>
    <row r="18" ht="15" customHeight="1" s="15">
      <c r="A18" s="22" t="n">
        <v>17</v>
      </c>
      <c r="B18" s="31" t="inlineStr">
        <is>
          <t>36 Arthurs Avenue</t>
        </is>
      </c>
      <c r="C18" s="22" t="inlineStr">
        <is>
          <t>McCrae</t>
        </is>
      </c>
      <c r="D18" s="22" t="inlineStr">
        <is>
          <t>New price $1,500,000-$1,650,000</t>
        </is>
      </c>
      <c r="E18" s="24" t="n">
        <v>1500000</v>
      </c>
      <c r="F18" s="24" t="n">
        <v>1650000</v>
      </c>
      <c r="G18" s="22">
        <f>IF(E18="","Needs data",IF(F18&lt;=Filters!$B$2,"Within cap",IF(E18&lt;=Filters!$B$2,"Straddles cap","Over cap")))</f>
        <v/>
      </c>
      <c r="H18" s="22" t="n">
        <v>5</v>
      </c>
      <c r="I18" s="22" t="n">
        <v>3</v>
      </c>
      <c r="J18" s="22" t="n">
        <v>6</v>
      </c>
      <c r="K18" s="22" t="n">
        <v>913</v>
      </c>
      <c r="L18" s="22" t="inlineStr">
        <is>
          <t>Active</t>
        </is>
      </c>
      <c r="M18" s="22" t="inlineStr">
        <is>
          <t>Sat 31 Oct 2:00pm</t>
        </is>
      </c>
      <c r="N18" s="22" t="inlineStr">
        <is>
          <t>Sam Austen</t>
        </is>
      </c>
      <c r="O18" s="22" t="inlineStr">
        <is>
          <t>McCrae</t>
        </is>
      </c>
      <c r="P18" s="22">
        <f>IFERROR(INDEX(SuburbScorecard!$C:$C,MATCH($O18,SuburbScorecard!$A:$A,0)),"Not on scorecard")</f>
        <v/>
      </c>
      <c r="Q18" s="22">
        <f>IFERROR(IF(INDEX(SuburbScorecard!$J:$J,MATCH($O18,SuburbScorecard!$A:$A,0))="","",INDEX(SuburbScorecard!$J:$J,MATCH($O18,SuburbScorecard!$A:$A,0))),"")</f>
        <v/>
      </c>
      <c r="R18" s="22">
        <f>IFERROR(IF(INDEX(SuburbScorecard!$K:$K,MATCH($O18,SuburbScorecard!$A:$A,0))="","",INDEX(SuburbScorecard!$K:$K,MATCH($O18,SuburbScorecard!$A:$A,0))),"")</f>
        <v/>
      </c>
      <c r="S18" s="22">
        <f>IFERROR(IF(INDEX(SuburbScorecard!$AB:$AB,MATCH($O18,SuburbScorecard!$A:$A,0))="","Needs data",INDEX(SuburbScorecard!$AB:$AB,MATCH($O18,SuburbScorecard!$A:$A,0))),"Needs data")</f>
        <v/>
      </c>
      <c r="T18" s="22">
        <f>IF(L18="Under offer","Under offer",IF(G18="Over cap","Fails: budget",IF(NOT(AND(ISNUMBER(Q18),ISNUMBER(R18))),"Needs data",IF(Q18&gt;Filters!$B$4,"Fails: GW drive",IF(R18&gt;Filters!$B$5,"Fails: ED drive",IF(G18="Straddles cap","Pass if bought near low end","Pass"))))))</f>
        <v/>
      </c>
      <c r="U18" s="22" t="n"/>
      <c r="V18" s="22" t="inlineStr">
        <is>
          <t>https://www.realestate.com.au/property-house-vic-mccrae-151835348</t>
        </is>
      </c>
      <c r="AA18">
        <f>IF(OR(NOT(ISNUMBER(K18)),Settings!$B$35=""),"",IF(K18&lt;=Settings!$B$35,1,IF(K18&lt;=Settings!$B$36,2,IF(K18&lt;=Settings!$B$37,3,4))))</f>
        <v/>
      </c>
      <c r="AG18">
        <f>IF(Settings!$B$28="","Pending rules",IFERROR(IF(OR(T18="Under offer",LEFT(T18,5)="Fails"),"Not suitable: suburb/budget check",IF(OR(X18="",X18="Unknown",Y18="",Y18="Unknown",AND(AND(ISNUMBER(Y18),Y18&lt;Settings!$B$31),OR(Z18="",Z18="Unknown"))),"Needs data: floorplan",IF(FIND(X18,"ABCD")&gt;Settings!$B$29,"Not suitable: more separation than wanted",IF(AND(FIND(X18,"ABCD")&lt;Settings!$B$28,Settings!$B$30=3),"Not suitable: not enough separation",IF(AND(AND(ISNUMBER(Y18),Y18&lt;Settings!$B$31),Z18="Major"),"Not suitable: mobility",IF(FIND(X18,"ABCD")&lt;Settings!$B$28,"Watchlist: less separation than wanted",IF(AND(AND(ISNUMBER(Y18),Y18&lt;Settings!$B$31),Z18="Minor works"),"Watchlist: minor mobility works",IF(T18="Pass if bought near low end","Watchlist: pass if bought near low end",IF(AND(ISNUMBER(AA18),AA18&gt;Settings!$B$33),"Watchlist: garden upkeep",IF(AND(ISNUMBER(AA18),ABS(AA18-Settings!$B$32)&gt;=2),"Watchlist: outdoor space",IF(AND(AD18&lt;&gt;"",AD18&lt;&gt;"None"),"Watchlist: noise",IF(AND(AE18&lt;&gt;"",AE18&lt;&gt;"None"),"Watchlist: overlay",IF(AND(Settings!$B$34=1,OR(AND(ISNUMBER(AB18),AB18&gt;10),AND(ISNUMBER(AC18),AC18&gt;10))),"Watchlist: walk to shops/GP","Strong fit"))))))))))))),"Needs data: check X–AE values"))</f>
        <v/>
      </c>
    </row>
    <row r="19" ht="15" customHeight="1" s="15">
      <c r="A19" s="22" t="n">
        <v>18</v>
      </c>
      <c r="B19" s="31" t="inlineStr">
        <is>
          <t>2B Fowler Street</t>
        </is>
      </c>
      <c r="C19" s="22" t="inlineStr">
        <is>
          <t>Chelsea</t>
        </is>
      </c>
      <c r="D19" s="22" t="inlineStr">
        <is>
          <t>$1,400,000-$1,540,000</t>
        </is>
      </c>
      <c r="E19" s="24" t="n">
        <v>1400000</v>
      </c>
      <c r="F19" s="24" t="n">
        <v>1540000</v>
      </c>
      <c r="G19" s="22">
        <f>IF(E19="","Needs data",IF(F19&lt;=Filters!$B$2,"Within cap",IF(E19&lt;=Filters!$B$2,"Straddles cap","Over cap")))</f>
        <v/>
      </c>
      <c r="H19" s="22" t="n">
        <v>5</v>
      </c>
      <c r="I19" s="22" t="n">
        <v>3</v>
      </c>
      <c r="J19" s="22" t="n">
        <v>3</v>
      </c>
      <c r="K19" s="22" t="n">
        <v>688</v>
      </c>
      <c r="L19" s="22" t="inlineStr">
        <is>
          <t>Active</t>
        </is>
      </c>
      <c r="M19" s="22" t="inlineStr">
        <is>
          <t>Wed 28 Oct 3:50pm</t>
        </is>
      </c>
      <c r="N19" s="22" t="inlineStr">
        <is>
          <t>Daniel Wright</t>
        </is>
      </c>
      <c r="O19" s="22" t="inlineStr">
        <is>
          <t>Chelsea</t>
        </is>
      </c>
      <c r="P19" s="22">
        <f>IFERROR(INDEX(SuburbScorecard!$C:$C,MATCH($O19,SuburbScorecard!$A:$A,0)),"Not on scorecard")</f>
        <v/>
      </c>
      <c r="Q19" s="22">
        <f>IFERROR(IF(INDEX(SuburbScorecard!$J:$J,MATCH($O19,SuburbScorecard!$A:$A,0))="","",INDEX(SuburbScorecard!$J:$J,MATCH($O19,SuburbScorecard!$A:$A,0))),"")</f>
        <v/>
      </c>
      <c r="R19" s="22">
        <f>IFERROR(IF(INDEX(SuburbScorecard!$K:$K,MATCH($O19,SuburbScorecard!$A:$A,0))="","",INDEX(SuburbScorecard!$K:$K,MATCH($O19,SuburbScorecard!$A:$A,0))),"")</f>
        <v/>
      </c>
      <c r="S19" s="22">
        <f>IFERROR(IF(INDEX(SuburbScorecard!$AB:$AB,MATCH($O19,SuburbScorecard!$A:$A,0))="","Needs data",INDEX(SuburbScorecard!$AB:$AB,MATCH($O19,SuburbScorecard!$A:$A,0))),"Needs data")</f>
        <v/>
      </c>
      <c r="T19" s="22">
        <f>IF(L19="Under offer","Under offer",IF(G19="Over cap","Fails: budget",IF(NOT(AND(ISNUMBER(Q19),ISNUMBER(R19))),"Needs data",IF(Q19&gt;Filters!$B$4,"Fails: GW drive",IF(R19&gt;Filters!$B$5,"Fails: ED drive",IF(G19="Straddles cap","Pass if bought near low end","Pass"))))))</f>
        <v/>
      </c>
      <c r="U19" s="22" t="n"/>
      <c r="V19" s="22" t="inlineStr">
        <is>
          <t>https://www.realestate.com.au/property-house-vic-chelsea-152626264</t>
        </is>
      </c>
      <c r="AA19">
        <f>IF(OR(NOT(ISNUMBER(K19)),Settings!$B$35=""),"",IF(K19&lt;=Settings!$B$35,1,IF(K19&lt;=Settings!$B$36,2,IF(K19&lt;=Settings!$B$37,3,4))))</f>
        <v/>
      </c>
      <c r="AG19">
        <f>IF(Settings!$B$28="","Pending rules",IFERROR(IF(OR(T19="Under offer",LEFT(T19,5)="Fails"),"Not suitable: suburb/budget check",IF(OR(X19="",X19="Unknown",Y19="",Y19="Unknown",AND(AND(ISNUMBER(Y19),Y19&lt;Settings!$B$31),OR(Z19="",Z19="Unknown"))),"Needs data: floorplan",IF(FIND(X19,"ABCD")&gt;Settings!$B$29,"Not suitable: more separation than wanted",IF(AND(FIND(X19,"ABCD")&lt;Settings!$B$28,Settings!$B$30=3),"Not suitable: not enough separation",IF(AND(AND(ISNUMBER(Y19),Y19&lt;Settings!$B$31),Z19="Major"),"Not suitable: mobility",IF(FIND(X19,"ABCD")&lt;Settings!$B$28,"Watchlist: less separation than wanted",IF(AND(AND(ISNUMBER(Y19),Y19&lt;Settings!$B$31),Z19="Minor works"),"Watchlist: minor mobility works",IF(T19="Pass if bought near low end","Watchlist: pass if bought near low end",IF(AND(ISNUMBER(AA19),AA19&gt;Settings!$B$33),"Watchlist: garden upkeep",IF(AND(ISNUMBER(AA19),ABS(AA19-Settings!$B$32)&gt;=2),"Watchlist: outdoor space",IF(AND(AD19&lt;&gt;"",AD19&lt;&gt;"None"),"Watchlist: noise",IF(AND(AE19&lt;&gt;"",AE19&lt;&gt;"None"),"Watchlist: overlay",IF(AND(Settings!$B$34=1,OR(AND(ISNUMBER(AB19),AB19&gt;10),AND(ISNUMBER(AC19),AC19&gt;10))),"Watchlist: walk to shops/GP","Strong fit"))))))))))))),"Needs data: check X–AE values"))</f>
        <v/>
      </c>
    </row>
    <row r="20" ht="15" customHeight="1" s="15">
      <c r="A20" s="22" t="n">
        <v>19</v>
      </c>
      <c r="B20" s="31" t="inlineStr">
        <is>
          <t>13 Harcombe Crescent</t>
        </is>
      </c>
      <c r="C20" s="22" t="inlineStr">
        <is>
          <t>Torquay</t>
        </is>
      </c>
      <c r="D20" s="22" t="inlineStr">
        <is>
          <t>$1,200,000-$1,300,000</t>
        </is>
      </c>
      <c r="E20" s="24" t="n">
        <v>1200000</v>
      </c>
      <c r="F20" s="24" t="n">
        <v>1300000</v>
      </c>
      <c r="G20" s="22">
        <f>IF(E20="","Needs data",IF(F20&lt;=Filters!$B$2,"Within cap",IF(E20&lt;=Filters!$B$2,"Straddles cap","Over cap")))</f>
        <v/>
      </c>
      <c r="H20" s="22" t="n">
        <v>4</v>
      </c>
      <c r="I20" s="22" t="n">
        <v>2</v>
      </c>
      <c r="J20" s="22" t="n">
        <v>2</v>
      </c>
      <c r="K20" s="22" t="n">
        <v>392</v>
      </c>
      <c r="L20" s="22" t="inlineStr">
        <is>
          <t>Active</t>
        </is>
      </c>
      <c r="M20" s="22" t="inlineStr">
        <is>
          <t>None listed</t>
        </is>
      </c>
      <c r="N20" s="22" t="inlineStr">
        <is>
          <t>Chris Henson</t>
        </is>
      </c>
      <c r="O20" s="22" t="inlineStr">
        <is>
          <t>Torquay</t>
        </is>
      </c>
      <c r="P20" s="22">
        <f>IFERROR(INDEX(SuburbScorecard!$C:$C,MATCH($O20,SuburbScorecard!$A:$A,0)),"Not on scorecard")</f>
        <v/>
      </c>
      <c r="Q20" s="22">
        <f>IFERROR(IF(INDEX(SuburbScorecard!$J:$J,MATCH($O20,SuburbScorecard!$A:$A,0))="","",INDEX(SuburbScorecard!$J:$J,MATCH($O20,SuburbScorecard!$A:$A,0))),"")</f>
        <v/>
      </c>
      <c r="R20" s="22">
        <f>IFERROR(IF(INDEX(SuburbScorecard!$K:$K,MATCH($O20,SuburbScorecard!$A:$A,0))="","",INDEX(SuburbScorecard!$K:$K,MATCH($O20,SuburbScorecard!$A:$A,0))),"")</f>
        <v/>
      </c>
      <c r="S20" s="22">
        <f>IFERROR(IF(INDEX(SuburbScorecard!$AB:$AB,MATCH($O20,SuburbScorecard!$A:$A,0))="","Needs data",INDEX(SuburbScorecard!$AB:$AB,MATCH($O20,SuburbScorecard!$A:$A,0))),"Needs data")</f>
        <v/>
      </c>
      <c r="T20" s="22">
        <f>IF(L20="Under offer","Under offer",IF(G20="Over cap","Fails: budget",IF(NOT(AND(ISNUMBER(Q20),ISNUMBER(R20))),"Needs data",IF(Q20&gt;Filters!$B$4,"Fails: GW drive",IF(R20&gt;Filters!$B$5,"Fails: ED drive",IF(G20="Straddles cap","Pass if bought near low end","Pass"))))))</f>
        <v/>
      </c>
      <c r="V20" s="22" t="inlineStr">
        <is>
          <t>https://www.realestate.com.au/property-house-vic-torquay-152670688</t>
        </is>
      </c>
      <c r="AA20">
        <f>IF(OR(NOT(ISNUMBER(K20)),Settings!$B$35=""),"",IF(K20&lt;=Settings!$B$35,1,IF(K20&lt;=Settings!$B$36,2,IF(K20&lt;=Settings!$B$37,3,4))))</f>
        <v/>
      </c>
      <c r="AG20">
        <f>IF(Settings!$B$28="","Pending rules",IFERROR(IF(OR(T20="Under offer",LEFT(T20,5)="Fails"),"Not suitable: suburb/budget check",IF(OR(X20="",X20="Unknown",Y20="",Y20="Unknown",AND(AND(ISNUMBER(Y20),Y20&lt;Settings!$B$31),OR(Z20="",Z20="Unknown"))),"Needs data: floorplan",IF(FIND(X20,"ABCD")&gt;Settings!$B$29,"Not suitable: more separation than wanted",IF(AND(FIND(X20,"ABCD")&lt;Settings!$B$28,Settings!$B$30=3),"Not suitable: not enough separation",IF(AND(AND(ISNUMBER(Y20),Y20&lt;Settings!$B$31),Z20="Major"),"Not suitable: mobility",IF(FIND(X20,"ABCD")&lt;Settings!$B$28,"Watchlist: less separation than wanted",IF(AND(AND(ISNUMBER(Y20),Y20&lt;Settings!$B$31),Z20="Minor works"),"Watchlist: minor mobility works",IF(T20="Pass if bought near low end","Watchlist: pass if bought near low end",IF(AND(ISNUMBER(AA20),AA20&gt;Settings!$B$33),"Watchlist: garden upkeep",IF(AND(ISNUMBER(AA20),ABS(AA20-Settings!$B$32)&gt;=2),"Watchlist: outdoor space",IF(AND(AD20&lt;&gt;"",AD20&lt;&gt;"None"),"Watchlist: noise",IF(AND(AE20&lt;&gt;"",AE20&lt;&gt;"None"),"Watchlist: overlay",IF(AND(Settings!$B$34=1,OR(AND(ISNUMBER(AB20),AB20&gt;10),AND(ISNUMBER(AC20),AC20&gt;10))),"Watchlist: walk to shops/GP","Strong fit"))))))))))))),"Needs data: check X–AE values"))</f>
        <v/>
      </c>
    </row>
    <row r="21" ht="15" customHeight="1" s="15">
      <c r="A21" s="22" t="n">
        <v>20</v>
      </c>
      <c r="B21" s="31" t="inlineStr">
        <is>
          <t>6 Dowman Street</t>
        </is>
      </c>
      <c r="C21" s="22" t="inlineStr">
        <is>
          <t>Newport</t>
        </is>
      </c>
      <c r="D21" s="22" t="inlineStr">
        <is>
          <t>$1,790,000</t>
        </is>
      </c>
      <c r="E21" s="24" t="n">
        <v>1790000</v>
      </c>
      <c r="F21" s="24" t="n">
        <v>1790000</v>
      </c>
      <c r="G21" s="22">
        <f>IF(E21="","Needs data",IF(F21&lt;=Filters!$B$2,"Within cap",IF(E21&lt;=Filters!$B$2,"Straddles cap","Over cap")))</f>
        <v/>
      </c>
      <c r="H21" s="22" t="n">
        <v>4</v>
      </c>
      <c r="I21" s="22" t="n">
        <v>2</v>
      </c>
      <c r="J21" s="22" t="n">
        <v>4</v>
      </c>
      <c r="K21" s="22" t="n">
        <v>417</v>
      </c>
      <c r="L21" s="22" t="inlineStr">
        <is>
          <t>Active</t>
        </is>
      </c>
      <c r="M21" s="22" t="inlineStr">
        <is>
          <t>Tue 27 Oct 5:00pm</t>
        </is>
      </c>
      <c r="N21" s="22" t="inlineStr">
        <is>
          <t>Nathan Smith</t>
        </is>
      </c>
      <c r="O21" s="22" t="inlineStr">
        <is>
          <t>Newport</t>
        </is>
      </c>
      <c r="P21" s="22">
        <f>IFERROR(INDEX(SuburbScorecard!$C:$C,MATCH($O21,SuburbScorecard!$A:$A,0)),"Not on scorecard")</f>
        <v/>
      </c>
      <c r="Q21" s="22">
        <f>IFERROR(IF(INDEX(SuburbScorecard!$J:$J,MATCH($O21,SuburbScorecard!$A:$A,0))="","",INDEX(SuburbScorecard!$J:$J,MATCH($O21,SuburbScorecard!$A:$A,0))),"")</f>
        <v/>
      </c>
      <c r="R21" s="22">
        <f>IFERROR(IF(INDEX(SuburbScorecard!$K:$K,MATCH($O21,SuburbScorecard!$A:$A,0))="","",INDEX(SuburbScorecard!$K:$K,MATCH($O21,SuburbScorecard!$A:$A,0))),"")</f>
        <v/>
      </c>
      <c r="S21" s="22">
        <f>IFERROR(IF(INDEX(SuburbScorecard!$AB:$AB,MATCH($O21,SuburbScorecard!$A:$A,0))="","Needs data",INDEX(SuburbScorecard!$AB:$AB,MATCH($O21,SuburbScorecard!$A:$A,0))),"Needs data")</f>
        <v/>
      </c>
      <c r="T21" s="22">
        <f>IF(L21="Under offer","Under offer",IF(G21="Over cap","Fails: budget",IF(NOT(AND(ISNUMBER(Q21),ISNUMBER(R21))),"Needs data",IF(Q21&gt;Filters!$B$4,"Fails: GW drive",IF(R21&gt;Filters!$B$5,"Fails: ED drive",IF(G21="Straddles cap","Pass if bought near low end","Pass"))))))</f>
        <v/>
      </c>
      <c r="U21" s="22" t="n"/>
      <c r="V21" s="22" t="inlineStr">
        <is>
          <t>https://www.realestate.com.au/property-house-vic-newport-152302080</t>
        </is>
      </c>
      <c r="AA21">
        <f>IF(OR(NOT(ISNUMBER(K21)),Settings!$B$35=""),"",IF(K21&lt;=Settings!$B$35,1,IF(K21&lt;=Settings!$B$36,2,IF(K21&lt;=Settings!$B$37,3,4))))</f>
        <v/>
      </c>
      <c r="AG21">
        <f>IF(Settings!$B$28="","Pending rules",IFERROR(IF(OR(T21="Under offer",LEFT(T21,5)="Fails"),"Not suitable: suburb/budget check",IF(OR(X21="",X21="Unknown",Y21="",Y21="Unknown",AND(AND(ISNUMBER(Y21),Y21&lt;Settings!$B$31),OR(Z21="",Z21="Unknown"))),"Needs data: floorplan",IF(FIND(X21,"ABCD")&gt;Settings!$B$29,"Not suitable: more separation than wanted",IF(AND(FIND(X21,"ABCD")&lt;Settings!$B$28,Settings!$B$30=3),"Not suitable: not enough separation",IF(AND(AND(ISNUMBER(Y21),Y21&lt;Settings!$B$31),Z21="Major"),"Not suitable: mobility",IF(FIND(X21,"ABCD")&lt;Settings!$B$28,"Watchlist: less separation than wanted",IF(AND(AND(ISNUMBER(Y21),Y21&lt;Settings!$B$31),Z21="Minor works"),"Watchlist: minor mobility works",IF(T21="Pass if bought near low end","Watchlist: pass if bought near low end",IF(AND(ISNUMBER(AA21),AA21&gt;Settings!$B$33),"Watchlist: garden upkeep",IF(AND(ISNUMBER(AA21),ABS(AA21-Settings!$B$32)&gt;=2),"Watchlist: outdoor space",IF(AND(AD21&lt;&gt;"",AD21&lt;&gt;"None"),"Watchlist: noise",IF(AND(AE21&lt;&gt;"",AE21&lt;&gt;"None"),"Watchlist: overlay",IF(AND(Settings!$B$34=1,OR(AND(ISNUMBER(AB21),AB21&gt;10),AND(ISNUMBER(AC21),AC21&gt;10))),"Watchlist: walk to shops/GP","Strong fit"))))))))))))),"Needs data: check X–AE values"))</f>
        <v/>
      </c>
    </row>
    <row r="22" ht="15" customHeight="1" s="15">
      <c r="A22" s="22" t="n">
        <v>21</v>
      </c>
      <c r="B22" s="31" t="inlineStr">
        <is>
          <t>28 Stradbroke Avenue</t>
        </is>
      </c>
      <c r="C22" s="22" t="inlineStr">
        <is>
          <t>Frankston South</t>
        </is>
      </c>
      <c r="D22" s="22" t="inlineStr">
        <is>
          <t>Reserve $940,000</t>
        </is>
      </c>
      <c r="E22" s="24" t="n">
        <v>940000</v>
      </c>
      <c r="F22" s="24" t="n">
        <v>940000</v>
      </c>
      <c r="G22" s="22">
        <f>IF(E22="","Needs data",IF(F22&lt;=Filters!$B$2,"Within cap",IF(E22&lt;=Filters!$B$2,"Straddles cap","Over cap")))</f>
        <v/>
      </c>
      <c r="H22" s="22" t="n">
        <v>4</v>
      </c>
      <c r="I22" s="22" t="n">
        <v>2</v>
      </c>
      <c r="J22" s="22" t="n">
        <v>1</v>
      </c>
      <c r="K22" s="22" t="n">
        <v>551</v>
      </c>
      <c r="L22" s="22" t="inlineStr">
        <is>
          <t>Active</t>
        </is>
      </c>
      <c r="M22" s="22" t="inlineStr">
        <is>
          <t>Sat 31 Oct 9:30am</t>
        </is>
      </c>
      <c r="N22" s="22" t="inlineStr">
        <is>
          <t>Brooke Wegener</t>
        </is>
      </c>
      <c r="O22" s="22" t="inlineStr">
        <is>
          <t>Frankston South</t>
        </is>
      </c>
      <c r="P22" s="22">
        <f>IFERROR(INDEX(SuburbScorecard!$C:$C,MATCH($O22,SuburbScorecard!$A:$A,0)),"Not on scorecard")</f>
        <v/>
      </c>
      <c r="Q22" s="22">
        <f>IFERROR(IF(INDEX(SuburbScorecard!$J:$J,MATCH($O22,SuburbScorecard!$A:$A,0))="","",INDEX(SuburbScorecard!$J:$J,MATCH($O22,SuburbScorecard!$A:$A,0))),"")</f>
        <v/>
      </c>
      <c r="R22" s="22">
        <f>IFERROR(IF(INDEX(SuburbScorecard!$K:$K,MATCH($O22,SuburbScorecard!$A:$A,0))="","",INDEX(SuburbScorecard!$K:$K,MATCH($O22,SuburbScorecard!$A:$A,0))),"")</f>
        <v/>
      </c>
      <c r="S22" s="22">
        <f>IFERROR(IF(INDEX(SuburbScorecard!$AB:$AB,MATCH($O22,SuburbScorecard!$A:$A,0))="","Needs data",INDEX(SuburbScorecard!$AB:$AB,MATCH($O22,SuburbScorecard!$A:$A,0))),"Needs data")</f>
        <v/>
      </c>
      <c r="T22" s="22">
        <f>IF(L22="Under offer","Under offer",IF(G22="Over cap","Fails: budget",IF(NOT(AND(ISNUMBER(Q22),ISNUMBER(R22))),"Needs data",IF(Q22&gt;Filters!$B$4,"Fails: GW drive",IF(R22&gt;Filters!$B$5,"Fails: ED drive",IF(G22="Straddles cap","Pass if bought near low end","Pass"))))))</f>
        <v/>
      </c>
      <c r="U22" s="22" t="inlineStr">
        <is>
          <t>Reserve price (auction); final price likely higher</t>
        </is>
      </c>
      <c r="V22" s="22" t="inlineStr">
        <is>
          <t>https://www.realestate.com.au/property-house-vic-frankston+south-152212372</t>
        </is>
      </c>
      <c r="AA22">
        <f>IF(OR(NOT(ISNUMBER(K22)),Settings!$B$35=""),"",IF(K22&lt;=Settings!$B$35,1,IF(K22&lt;=Settings!$B$36,2,IF(K22&lt;=Settings!$B$37,3,4))))</f>
        <v/>
      </c>
      <c r="AG22">
        <f>IF(Settings!$B$28="","Pending rules",IFERROR(IF(OR(T22="Under offer",LEFT(T22,5)="Fails"),"Not suitable: suburb/budget check",IF(OR(X22="",X22="Unknown",Y22="",Y22="Unknown",AND(AND(ISNUMBER(Y22),Y22&lt;Settings!$B$31),OR(Z22="",Z22="Unknown"))),"Needs data: floorplan",IF(FIND(X22,"ABCD")&gt;Settings!$B$29,"Not suitable: more separation than wanted",IF(AND(FIND(X22,"ABCD")&lt;Settings!$B$28,Settings!$B$30=3),"Not suitable: not enough separation",IF(AND(AND(ISNUMBER(Y22),Y22&lt;Settings!$B$31),Z22="Major"),"Not suitable: mobility",IF(FIND(X22,"ABCD")&lt;Settings!$B$28,"Watchlist: less separation than wanted",IF(AND(AND(ISNUMBER(Y22),Y22&lt;Settings!$B$31),Z22="Minor works"),"Watchlist: minor mobility works",IF(T22="Pass if bought near low end","Watchlist: pass if bought near low end",IF(AND(ISNUMBER(AA22),AA22&gt;Settings!$B$33),"Watchlist: garden upkeep",IF(AND(ISNUMBER(AA22),ABS(AA22-Settings!$B$32)&gt;=2),"Watchlist: outdoor space",IF(AND(AD22&lt;&gt;"",AD22&lt;&gt;"None"),"Watchlist: noise",IF(AND(AE22&lt;&gt;"",AE22&lt;&gt;"None"),"Watchlist: overlay",IF(AND(Settings!$B$34=1,OR(AND(ISNUMBER(AB22),AB22&gt;10),AND(ISNUMBER(AC22),AC22&gt;10))),"Watchlist: walk to shops/GP","Strong fit"))))))))))))),"Needs data: check X–AE values"))</f>
        <v/>
      </c>
    </row>
    <row r="23" ht="15" customHeight="1" s="15">
      <c r="A23" s="22" t="n">
        <v>22</v>
      </c>
      <c r="B23" s="31" t="inlineStr">
        <is>
          <t>7 Gordon Avenue</t>
        </is>
      </c>
      <c r="C23" s="22" t="inlineStr">
        <is>
          <t>Tecoma</t>
        </is>
      </c>
      <c r="D23" s="22" t="inlineStr">
        <is>
          <t>$1,300,000-$1,400,000</t>
        </is>
      </c>
      <c r="E23" s="24" t="n">
        <v>1300000</v>
      </c>
      <c r="F23" s="24" t="n">
        <v>1400000</v>
      </c>
      <c r="G23" s="22">
        <f>IF(E23="","Needs data",IF(F23&lt;=Filters!$B$2,"Within cap",IF(E23&lt;=Filters!$B$2,"Straddles cap","Over cap")))</f>
        <v/>
      </c>
      <c r="H23" s="22" t="n">
        <v>4</v>
      </c>
      <c r="I23" s="22" t="n">
        <v>2</v>
      </c>
      <c r="J23" s="22" t="n">
        <v>2</v>
      </c>
      <c r="K23" s="22" t="n">
        <v>1120</v>
      </c>
      <c r="L23" s="22" t="inlineStr">
        <is>
          <t>Under offer</t>
        </is>
      </c>
      <c r="M23" s="22" t="inlineStr">
        <is>
          <t>None listed</t>
        </is>
      </c>
      <c r="N23" s="22" t="inlineStr">
        <is>
          <t>Bree Roberts</t>
        </is>
      </c>
      <c r="O23" s="22" t="inlineStr">
        <is>
          <t>Tecoma</t>
        </is>
      </c>
      <c r="P23" s="22">
        <f>IFERROR(INDEX(SuburbScorecard!$C:$C,MATCH($O23,SuburbScorecard!$A:$A,0)),"Not on scorecard")</f>
        <v/>
      </c>
      <c r="Q23" s="22">
        <f>IFERROR(IF(INDEX(SuburbScorecard!$J:$J,MATCH($O23,SuburbScorecard!$A:$A,0))="","",INDEX(SuburbScorecard!$J:$J,MATCH($O23,SuburbScorecard!$A:$A,0))),"")</f>
        <v/>
      </c>
      <c r="R23" s="22">
        <f>IFERROR(IF(INDEX(SuburbScorecard!$K:$K,MATCH($O23,SuburbScorecard!$A:$A,0))="","",INDEX(SuburbScorecard!$K:$K,MATCH($O23,SuburbScorecard!$A:$A,0))),"")</f>
        <v/>
      </c>
      <c r="S23" s="22">
        <f>IFERROR(IF(INDEX(SuburbScorecard!$AB:$AB,MATCH($O23,SuburbScorecard!$A:$A,0))="","Needs data",INDEX(SuburbScorecard!$AB:$AB,MATCH($O23,SuburbScorecard!$A:$A,0))),"Needs data")</f>
        <v/>
      </c>
      <c r="T23" s="22">
        <f>IF(L23="Under offer","Under offer",IF(G23="Over cap","Fails: budget",IF(NOT(AND(ISNUMBER(Q23),ISNUMBER(R23))),"Needs data",IF(Q23&gt;Filters!$B$4,"Fails: GW drive",IF(R23&gt;Filters!$B$5,"Fails: ED drive",IF(G23="Straddles cap","Pass if bought near low end","Pass"))))))</f>
        <v/>
      </c>
      <c r="V23" s="22" t="inlineStr">
        <is>
          <t>https://www.realestate.com.au/property-house-vic-tecoma-152652276</t>
        </is>
      </c>
      <c r="AA23">
        <f>IF(OR(NOT(ISNUMBER(K23)),Settings!$B$35=""),"",IF(K23&lt;=Settings!$B$35,1,IF(K23&lt;=Settings!$B$36,2,IF(K23&lt;=Settings!$B$37,3,4))))</f>
        <v/>
      </c>
      <c r="AG23">
        <f>IF(Settings!$B$28="","Pending rules",IFERROR(IF(OR(T23="Under offer",LEFT(T23,5)="Fails"),"Not suitable: suburb/budget check",IF(OR(X23="",X23="Unknown",Y23="",Y23="Unknown",AND(AND(ISNUMBER(Y23),Y23&lt;Settings!$B$31),OR(Z23="",Z23="Unknown"))),"Needs data: floorplan",IF(FIND(X23,"ABCD")&gt;Settings!$B$29,"Not suitable: more separation than wanted",IF(AND(FIND(X23,"ABCD")&lt;Settings!$B$28,Settings!$B$30=3),"Not suitable: not enough separation",IF(AND(AND(ISNUMBER(Y23),Y23&lt;Settings!$B$31),Z23="Major"),"Not suitable: mobility",IF(FIND(X23,"ABCD")&lt;Settings!$B$28,"Watchlist: less separation than wanted",IF(AND(AND(ISNUMBER(Y23),Y23&lt;Settings!$B$31),Z23="Minor works"),"Watchlist: minor mobility works",IF(T23="Pass if bought near low end","Watchlist: pass if bought near low end",IF(AND(ISNUMBER(AA23),AA23&gt;Settings!$B$33),"Watchlist: garden upkeep",IF(AND(ISNUMBER(AA23),ABS(AA23-Settings!$B$32)&gt;=2),"Watchlist: outdoor space",IF(AND(AD23&lt;&gt;"",AD23&lt;&gt;"None"),"Watchlist: noise",IF(AND(AE23&lt;&gt;"",AE23&lt;&gt;"None"),"Watchlist: overlay",IF(AND(Settings!$B$34=1,OR(AND(ISNUMBER(AB23),AB23&gt;10),AND(ISNUMBER(AC23),AC23&gt;10))),"Watchlist: walk to shops/GP","Strong fit"))))))))))))),"Needs data: check X–AE values"))</f>
        <v/>
      </c>
    </row>
    <row r="24" ht="15" customHeight="1" s="15">
      <c r="A24" s="22" t="n">
        <v>23</v>
      </c>
      <c r="B24" s="31" t="inlineStr">
        <is>
          <t>24 Monbulk Road</t>
        </is>
      </c>
      <c r="C24" s="22" t="inlineStr">
        <is>
          <t>Belgrave</t>
        </is>
      </c>
      <c r="D24" s="22" t="inlineStr">
        <is>
          <t>Auction $850,000-$920,000</t>
        </is>
      </c>
      <c r="E24" s="24" t="n">
        <v>850000</v>
      </c>
      <c r="F24" s="24" t="n">
        <v>920000</v>
      </c>
      <c r="G24" s="22">
        <f>IF(E24="","Needs data",IF(F24&lt;=Filters!$B$2,"Within cap",IF(E24&lt;=Filters!$B$2,"Straddles cap","Over cap")))</f>
        <v/>
      </c>
      <c r="H24" s="22" t="n">
        <v>4</v>
      </c>
      <c r="I24" s="22" t="n">
        <v>2</v>
      </c>
      <c r="J24" s="22" t="n">
        <v>4</v>
      </c>
      <c r="K24" s="22" t="n">
        <v>3492</v>
      </c>
      <c r="L24" s="22" t="inlineStr">
        <is>
          <t>Active</t>
        </is>
      </c>
      <c r="M24" s="22" t="inlineStr">
        <is>
          <t>Wed 28 Oct 4:00pm</t>
        </is>
      </c>
      <c r="N24" s="22" t="inlineStr">
        <is>
          <t>Cristine Jones</t>
        </is>
      </c>
      <c r="O24" s="22" t="inlineStr">
        <is>
          <t>Belgrave</t>
        </is>
      </c>
      <c r="P24" s="22">
        <f>IFERROR(INDEX(SuburbScorecard!$C:$C,MATCH($O24,SuburbScorecard!$A:$A,0)),"Not on scorecard")</f>
        <v/>
      </c>
      <c r="Q24" s="22">
        <f>IFERROR(IF(INDEX(SuburbScorecard!$J:$J,MATCH($O24,SuburbScorecard!$A:$A,0))="","",INDEX(SuburbScorecard!$J:$J,MATCH($O24,SuburbScorecard!$A:$A,0))),"")</f>
        <v/>
      </c>
      <c r="R24" s="22">
        <f>IFERROR(IF(INDEX(SuburbScorecard!$K:$K,MATCH($O24,SuburbScorecard!$A:$A,0))="","",INDEX(SuburbScorecard!$K:$K,MATCH($O24,SuburbScorecard!$A:$A,0))),"")</f>
        <v/>
      </c>
      <c r="S24" s="22">
        <f>IFERROR(IF(INDEX(SuburbScorecard!$AB:$AB,MATCH($O24,SuburbScorecard!$A:$A,0))="","Needs data",INDEX(SuburbScorecard!$AB:$AB,MATCH($O24,SuburbScorecard!$A:$A,0))),"Needs data")</f>
        <v/>
      </c>
      <c r="T24" s="22">
        <f>IF(L24="Under offer","Under offer",IF(G24="Over cap","Fails: budget",IF(NOT(AND(ISNUMBER(Q24),ISNUMBER(R24))),"Needs data",IF(Q24&gt;Filters!$B$4,"Fails: GW drive",IF(R24&gt;Filters!$B$5,"Fails: ED drive",IF(G24="Straddles cap","Pass if bought near low end","Pass"))))))</f>
        <v/>
      </c>
      <c r="U24" s="22" t="inlineStr">
        <is>
          <t>Auction guide</t>
        </is>
      </c>
      <c r="V24" s="22" t="inlineStr">
        <is>
          <t>https://www.realestate.com.au/property-house-vic-belgrave-152722196</t>
        </is>
      </c>
      <c r="AA24">
        <f>IF(OR(NOT(ISNUMBER(K24)),Settings!$B$35=""),"",IF(K24&lt;=Settings!$B$35,1,IF(K24&lt;=Settings!$B$36,2,IF(K24&lt;=Settings!$B$37,3,4))))</f>
        <v/>
      </c>
      <c r="AG24">
        <f>IF(Settings!$B$28="","Pending rules",IFERROR(IF(OR(T24="Under offer",LEFT(T24,5)="Fails"),"Not suitable: suburb/budget check",IF(OR(X24="",X24="Unknown",Y24="",Y24="Unknown",AND(AND(ISNUMBER(Y24),Y24&lt;Settings!$B$31),OR(Z24="",Z24="Unknown"))),"Needs data: floorplan",IF(FIND(X24,"ABCD")&gt;Settings!$B$29,"Not suitable: more separation than wanted",IF(AND(FIND(X24,"ABCD")&lt;Settings!$B$28,Settings!$B$30=3),"Not suitable: not enough separation",IF(AND(AND(ISNUMBER(Y24),Y24&lt;Settings!$B$31),Z24="Major"),"Not suitable: mobility",IF(FIND(X24,"ABCD")&lt;Settings!$B$28,"Watchlist: less separation than wanted",IF(AND(AND(ISNUMBER(Y24),Y24&lt;Settings!$B$31),Z24="Minor works"),"Watchlist: minor mobility works",IF(T24="Pass if bought near low end","Watchlist: pass if bought near low end",IF(AND(ISNUMBER(AA24),AA24&gt;Settings!$B$33),"Watchlist: garden upkeep",IF(AND(ISNUMBER(AA24),ABS(AA24-Settings!$B$32)&gt;=2),"Watchlist: outdoor space",IF(AND(AD24&lt;&gt;"",AD24&lt;&gt;"None"),"Watchlist: noise",IF(AND(AE24&lt;&gt;"",AE24&lt;&gt;"None"),"Watchlist: overlay",IF(AND(Settings!$B$34=1,OR(AND(ISNUMBER(AB24),AB24&gt;10),AND(ISNUMBER(AC24),AC24&gt;10))),"Watchlist: walk to shops/GP","Strong fit"))))))))))))),"Needs data: check X–AE values"))</f>
        <v/>
      </c>
    </row>
    <row r="25" ht="15" customHeight="1" s="15">
      <c r="A25" s="22" t="n">
        <v>24</v>
      </c>
      <c r="B25" s="31" t="inlineStr">
        <is>
          <t>16 Forest Road</t>
        </is>
      </c>
      <c r="C25" s="22" t="inlineStr">
        <is>
          <t>Belgrave</t>
        </is>
      </c>
      <c r="D25" s="22" t="inlineStr">
        <is>
          <t>Reserve $1,035,000</t>
        </is>
      </c>
      <c r="E25" s="24" t="n">
        <v>1035000</v>
      </c>
      <c r="F25" s="24" t="n">
        <v>1035000</v>
      </c>
      <c r="G25" s="22">
        <f>IF(E25="","Needs data",IF(F25&lt;=Filters!$B$2,"Within cap",IF(E25&lt;=Filters!$B$2,"Straddles cap","Over cap")))</f>
        <v/>
      </c>
      <c r="H25" s="22" t="n">
        <v>4</v>
      </c>
      <c r="I25" s="22" t="n">
        <v>2</v>
      </c>
      <c r="K25" s="22" t="n">
        <v>2070</v>
      </c>
      <c r="L25" s="22" t="inlineStr">
        <is>
          <t>Active</t>
        </is>
      </c>
      <c r="M25" s="22" t="inlineStr">
        <is>
          <t>Thu 29 Oct 6:00pm</t>
        </is>
      </c>
      <c r="N25" s="22" t="inlineStr">
        <is>
          <t>Austen Kosasih</t>
        </is>
      </c>
      <c r="O25" s="22" t="inlineStr">
        <is>
          <t>Belgrave</t>
        </is>
      </c>
      <c r="P25" s="22">
        <f>IFERROR(INDEX(SuburbScorecard!$C:$C,MATCH($O25,SuburbScorecard!$A:$A,0)),"Not on scorecard")</f>
        <v/>
      </c>
      <c r="Q25" s="22">
        <f>IFERROR(IF(INDEX(SuburbScorecard!$J:$J,MATCH($O25,SuburbScorecard!$A:$A,0))="","",INDEX(SuburbScorecard!$J:$J,MATCH($O25,SuburbScorecard!$A:$A,0))),"")</f>
        <v/>
      </c>
      <c r="R25" s="22">
        <f>IFERROR(IF(INDEX(SuburbScorecard!$K:$K,MATCH($O25,SuburbScorecard!$A:$A,0))="","",INDEX(SuburbScorecard!$K:$K,MATCH($O25,SuburbScorecard!$A:$A,0))),"")</f>
        <v/>
      </c>
      <c r="S25" s="22">
        <f>IFERROR(IF(INDEX(SuburbScorecard!$AB:$AB,MATCH($O25,SuburbScorecard!$A:$A,0))="","Needs data",INDEX(SuburbScorecard!$AB:$AB,MATCH($O25,SuburbScorecard!$A:$A,0))),"Needs data")</f>
        <v/>
      </c>
      <c r="T25" s="22">
        <f>IF(L25="Under offer","Under offer",IF(G25="Over cap","Fails: budget",IF(NOT(AND(ISNUMBER(Q25),ISNUMBER(R25))),"Needs data",IF(Q25&gt;Filters!$B$4,"Fails: GW drive",IF(R25&gt;Filters!$B$5,"Fails: ED drive",IF(G25="Straddles cap","Pass if bought near low end","Pass"))))))</f>
        <v/>
      </c>
      <c r="U25" s="22" t="inlineStr">
        <is>
          <t>Car spaces not shown on card; check listing. Reserve price (auction)</t>
        </is>
      </c>
      <c r="V25" s="22" t="inlineStr">
        <is>
          <t>https://www.realestate.com.au/property-house-vic-belgrave-152535704</t>
        </is>
      </c>
      <c r="AA25">
        <f>IF(OR(NOT(ISNUMBER(K25)),Settings!$B$35=""),"",IF(K25&lt;=Settings!$B$35,1,IF(K25&lt;=Settings!$B$36,2,IF(K25&lt;=Settings!$B$37,3,4))))</f>
        <v/>
      </c>
      <c r="AG25">
        <f>IF(Settings!$B$28="","Pending rules",IFERROR(IF(OR(T25="Under offer",LEFT(T25,5)="Fails"),"Not suitable: suburb/budget check",IF(OR(X25="",X25="Unknown",Y25="",Y25="Unknown",AND(AND(ISNUMBER(Y25),Y25&lt;Settings!$B$31),OR(Z25="",Z25="Unknown"))),"Needs data: floorplan",IF(FIND(X25,"ABCD")&gt;Settings!$B$29,"Not suitable: more separation than wanted",IF(AND(FIND(X25,"ABCD")&lt;Settings!$B$28,Settings!$B$30=3),"Not suitable: not enough separation",IF(AND(AND(ISNUMBER(Y25),Y25&lt;Settings!$B$31),Z25="Major"),"Not suitable: mobility",IF(FIND(X25,"ABCD")&lt;Settings!$B$28,"Watchlist: less separation than wanted",IF(AND(AND(ISNUMBER(Y25),Y25&lt;Settings!$B$31),Z25="Minor works"),"Watchlist: minor mobility works",IF(T25="Pass if bought near low end","Watchlist: pass if bought near low end",IF(AND(ISNUMBER(AA25),AA25&gt;Settings!$B$33),"Watchlist: garden upkeep",IF(AND(ISNUMBER(AA25),ABS(AA25-Settings!$B$32)&gt;=2),"Watchlist: outdoor space",IF(AND(AD25&lt;&gt;"",AD25&lt;&gt;"None"),"Watchlist: noise",IF(AND(AE25&lt;&gt;"",AE25&lt;&gt;"None"),"Watchlist: overlay",IF(AND(Settings!$B$34=1,OR(AND(ISNUMBER(AB25),AB25&gt;10),AND(ISNUMBER(AC25),AC25&gt;10))),"Watchlist: walk to shops/GP","Strong fit"))))))))))))),"Needs data: check X–AE values"))</f>
        <v/>
      </c>
    </row>
    <row r="26" ht="15" customHeight="1" s="15">
      <c r="A26" s="22" t="n">
        <v>25</v>
      </c>
      <c r="B26" s="31" t="inlineStr">
        <is>
          <t>3 Forest Road</t>
        </is>
      </c>
      <c r="C26" s="22" t="inlineStr">
        <is>
          <t>Belgrave</t>
        </is>
      </c>
      <c r="D26" s="22" t="inlineStr">
        <is>
          <t>$1,150,000-$1,250,000</t>
        </is>
      </c>
      <c r="E26" s="24" t="n">
        <v>1150000</v>
      </c>
      <c r="F26" s="24" t="n">
        <v>1250000</v>
      </c>
      <c r="G26" s="22">
        <f>IF(E26="","Needs data",IF(F26&lt;=Filters!$B$2,"Within cap",IF(E26&lt;=Filters!$B$2,"Straddles cap","Over cap")))</f>
        <v/>
      </c>
      <c r="H26" s="22" t="n">
        <v>4</v>
      </c>
      <c r="I26" s="22" t="n">
        <v>2</v>
      </c>
      <c r="J26" s="22" t="n">
        <v>2</v>
      </c>
      <c r="K26" s="22" t="n">
        <v>1432</v>
      </c>
      <c r="L26" s="22" t="inlineStr">
        <is>
          <t>Active</t>
        </is>
      </c>
      <c r="M26" s="22" t="inlineStr">
        <is>
          <t>None listed</t>
        </is>
      </c>
      <c r="N26" s="22" t="inlineStr">
        <is>
          <t>Sam Skolnick</t>
        </is>
      </c>
      <c r="O26" s="22" t="inlineStr">
        <is>
          <t>Belgrave</t>
        </is>
      </c>
      <c r="P26" s="22">
        <f>IFERROR(INDEX(SuburbScorecard!$C:$C,MATCH($O26,SuburbScorecard!$A:$A,0)),"Not on scorecard")</f>
        <v/>
      </c>
      <c r="Q26" s="22">
        <f>IFERROR(IF(INDEX(SuburbScorecard!$J:$J,MATCH($O26,SuburbScorecard!$A:$A,0))="","",INDEX(SuburbScorecard!$J:$J,MATCH($O26,SuburbScorecard!$A:$A,0))),"")</f>
        <v/>
      </c>
      <c r="R26" s="22">
        <f>IFERROR(IF(INDEX(SuburbScorecard!$K:$K,MATCH($O26,SuburbScorecard!$A:$A,0))="","",INDEX(SuburbScorecard!$K:$K,MATCH($O26,SuburbScorecard!$A:$A,0))),"")</f>
        <v/>
      </c>
      <c r="S26" s="22">
        <f>IFERROR(IF(INDEX(SuburbScorecard!$AB:$AB,MATCH($O26,SuburbScorecard!$A:$A,0))="","Needs data",INDEX(SuburbScorecard!$AB:$AB,MATCH($O26,SuburbScorecard!$A:$A,0))),"Needs data")</f>
        <v/>
      </c>
      <c r="T26" s="22">
        <f>IF(L26="Under offer","Under offer",IF(G26="Over cap","Fails: budget",IF(NOT(AND(ISNUMBER(Q26),ISNUMBER(R26))),"Needs data",IF(Q26&gt;Filters!$B$4,"Fails: GW drive",IF(R26&gt;Filters!$B$5,"Fails: ED drive",IF(G26="Straddles cap","Pass if bought near low end","Pass"))))))</f>
        <v/>
      </c>
      <c r="V26" s="22" t="inlineStr">
        <is>
          <t>https://www.realestate.com.au/property-house-vic-belgrave-152654296</t>
        </is>
      </c>
      <c r="AA26">
        <f>IF(OR(NOT(ISNUMBER(K26)),Settings!$B$35=""),"",IF(K26&lt;=Settings!$B$35,1,IF(K26&lt;=Settings!$B$36,2,IF(K26&lt;=Settings!$B$37,3,4))))</f>
        <v/>
      </c>
      <c r="AG26">
        <f>IF(Settings!$B$28="","Pending rules",IFERROR(IF(OR(T26="Under offer",LEFT(T26,5)="Fails"),"Not suitable: suburb/budget check",IF(OR(X26="",X26="Unknown",Y26="",Y26="Unknown",AND(AND(ISNUMBER(Y26),Y26&lt;Settings!$B$31),OR(Z26="",Z26="Unknown"))),"Needs data: floorplan",IF(FIND(X26,"ABCD")&gt;Settings!$B$29,"Not suitable: more separation than wanted",IF(AND(FIND(X26,"ABCD")&lt;Settings!$B$28,Settings!$B$30=3),"Not suitable: not enough separation",IF(AND(AND(ISNUMBER(Y26),Y26&lt;Settings!$B$31),Z26="Major"),"Not suitable: mobility",IF(FIND(X26,"ABCD")&lt;Settings!$B$28,"Watchlist: less separation than wanted",IF(AND(AND(ISNUMBER(Y26),Y26&lt;Settings!$B$31),Z26="Minor works"),"Watchlist: minor mobility works",IF(T26="Pass if bought near low end","Watchlist: pass if bought near low end",IF(AND(ISNUMBER(AA26),AA26&gt;Settings!$B$33),"Watchlist: garden upkeep",IF(AND(ISNUMBER(AA26),ABS(AA26-Settings!$B$32)&gt;=2),"Watchlist: outdoor space",IF(AND(AD26&lt;&gt;"",AD26&lt;&gt;"None"),"Watchlist: noise",IF(AND(AE26&lt;&gt;"",AE26&lt;&gt;"None"),"Watchlist: overlay",IF(AND(Settings!$B$34=1,OR(AND(ISNUMBER(AB26),AB26&gt;10),AND(ISNUMBER(AC26),AC26&gt;10))),"Watchlist: walk to shops/GP","Strong fit"))))))))))))),"Needs data: check X–AE values"))</f>
        <v/>
      </c>
    </row>
    <row r="27" ht="15" customHeight="1" s="15">
      <c r="A27" s="22" t="n">
        <v>26</v>
      </c>
      <c r="B27" s="31" t="inlineStr">
        <is>
          <t>11 Dalkeith Crescent</t>
        </is>
      </c>
      <c r="C27" s="22" t="inlineStr">
        <is>
          <t>Belgrave</t>
        </is>
      </c>
      <c r="D27" s="22" t="inlineStr">
        <is>
          <t>$870,000-$946,000</t>
        </is>
      </c>
      <c r="E27" s="24" t="n">
        <v>870000</v>
      </c>
      <c r="F27" s="24" t="n">
        <v>946000</v>
      </c>
      <c r="G27" s="22">
        <f>IF(E27="","Needs data",IF(F27&lt;=Filters!$B$2,"Within cap",IF(E27&lt;=Filters!$B$2,"Straddles cap","Over cap")))</f>
        <v/>
      </c>
      <c r="H27" s="22" t="n">
        <v>5</v>
      </c>
      <c r="I27" s="22" t="n">
        <v>2</v>
      </c>
      <c r="J27" s="22" t="n">
        <v>2</v>
      </c>
      <c r="K27" s="22" t="n">
        <v>1066</v>
      </c>
      <c r="L27" s="22" t="inlineStr">
        <is>
          <t>Active</t>
        </is>
      </c>
      <c r="M27" s="22" t="inlineStr">
        <is>
          <t>Tue 27 Oct 5:00pm</t>
        </is>
      </c>
      <c r="N27" s="22" t="inlineStr">
        <is>
          <t>Mick Dolphin</t>
        </is>
      </c>
      <c r="O27" s="22" t="inlineStr">
        <is>
          <t>Belgrave</t>
        </is>
      </c>
      <c r="P27" s="22">
        <f>IFERROR(INDEX(SuburbScorecard!$C:$C,MATCH($O27,SuburbScorecard!$A:$A,0)),"Not on scorecard")</f>
        <v/>
      </c>
      <c r="Q27" s="22">
        <f>IFERROR(IF(INDEX(SuburbScorecard!$J:$J,MATCH($O27,SuburbScorecard!$A:$A,0))="","",INDEX(SuburbScorecard!$J:$J,MATCH($O27,SuburbScorecard!$A:$A,0))),"")</f>
        <v/>
      </c>
      <c r="R27" s="22">
        <f>IFERROR(IF(INDEX(SuburbScorecard!$K:$K,MATCH($O27,SuburbScorecard!$A:$A,0))="","",INDEX(SuburbScorecard!$K:$K,MATCH($O27,SuburbScorecard!$A:$A,0))),"")</f>
        <v/>
      </c>
      <c r="S27" s="22">
        <f>IFERROR(IF(INDEX(SuburbScorecard!$AB:$AB,MATCH($O27,SuburbScorecard!$A:$A,0))="","Needs data",INDEX(SuburbScorecard!$AB:$AB,MATCH($O27,SuburbScorecard!$A:$A,0))),"Needs data")</f>
        <v/>
      </c>
      <c r="T27" s="22">
        <f>IF(L27="Under offer","Under offer",IF(G27="Over cap","Fails: budget",IF(NOT(AND(ISNUMBER(Q27),ISNUMBER(R27))),"Needs data",IF(Q27&gt;Filters!$B$4,"Fails: GW drive",IF(R27&gt;Filters!$B$5,"Fails: ED drive",IF(G27="Straddles cap","Pass if bought near low end","Pass"))))))</f>
        <v/>
      </c>
      <c r="V27" s="22" t="inlineStr">
        <is>
          <t>https://www.realestate.com.au/property-house-vic-belgrave-152729140</t>
        </is>
      </c>
      <c r="AA27">
        <f>IF(OR(NOT(ISNUMBER(K27)),Settings!$B$35=""),"",IF(K27&lt;=Settings!$B$35,1,IF(K27&lt;=Settings!$B$36,2,IF(K27&lt;=Settings!$B$37,3,4))))</f>
        <v/>
      </c>
      <c r="AG27">
        <f>IF(Settings!$B$28="","Pending rules",IFERROR(IF(OR(T27="Under offer",LEFT(T27,5)="Fails"),"Not suitable: suburb/budget check",IF(OR(X27="",X27="Unknown",Y27="",Y27="Unknown",AND(AND(ISNUMBER(Y27),Y27&lt;Settings!$B$31),OR(Z27="",Z27="Unknown"))),"Needs data: floorplan",IF(FIND(X27,"ABCD")&gt;Settings!$B$29,"Not suitable: more separation than wanted",IF(AND(FIND(X27,"ABCD")&lt;Settings!$B$28,Settings!$B$30=3),"Not suitable: not enough separation",IF(AND(AND(ISNUMBER(Y27),Y27&lt;Settings!$B$31),Z27="Major"),"Not suitable: mobility",IF(FIND(X27,"ABCD")&lt;Settings!$B$28,"Watchlist: less separation than wanted",IF(AND(AND(ISNUMBER(Y27),Y27&lt;Settings!$B$31),Z27="Minor works"),"Watchlist: minor mobility works",IF(T27="Pass if bought near low end","Watchlist: pass if bought near low end",IF(AND(ISNUMBER(AA27),AA27&gt;Settings!$B$33),"Watchlist: garden upkeep",IF(AND(ISNUMBER(AA27),ABS(AA27-Settings!$B$32)&gt;=2),"Watchlist: outdoor space",IF(AND(AD27&lt;&gt;"",AD27&lt;&gt;"None"),"Watchlist: noise",IF(AND(AE27&lt;&gt;"",AE27&lt;&gt;"None"),"Watchlist: overlay",IF(AND(Settings!$B$34=1,OR(AND(ISNUMBER(AB27),AB27&gt;10),AND(ISNUMBER(AC27),AC27&gt;10))),"Watchlist: walk to shops/GP","Strong fit"))))))))))))),"Needs data: check X–AE values"))</f>
        <v/>
      </c>
    </row>
    <row r="28" ht="15" customHeight="1" s="15">
      <c r="A28" s="22" t="n">
        <v>27</v>
      </c>
      <c r="B28" s="31" t="inlineStr">
        <is>
          <t>23 Sherwood Crescent</t>
        </is>
      </c>
      <c r="C28" s="22" t="inlineStr">
        <is>
          <t>Mount Martha</t>
        </is>
      </c>
      <c r="D28" s="22" t="inlineStr">
        <is>
          <t>$1,390,000-$1,490,000</t>
        </is>
      </c>
      <c r="E28" s="24" t="n">
        <v>1390000</v>
      </c>
      <c r="F28" s="24" t="n">
        <v>1490000</v>
      </c>
      <c r="G28" s="22">
        <f>IF(E28="","Needs data",IF(F28&lt;=Filters!$B$2,"Within cap",IF(E28&lt;=Filters!$B$2,"Straddles cap","Over cap")))</f>
        <v/>
      </c>
      <c r="H28" s="22" t="n">
        <v>5</v>
      </c>
      <c r="I28" s="22" t="n">
        <v>3</v>
      </c>
      <c r="J28" s="22" t="n">
        <v>2</v>
      </c>
      <c r="K28" s="22" t="n">
        <v>920</v>
      </c>
      <c r="L28" s="22" t="inlineStr">
        <is>
          <t>Active</t>
        </is>
      </c>
      <c r="M28" s="22" t="inlineStr">
        <is>
          <t>None listed</t>
        </is>
      </c>
      <c r="N28" s="22" t="inlineStr">
        <is>
          <t>Brendan Collopy</t>
        </is>
      </c>
      <c r="O28" s="22" t="inlineStr">
        <is>
          <t>Mount Martha</t>
        </is>
      </c>
      <c r="P28" s="22">
        <f>IFERROR(INDEX(SuburbScorecard!$C:$C,MATCH($O28,SuburbScorecard!$A:$A,0)),"Not on scorecard")</f>
        <v/>
      </c>
      <c r="Q28" s="22">
        <f>IFERROR(IF(INDEX(SuburbScorecard!$J:$J,MATCH($O28,SuburbScorecard!$A:$A,0))="","",INDEX(SuburbScorecard!$J:$J,MATCH($O28,SuburbScorecard!$A:$A,0))),"")</f>
        <v/>
      </c>
      <c r="R28" s="22">
        <f>IFERROR(IF(INDEX(SuburbScorecard!$K:$K,MATCH($O28,SuburbScorecard!$A:$A,0))="","",INDEX(SuburbScorecard!$K:$K,MATCH($O28,SuburbScorecard!$A:$A,0))),"")</f>
        <v/>
      </c>
      <c r="S28" s="22">
        <f>IFERROR(IF(INDEX(SuburbScorecard!$AB:$AB,MATCH($O28,SuburbScorecard!$A:$A,0))="","Needs data",INDEX(SuburbScorecard!$AB:$AB,MATCH($O28,SuburbScorecard!$A:$A,0))),"Needs data")</f>
        <v/>
      </c>
      <c r="T28" s="22">
        <f>IF(L28="Under offer","Under offer",IF(G28="Over cap","Fails: budget",IF(NOT(AND(ISNUMBER(Q28),ISNUMBER(R28))),"Needs data",IF(Q28&gt;Filters!$B$4,"Fails: GW drive",IF(R28&gt;Filters!$B$5,"Fails: ED drive",IF(G28="Straddles cap","Pass if bought near low end","Pass"))))))</f>
        <v/>
      </c>
      <c r="U28" s="22" t="n"/>
      <c r="V28" s="22" t="inlineStr">
        <is>
          <t>https://www.realestate.com.au/property-house-vic-mount+martha-152575492</t>
        </is>
      </c>
      <c r="AA28">
        <f>IF(OR(NOT(ISNUMBER(K28)),Settings!$B$35=""),"",IF(K28&lt;=Settings!$B$35,1,IF(K28&lt;=Settings!$B$36,2,IF(K28&lt;=Settings!$B$37,3,4))))</f>
        <v/>
      </c>
      <c r="AG28">
        <f>IF(Settings!$B$28="","Pending rules",IFERROR(IF(OR(T28="Under offer",LEFT(T28,5)="Fails"),"Not suitable: suburb/budget check",IF(OR(X28="",X28="Unknown",Y28="",Y28="Unknown",AND(AND(ISNUMBER(Y28),Y28&lt;Settings!$B$31),OR(Z28="",Z28="Unknown"))),"Needs data: floorplan",IF(FIND(X28,"ABCD")&gt;Settings!$B$29,"Not suitable: more separation than wanted",IF(AND(FIND(X28,"ABCD")&lt;Settings!$B$28,Settings!$B$30=3),"Not suitable: not enough separation",IF(AND(AND(ISNUMBER(Y28),Y28&lt;Settings!$B$31),Z28="Major"),"Not suitable: mobility",IF(FIND(X28,"ABCD")&lt;Settings!$B$28,"Watchlist: less separation than wanted",IF(AND(AND(ISNUMBER(Y28),Y28&lt;Settings!$B$31),Z28="Minor works"),"Watchlist: minor mobility works",IF(T28="Pass if bought near low end","Watchlist: pass if bought near low end",IF(AND(ISNUMBER(AA28),AA28&gt;Settings!$B$33),"Watchlist: garden upkeep",IF(AND(ISNUMBER(AA28),ABS(AA28-Settings!$B$32)&gt;=2),"Watchlist: outdoor space",IF(AND(AD28&lt;&gt;"",AD28&lt;&gt;"None"),"Watchlist: noise",IF(AND(AE28&lt;&gt;"",AE28&lt;&gt;"None"),"Watchlist: overlay",IF(AND(Settings!$B$34=1,OR(AND(ISNUMBER(AB28),AB28&gt;10),AND(ISNUMBER(AC28),AC28&gt;10))),"Watchlist: walk to shops/GP","Strong fit"))))))))))))),"Needs data: check X–AE values"))</f>
        <v/>
      </c>
    </row>
    <row r="29" ht="15" customHeight="1" s="15">
      <c r="A29" s="22" t="n">
        <v>28</v>
      </c>
      <c r="B29" s="31" t="inlineStr">
        <is>
          <t>85 Terrys Avenue</t>
        </is>
      </c>
      <c r="C29" s="22" t="inlineStr">
        <is>
          <t>Tecoma</t>
        </is>
      </c>
      <c r="D29" s="22" t="inlineStr">
        <is>
          <t>$1,250,000-$1,340,000</t>
        </is>
      </c>
      <c r="E29" s="24" t="n">
        <v>1250000</v>
      </c>
      <c r="F29" s="24" t="n">
        <v>1340000</v>
      </c>
      <c r="G29" s="22">
        <f>IF(E29="","Needs data",IF(F29&lt;=Filters!$B$2,"Within cap",IF(E29&lt;=Filters!$B$2,"Straddles cap","Over cap")))</f>
        <v/>
      </c>
      <c r="H29" s="22" t="n">
        <v>5</v>
      </c>
      <c r="I29" s="22" t="n">
        <v>2</v>
      </c>
      <c r="J29" s="22" t="n">
        <v>4</v>
      </c>
      <c r="K29" s="22" t="n">
        <v>1354</v>
      </c>
      <c r="L29" s="22" t="inlineStr">
        <is>
          <t>Active</t>
        </is>
      </c>
      <c r="M29" s="22" t="inlineStr">
        <is>
          <t>Tue 27 Oct 5:15pm</t>
        </is>
      </c>
      <c r="N29" s="22" t="inlineStr">
        <is>
          <t>Brad Conder</t>
        </is>
      </c>
      <c r="O29" s="22" t="inlineStr">
        <is>
          <t>Tecoma</t>
        </is>
      </c>
      <c r="P29" s="22">
        <f>IFERROR(INDEX(SuburbScorecard!$C:$C,MATCH($O29,SuburbScorecard!$A:$A,0)),"Not on scorecard")</f>
        <v/>
      </c>
      <c r="Q29" s="22">
        <f>IFERROR(IF(INDEX(SuburbScorecard!$J:$J,MATCH($O29,SuburbScorecard!$A:$A,0))="","",INDEX(SuburbScorecard!$J:$J,MATCH($O29,SuburbScorecard!$A:$A,0))),"")</f>
        <v/>
      </c>
      <c r="R29" s="22">
        <f>IFERROR(IF(INDEX(SuburbScorecard!$K:$K,MATCH($O29,SuburbScorecard!$A:$A,0))="","",INDEX(SuburbScorecard!$K:$K,MATCH($O29,SuburbScorecard!$A:$A,0))),"")</f>
        <v/>
      </c>
      <c r="S29" s="22">
        <f>IFERROR(IF(INDEX(SuburbScorecard!$AB:$AB,MATCH($O29,SuburbScorecard!$A:$A,0))="","Needs data",INDEX(SuburbScorecard!$AB:$AB,MATCH($O29,SuburbScorecard!$A:$A,0))),"Needs data")</f>
        <v/>
      </c>
      <c r="T29" s="22">
        <f>IF(L29="Under offer","Under offer",IF(G29="Over cap","Fails: budget",IF(NOT(AND(ISNUMBER(Q29),ISNUMBER(R29))),"Needs data",IF(Q29&gt;Filters!$B$4,"Fails: GW drive",IF(R29&gt;Filters!$B$5,"Fails: ED drive",IF(G29="Straddles cap","Pass if bought near low end","Pass"))))))</f>
        <v/>
      </c>
      <c r="V29" s="22" t="inlineStr">
        <is>
          <t>https://www.realestate.com.au/property-house-vic-tecoma-152712080</t>
        </is>
      </c>
      <c r="AA29">
        <f>IF(OR(NOT(ISNUMBER(K29)),Settings!$B$35=""),"",IF(K29&lt;=Settings!$B$35,1,IF(K29&lt;=Settings!$B$36,2,IF(K29&lt;=Settings!$B$37,3,4))))</f>
        <v/>
      </c>
      <c r="AG29">
        <f>IF(Settings!$B$28="","Pending rules",IFERROR(IF(OR(T29="Under offer",LEFT(T29,5)="Fails"),"Not suitable: suburb/budget check",IF(OR(X29="",X29="Unknown",Y29="",Y29="Unknown",AND(AND(ISNUMBER(Y29),Y29&lt;Settings!$B$31),OR(Z29="",Z29="Unknown"))),"Needs data: floorplan",IF(FIND(X29,"ABCD")&gt;Settings!$B$29,"Not suitable: more separation than wanted",IF(AND(FIND(X29,"ABCD")&lt;Settings!$B$28,Settings!$B$30=3),"Not suitable: not enough separation",IF(AND(AND(ISNUMBER(Y29),Y29&lt;Settings!$B$31),Z29="Major"),"Not suitable: mobility",IF(FIND(X29,"ABCD")&lt;Settings!$B$28,"Watchlist: less separation than wanted",IF(AND(AND(ISNUMBER(Y29),Y29&lt;Settings!$B$31),Z29="Minor works"),"Watchlist: minor mobility works",IF(T29="Pass if bought near low end","Watchlist: pass if bought near low end",IF(AND(ISNUMBER(AA29),AA29&gt;Settings!$B$33),"Watchlist: garden upkeep",IF(AND(ISNUMBER(AA29),ABS(AA29-Settings!$B$32)&gt;=2),"Watchlist: outdoor space",IF(AND(AD29&lt;&gt;"",AD29&lt;&gt;"None"),"Watchlist: noise",IF(AND(AE29&lt;&gt;"",AE29&lt;&gt;"None"),"Watchlist: overlay",IF(AND(Settings!$B$34=1,OR(AND(ISNUMBER(AB29),AB29&gt;10),AND(ISNUMBER(AC29),AC29&gt;10))),"Watchlist: walk to shops/GP","Strong fit"))))))))))))),"Needs data: check X–AE values"))</f>
        <v/>
      </c>
    </row>
    <row r="30" ht="15" customHeight="1" s="15">
      <c r="A30" s="22" t="n">
        <v>29</v>
      </c>
      <c r="B30" s="31" t="inlineStr">
        <is>
          <t>84 Belgrave Gembrook Road</t>
        </is>
      </c>
      <c r="C30" s="22" t="inlineStr">
        <is>
          <t>Belgrave</t>
        </is>
      </c>
      <c r="D30" s="22" t="inlineStr">
        <is>
          <t>$945,000-$1,035,000</t>
        </is>
      </c>
      <c r="E30" s="24" t="n">
        <v>945000</v>
      </c>
      <c r="F30" s="24" t="n">
        <v>1035000</v>
      </c>
      <c r="G30" s="22">
        <f>IF(E30="","Needs data",IF(F30&lt;=Filters!$B$2,"Within cap",IF(E30&lt;=Filters!$B$2,"Straddles cap","Over cap")))</f>
        <v/>
      </c>
      <c r="H30" s="22" t="n">
        <v>5</v>
      </c>
      <c r="I30" s="22" t="n">
        <v>2</v>
      </c>
      <c r="J30" s="22" t="n">
        <v>2</v>
      </c>
      <c r="K30" s="22" t="n">
        <v>4089</v>
      </c>
      <c r="L30" s="22" t="inlineStr">
        <is>
          <t>Active</t>
        </is>
      </c>
      <c r="M30" s="22" t="inlineStr">
        <is>
          <t>Thu 29 Oct 1:30pm</t>
        </is>
      </c>
      <c r="N30" s="22" t="inlineStr">
        <is>
          <t>Jarrod Peterson</t>
        </is>
      </c>
      <c r="O30" s="22" t="inlineStr">
        <is>
          <t>Belgrave</t>
        </is>
      </c>
      <c r="P30" s="22">
        <f>IFERROR(INDEX(SuburbScorecard!$C:$C,MATCH($O30,SuburbScorecard!$A:$A,0)),"Not on scorecard")</f>
        <v/>
      </c>
      <c r="Q30" s="22">
        <f>IFERROR(IF(INDEX(SuburbScorecard!$J:$J,MATCH($O30,SuburbScorecard!$A:$A,0))="","",INDEX(SuburbScorecard!$J:$J,MATCH($O30,SuburbScorecard!$A:$A,0))),"")</f>
        <v/>
      </c>
      <c r="R30" s="22">
        <f>IFERROR(IF(INDEX(SuburbScorecard!$K:$K,MATCH($O30,SuburbScorecard!$A:$A,0))="","",INDEX(SuburbScorecard!$K:$K,MATCH($O30,SuburbScorecard!$A:$A,0))),"")</f>
        <v/>
      </c>
      <c r="S30" s="22">
        <f>IFERROR(IF(INDEX(SuburbScorecard!$AB:$AB,MATCH($O30,SuburbScorecard!$A:$A,0))="","Needs data",INDEX(SuburbScorecard!$AB:$AB,MATCH($O30,SuburbScorecard!$A:$A,0))),"Needs data")</f>
        <v/>
      </c>
      <c r="T30" s="22">
        <f>IF(L30="Under offer","Under offer",IF(G30="Over cap","Fails: budget",IF(NOT(AND(ISNUMBER(Q30),ISNUMBER(R30))),"Needs data",IF(Q30&gt;Filters!$B$4,"Fails: GW drive",IF(R30&gt;Filters!$B$5,"Fails: ED drive",IF(G30="Straddles cap","Pass if bought near low end","Pass"))))))</f>
        <v/>
      </c>
      <c r="V30" s="22" t="inlineStr">
        <is>
          <t>https://www.realestate.com.au/property-house-vic-belgrave-152583472</t>
        </is>
      </c>
      <c r="AA30">
        <f>IF(OR(NOT(ISNUMBER(K30)),Settings!$B$35=""),"",IF(K30&lt;=Settings!$B$35,1,IF(K30&lt;=Settings!$B$36,2,IF(K30&lt;=Settings!$B$37,3,4))))</f>
        <v/>
      </c>
      <c r="AG30">
        <f>IF(Settings!$B$28="","Pending rules",IFERROR(IF(OR(T30="Under offer",LEFT(T30,5)="Fails"),"Not suitable: suburb/budget check",IF(OR(X30="",X30="Unknown",Y30="",Y30="Unknown",AND(AND(ISNUMBER(Y30),Y30&lt;Settings!$B$31),OR(Z30="",Z30="Unknown"))),"Needs data: floorplan",IF(FIND(X30,"ABCD")&gt;Settings!$B$29,"Not suitable: more separation than wanted",IF(AND(FIND(X30,"ABCD")&lt;Settings!$B$28,Settings!$B$30=3),"Not suitable: not enough separation",IF(AND(AND(ISNUMBER(Y30),Y30&lt;Settings!$B$31),Z30="Major"),"Not suitable: mobility",IF(FIND(X30,"ABCD")&lt;Settings!$B$28,"Watchlist: less separation than wanted",IF(AND(AND(ISNUMBER(Y30),Y30&lt;Settings!$B$31),Z30="Minor works"),"Watchlist: minor mobility works",IF(T30="Pass if bought near low end","Watchlist: pass if bought near low end",IF(AND(ISNUMBER(AA30),AA30&gt;Settings!$B$33),"Watchlist: garden upkeep",IF(AND(ISNUMBER(AA30),ABS(AA30-Settings!$B$32)&gt;=2),"Watchlist: outdoor space",IF(AND(AD30&lt;&gt;"",AD30&lt;&gt;"None"),"Watchlist: noise",IF(AND(AE30&lt;&gt;"",AE30&lt;&gt;"None"),"Watchlist: overlay",IF(AND(Settings!$B$34=1,OR(AND(ISNUMBER(AB30),AB30&gt;10),AND(ISNUMBER(AC30),AC30&gt;10))),"Watchlist: walk to shops/GP","Strong fit"))))))))))))),"Needs data: check X–AE values"))</f>
        <v/>
      </c>
    </row>
    <row r="31" ht="15" customHeight="1" s="15">
      <c r="A31" s="22" t="n">
        <v>30</v>
      </c>
      <c r="B31" s="31" t="inlineStr">
        <is>
          <t>3 Fiocchi Avenue</t>
        </is>
      </c>
      <c r="C31" s="22" t="inlineStr">
        <is>
          <t>Frankston</t>
        </is>
      </c>
      <c r="D31" s="22" t="inlineStr">
        <is>
          <t>$1,350,000-$1,450,000</t>
        </is>
      </c>
      <c r="E31" s="24" t="n">
        <v>1350000</v>
      </c>
      <c r="F31" s="24" t="n">
        <v>1450000</v>
      </c>
      <c r="G31" s="22">
        <f>IF(E31="","Needs data",IF(F31&lt;=Filters!$B$2,"Within cap",IF(E31&lt;=Filters!$B$2,"Straddles cap","Over cap")))</f>
        <v/>
      </c>
      <c r="H31" s="22" t="n">
        <v>4</v>
      </c>
      <c r="I31" s="22" t="n">
        <v>3</v>
      </c>
      <c r="J31" s="22" t="n">
        <v>2</v>
      </c>
      <c r="K31" s="22" t="n">
        <v>781</v>
      </c>
      <c r="L31" s="22" t="inlineStr">
        <is>
          <t>Active</t>
        </is>
      </c>
      <c r="M31" s="22" t="inlineStr">
        <is>
          <t>None listed</t>
        </is>
      </c>
      <c r="N31" s="22" t="inlineStr">
        <is>
          <t>Not shown</t>
        </is>
      </c>
      <c r="O31" s="22" t="inlineStr">
        <is>
          <t>Frankston</t>
        </is>
      </c>
      <c r="P31" s="22">
        <f>IFERROR(INDEX(SuburbScorecard!$C:$C,MATCH($O31,SuburbScorecard!$A:$A,0)),"Not on scorecard")</f>
        <v/>
      </c>
      <c r="Q31" s="22">
        <f>IFERROR(IF(INDEX(SuburbScorecard!$J:$J,MATCH($O31,SuburbScorecard!$A:$A,0))="","",INDEX(SuburbScorecard!$J:$J,MATCH($O31,SuburbScorecard!$A:$A,0))),"")</f>
        <v/>
      </c>
      <c r="R31" s="22">
        <f>IFERROR(IF(INDEX(SuburbScorecard!$K:$K,MATCH($O31,SuburbScorecard!$A:$A,0))="","",INDEX(SuburbScorecard!$K:$K,MATCH($O31,SuburbScorecard!$A:$A,0))),"")</f>
        <v/>
      </c>
      <c r="S31" s="22">
        <f>IFERROR(IF(INDEX(SuburbScorecard!$AB:$AB,MATCH($O31,SuburbScorecard!$A:$A,0))="","Needs data",INDEX(SuburbScorecard!$AB:$AB,MATCH($O31,SuburbScorecard!$A:$A,0))),"Needs data")</f>
        <v/>
      </c>
      <c r="T31" s="22">
        <f>IF(L31="Under offer","Under offer",IF(G31="Over cap","Fails: budget",IF(NOT(AND(ISNUMBER(Q31),ISNUMBER(R31))),"Needs data",IF(Q31&gt;Filters!$B$4,"Fails: GW drive",IF(R31&gt;Filters!$B$5,"Fails: ED drive",IF(G31="Straddles cap","Pass if bought near low end","Pass"))))))</f>
        <v/>
      </c>
      <c r="U31" s="22" t="inlineStr">
        <is>
          <t>Agent name not shown on card</t>
        </is>
      </c>
      <c r="V31" s="22" t="inlineStr">
        <is>
          <t>https://www.realestate.com.au/property-house-vic-frankston-151132640</t>
        </is>
      </c>
      <c r="AA31">
        <f>IF(OR(NOT(ISNUMBER(K31)),Settings!$B$35=""),"",IF(K31&lt;=Settings!$B$35,1,IF(K31&lt;=Settings!$B$36,2,IF(K31&lt;=Settings!$B$37,3,4))))</f>
        <v/>
      </c>
      <c r="AG31">
        <f>IF(Settings!$B$28="","Pending rules",IFERROR(IF(OR(T31="Under offer",LEFT(T31,5)="Fails"),"Not suitable: suburb/budget check",IF(OR(X31="",X31="Unknown",Y31="",Y31="Unknown",AND(AND(ISNUMBER(Y31),Y31&lt;Settings!$B$31),OR(Z31="",Z31="Unknown"))),"Needs data: floorplan",IF(FIND(X31,"ABCD")&gt;Settings!$B$29,"Not suitable: more separation than wanted",IF(AND(FIND(X31,"ABCD")&lt;Settings!$B$28,Settings!$B$30=3),"Not suitable: not enough separation",IF(AND(AND(ISNUMBER(Y31),Y31&lt;Settings!$B$31),Z31="Major"),"Not suitable: mobility",IF(FIND(X31,"ABCD")&lt;Settings!$B$28,"Watchlist: less separation than wanted",IF(AND(AND(ISNUMBER(Y31),Y31&lt;Settings!$B$31),Z31="Minor works"),"Watchlist: minor mobility works",IF(T31="Pass if bought near low end","Watchlist: pass if bought near low end",IF(AND(ISNUMBER(AA31),AA31&gt;Settings!$B$33),"Watchlist: garden upkeep",IF(AND(ISNUMBER(AA31),ABS(AA31-Settings!$B$32)&gt;=2),"Watchlist: outdoor space",IF(AND(AD31&lt;&gt;"",AD31&lt;&gt;"None"),"Watchlist: noise",IF(AND(AE31&lt;&gt;"",AE31&lt;&gt;"None"),"Watchlist: overlay",IF(AND(Settings!$B$34=1,OR(AND(ISNUMBER(AB31),AB31&gt;10),AND(ISNUMBER(AC31),AC31&gt;10))),"Watchlist: walk to shops/GP","Strong fit"))))))))))))),"Needs data: check X–AE values"))</f>
        <v/>
      </c>
    </row>
    <row r="32" ht="15" customHeight="1" s="15">
      <c r="A32" s="22" t="n">
        <v>31</v>
      </c>
      <c r="B32" s="31" t="inlineStr">
        <is>
          <t>2 Bader Court</t>
        </is>
      </c>
      <c r="C32" s="22" t="inlineStr">
        <is>
          <t>Frankston South</t>
        </is>
      </c>
      <c r="D32" s="22" t="inlineStr">
        <is>
          <t>$1,500,000-$1,650,000</t>
        </is>
      </c>
      <c r="E32" s="24" t="n">
        <v>1500000</v>
      </c>
      <c r="F32" s="24" t="n">
        <v>1650000</v>
      </c>
      <c r="G32" s="22">
        <f>IF(E32="","Needs data",IF(F32&lt;=Filters!$B$2,"Within cap",IF(E32&lt;=Filters!$B$2,"Straddles cap","Over cap")))</f>
        <v/>
      </c>
      <c r="H32" s="22" t="n">
        <v>4</v>
      </c>
      <c r="I32" s="22" t="n">
        <v>2</v>
      </c>
      <c r="J32" s="22" t="n">
        <v>4</v>
      </c>
      <c r="K32" s="22" t="n">
        <v>430</v>
      </c>
      <c r="L32" s="22" t="inlineStr">
        <is>
          <t>Active</t>
        </is>
      </c>
      <c r="M32" s="22" t="inlineStr">
        <is>
          <t>Thu 29 Oct 5:30pm</t>
        </is>
      </c>
      <c r="N32" s="22" t="inlineStr">
        <is>
          <t>Geoff Oxford</t>
        </is>
      </c>
      <c r="O32" s="22" t="inlineStr">
        <is>
          <t>Frankston South</t>
        </is>
      </c>
      <c r="P32" s="22">
        <f>IFERROR(INDEX(SuburbScorecard!$C:$C,MATCH($O32,SuburbScorecard!$A:$A,0)),"Not on scorecard")</f>
        <v/>
      </c>
      <c r="Q32" s="22">
        <f>IFERROR(IF(INDEX(SuburbScorecard!$J:$J,MATCH($O32,SuburbScorecard!$A:$A,0))="","",INDEX(SuburbScorecard!$J:$J,MATCH($O32,SuburbScorecard!$A:$A,0))),"")</f>
        <v/>
      </c>
      <c r="R32" s="22">
        <f>IFERROR(IF(INDEX(SuburbScorecard!$K:$K,MATCH($O32,SuburbScorecard!$A:$A,0))="","",INDEX(SuburbScorecard!$K:$K,MATCH($O32,SuburbScorecard!$A:$A,0))),"")</f>
        <v/>
      </c>
      <c r="S32" s="22">
        <f>IFERROR(IF(INDEX(SuburbScorecard!$AB:$AB,MATCH($O32,SuburbScorecard!$A:$A,0))="","Needs data",INDEX(SuburbScorecard!$AB:$AB,MATCH($O32,SuburbScorecard!$A:$A,0))),"Needs data")</f>
        <v/>
      </c>
      <c r="T32" s="22">
        <f>IF(L32="Under offer","Under offer",IF(G32="Over cap","Fails: budget",IF(NOT(AND(ISNUMBER(Q32),ISNUMBER(R32))),"Needs data",IF(Q32&gt;Filters!$B$4,"Fails: GW drive",IF(R32&gt;Filters!$B$5,"Fails: ED drive",IF(G32="Straddles cap","Pass if bought near low end","Pass"))))))</f>
        <v/>
      </c>
      <c r="V32" s="22" t="inlineStr">
        <is>
          <t>https://www.realestate.com.au/property-house-vic-frankston+south-152593596</t>
        </is>
      </c>
      <c r="AA32">
        <f>IF(OR(NOT(ISNUMBER(K32)),Settings!$B$35=""),"",IF(K32&lt;=Settings!$B$35,1,IF(K32&lt;=Settings!$B$36,2,IF(K32&lt;=Settings!$B$37,3,4))))</f>
        <v/>
      </c>
      <c r="AG32">
        <f>IF(Settings!$B$28="","Pending rules",IFERROR(IF(OR(T32="Under offer",LEFT(T32,5)="Fails"),"Not suitable: suburb/budget check",IF(OR(X32="",X32="Unknown",Y32="",Y32="Unknown",AND(AND(ISNUMBER(Y32),Y32&lt;Settings!$B$31),OR(Z32="",Z32="Unknown"))),"Needs data: floorplan",IF(FIND(X32,"ABCD")&gt;Settings!$B$29,"Not suitable: more separation than wanted",IF(AND(FIND(X32,"ABCD")&lt;Settings!$B$28,Settings!$B$30=3),"Not suitable: not enough separation",IF(AND(AND(ISNUMBER(Y32),Y32&lt;Settings!$B$31),Z32="Major"),"Not suitable: mobility",IF(FIND(X32,"ABCD")&lt;Settings!$B$28,"Watchlist: less separation than wanted",IF(AND(AND(ISNUMBER(Y32),Y32&lt;Settings!$B$31),Z32="Minor works"),"Watchlist: minor mobility works",IF(T32="Pass if bought near low end","Watchlist: pass if bought near low end",IF(AND(ISNUMBER(AA32),AA32&gt;Settings!$B$33),"Watchlist: garden upkeep",IF(AND(ISNUMBER(AA32),ABS(AA32-Settings!$B$32)&gt;=2),"Watchlist: outdoor space",IF(AND(AD32&lt;&gt;"",AD32&lt;&gt;"None"),"Watchlist: noise",IF(AND(AE32&lt;&gt;"",AE32&lt;&gt;"None"),"Watchlist: overlay",IF(AND(Settings!$B$34=1,OR(AND(ISNUMBER(AB32),AB32&gt;10),AND(ISNUMBER(AC32),AC32&gt;10))),"Watchlist: walk to shops/GP","Strong fit"))))))))))))),"Needs data: check X–AE values"))</f>
        <v/>
      </c>
    </row>
    <row r="33" ht="15" customHeight="1" s="15">
      <c r="A33" s="22" t="n">
        <v>32</v>
      </c>
      <c r="B33" s="31" t="inlineStr">
        <is>
          <t>35 Mountain Avenue</t>
        </is>
      </c>
      <c r="C33" s="22" t="inlineStr">
        <is>
          <t>Frankston South</t>
        </is>
      </c>
      <c r="D33" s="22" t="inlineStr">
        <is>
          <t>$1,150,000-$1,250,000</t>
        </is>
      </c>
      <c r="E33" s="24" t="n">
        <v>1150000</v>
      </c>
      <c r="F33" s="24" t="n">
        <v>1250000</v>
      </c>
      <c r="G33" s="22">
        <f>IF(E33="","Needs data",IF(F33&lt;=Filters!$B$2,"Within cap",IF(E33&lt;=Filters!$B$2,"Straddles cap","Over cap")))</f>
        <v/>
      </c>
      <c r="H33" s="22" t="n">
        <v>3</v>
      </c>
      <c r="I33" s="22" t="n">
        <v>2</v>
      </c>
      <c r="J33" s="22" t="n">
        <v>6</v>
      </c>
      <c r="K33" s="22" t="n">
        <v>2502</v>
      </c>
      <c r="L33" s="22" t="inlineStr">
        <is>
          <t>Active</t>
        </is>
      </c>
      <c r="M33" s="22" t="inlineStr">
        <is>
          <t>Sat 31 Oct 11:00am</t>
        </is>
      </c>
      <c r="N33" s="22" t="inlineStr">
        <is>
          <t>Ashley Weston</t>
        </is>
      </c>
      <c r="O33" s="22" t="inlineStr">
        <is>
          <t>Frankston South</t>
        </is>
      </c>
      <c r="P33" s="22">
        <f>IFERROR(INDEX(SuburbScorecard!$C:$C,MATCH($O33,SuburbScorecard!$A:$A,0)),"Not on scorecard")</f>
        <v/>
      </c>
      <c r="Q33" s="22">
        <f>IFERROR(IF(INDEX(SuburbScorecard!$J:$J,MATCH($O33,SuburbScorecard!$A:$A,0))="","",INDEX(SuburbScorecard!$J:$J,MATCH($O33,SuburbScorecard!$A:$A,0))),"")</f>
        <v/>
      </c>
      <c r="R33" s="22">
        <f>IFERROR(IF(INDEX(SuburbScorecard!$K:$K,MATCH($O33,SuburbScorecard!$A:$A,0))="","",INDEX(SuburbScorecard!$K:$K,MATCH($O33,SuburbScorecard!$A:$A,0))),"")</f>
        <v/>
      </c>
      <c r="S33" s="22">
        <f>IFERROR(IF(INDEX(SuburbScorecard!$AB:$AB,MATCH($O33,SuburbScorecard!$A:$A,0))="","Needs data",INDEX(SuburbScorecard!$AB:$AB,MATCH($O33,SuburbScorecard!$A:$A,0))),"Needs data")</f>
        <v/>
      </c>
      <c r="T33" s="22">
        <f>IF(L33="Under offer","Under offer",IF(G33="Over cap","Fails: budget",IF(NOT(AND(ISNUMBER(Q33),ISNUMBER(R33))),"Needs data",IF(Q33&gt;Filters!$B$4,"Fails: GW drive",IF(R33&gt;Filters!$B$5,"Fails: ED drive",IF(G33="Straddles cap","Pass if bought near low end","Pass"))))))</f>
        <v/>
      </c>
      <c r="V33" s="22" t="inlineStr">
        <is>
          <t>https://www.realestate.com.au/property-house-vic-frankston+south-152448552</t>
        </is>
      </c>
      <c r="AA33">
        <f>IF(OR(NOT(ISNUMBER(K33)),Settings!$B$35=""),"",IF(K33&lt;=Settings!$B$35,1,IF(K33&lt;=Settings!$B$36,2,IF(K33&lt;=Settings!$B$37,3,4))))</f>
        <v/>
      </c>
      <c r="AG33">
        <f>IF(Settings!$B$28="","Pending rules",IFERROR(IF(OR(T33="Under offer",LEFT(T33,5)="Fails"),"Not suitable: suburb/budget check",IF(OR(X33="",X33="Unknown",Y33="",Y33="Unknown",AND(AND(ISNUMBER(Y33),Y33&lt;Settings!$B$31),OR(Z33="",Z33="Unknown"))),"Needs data: floorplan",IF(FIND(X33,"ABCD")&gt;Settings!$B$29,"Not suitable: more separation than wanted",IF(AND(FIND(X33,"ABCD")&lt;Settings!$B$28,Settings!$B$30=3),"Not suitable: not enough separation",IF(AND(AND(ISNUMBER(Y33),Y33&lt;Settings!$B$31),Z33="Major"),"Not suitable: mobility",IF(FIND(X33,"ABCD")&lt;Settings!$B$28,"Watchlist: less separation than wanted",IF(AND(AND(ISNUMBER(Y33),Y33&lt;Settings!$B$31),Z33="Minor works"),"Watchlist: minor mobility works",IF(T33="Pass if bought near low end","Watchlist: pass if bought near low end",IF(AND(ISNUMBER(AA33),AA33&gt;Settings!$B$33),"Watchlist: garden upkeep",IF(AND(ISNUMBER(AA33),ABS(AA33-Settings!$B$32)&gt;=2),"Watchlist: outdoor space",IF(AND(AD33&lt;&gt;"",AD33&lt;&gt;"None"),"Watchlist: noise",IF(AND(AE33&lt;&gt;"",AE33&lt;&gt;"None"),"Watchlist: overlay",IF(AND(Settings!$B$34=1,OR(AND(ISNUMBER(AB33),AB33&gt;10),AND(ISNUMBER(AC33),AC33&gt;10))),"Watchlist: walk to shops/GP","Strong fit"))))))))))))),"Needs data: check X–AE values"))</f>
        <v/>
      </c>
    </row>
  </sheetData>
  <autoFilter ref="A1:U33"/>
  <conditionalFormatting sqref="T2:T33">
    <cfRule type="expression" rank="0" priority="2" equalAverage="0" aboveAverage="0" dxfId="10" text="" percent="0" bottom="0">
      <formula>LEFT($T2,4)="Pass"</formula>
    </cfRule>
    <cfRule type="expression" rank="0" priority="3" equalAverage="0" aboveAverage="0" dxfId="11" text="" percent="0" bottom="0">
      <formula>LEFT($T2,5)="Fails"</formula>
    </cfRule>
    <cfRule type="expression" rank="0" priority="4" equalAverage="0" aboveAverage="0" dxfId="12" text="" percent="0" bottom="0">
      <formula>$T2="Needs data"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V2" r:id="rId2"/>
    <hyperlink xmlns:r="http://schemas.openxmlformats.org/officeDocument/2006/relationships" ref="B3" r:id="rId3"/>
    <hyperlink xmlns:r="http://schemas.openxmlformats.org/officeDocument/2006/relationships" ref="V3" r:id="rId4"/>
    <hyperlink xmlns:r="http://schemas.openxmlformats.org/officeDocument/2006/relationships" ref="B4" r:id="rId5"/>
    <hyperlink xmlns:r="http://schemas.openxmlformats.org/officeDocument/2006/relationships" ref="V4" r:id="rId6"/>
    <hyperlink xmlns:r="http://schemas.openxmlformats.org/officeDocument/2006/relationships" ref="B5" r:id="rId7"/>
    <hyperlink xmlns:r="http://schemas.openxmlformats.org/officeDocument/2006/relationships" ref="V5" r:id="rId8"/>
    <hyperlink xmlns:r="http://schemas.openxmlformats.org/officeDocument/2006/relationships" ref="B6" r:id="rId9"/>
    <hyperlink xmlns:r="http://schemas.openxmlformats.org/officeDocument/2006/relationships" ref="V6" r:id="rId10"/>
    <hyperlink xmlns:r="http://schemas.openxmlformats.org/officeDocument/2006/relationships" ref="B7" r:id="rId11"/>
    <hyperlink xmlns:r="http://schemas.openxmlformats.org/officeDocument/2006/relationships" ref="V7" r:id="rId12"/>
    <hyperlink xmlns:r="http://schemas.openxmlformats.org/officeDocument/2006/relationships" ref="B8" r:id="rId13"/>
    <hyperlink xmlns:r="http://schemas.openxmlformats.org/officeDocument/2006/relationships" ref="V8" r:id="rId14"/>
    <hyperlink xmlns:r="http://schemas.openxmlformats.org/officeDocument/2006/relationships" ref="B9" r:id="rId15"/>
    <hyperlink xmlns:r="http://schemas.openxmlformats.org/officeDocument/2006/relationships" ref="V9" r:id="rId16"/>
    <hyperlink xmlns:r="http://schemas.openxmlformats.org/officeDocument/2006/relationships" ref="B10" r:id="rId17"/>
    <hyperlink xmlns:r="http://schemas.openxmlformats.org/officeDocument/2006/relationships" ref="V10" r:id="rId18"/>
    <hyperlink xmlns:r="http://schemas.openxmlformats.org/officeDocument/2006/relationships" ref="B11" r:id="rId19"/>
    <hyperlink xmlns:r="http://schemas.openxmlformats.org/officeDocument/2006/relationships" ref="V11" r:id="rId20"/>
    <hyperlink xmlns:r="http://schemas.openxmlformats.org/officeDocument/2006/relationships" ref="B12" r:id="rId21"/>
    <hyperlink xmlns:r="http://schemas.openxmlformats.org/officeDocument/2006/relationships" ref="V12" r:id="rId22"/>
    <hyperlink xmlns:r="http://schemas.openxmlformats.org/officeDocument/2006/relationships" ref="B13" r:id="rId23"/>
    <hyperlink xmlns:r="http://schemas.openxmlformats.org/officeDocument/2006/relationships" ref="V13" r:id="rId24"/>
    <hyperlink xmlns:r="http://schemas.openxmlformats.org/officeDocument/2006/relationships" ref="B14" r:id="rId25"/>
    <hyperlink xmlns:r="http://schemas.openxmlformats.org/officeDocument/2006/relationships" ref="V14" r:id="rId26"/>
    <hyperlink xmlns:r="http://schemas.openxmlformats.org/officeDocument/2006/relationships" ref="B15" r:id="rId27"/>
    <hyperlink xmlns:r="http://schemas.openxmlformats.org/officeDocument/2006/relationships" ref="V15" r:id="rId28"/>
    <hyperlink xmlns:r="http://schemas.openxmlformats.org/officeDocument/2006/relationships" ref="B16" r:id="rId29"/>
    <hyperlink xmlns:r="http://schemas.openxmlformats.org/officeDocument/2006/relationships" ref="V16" r:id="rId30"/>
    <hyperlink xmlns:r="http://schemas.openxmlformats.org/officeDocument/2006/relationships" ref="B17" r:id="rId31"/>
    <hyperlink xmlns:r="http://schemas.openxmlformats.org/officeDocument/2006/relationships" ref="V17" r:id="rId32"/>
    <hyperlink xmlns:r="http://schemas.openxmlformats.org/officeDocument/2006/relationships" ref="B18" r:id="rId33"/>
    <hyperlink xmlns:r="http://schemas.openxmlformats.org/officeDocument/2006/relationships" ref="V18" r:id="rId34"/>
    <hyperlink xmlns:r="http://schemas.openxmlformats.org/officeDocument/2006/relationships" ref="B19" r:id="rId35"/>
    <hyperlink xmlns:r="http://schemas.openxmlformats.org/officeDocument/2006/relationships" ref="V19" r:id="rId36"/>
    <hyperlink xmlns:r="http://schemas.openxmlformats.org/officeDocument/2006/relationships" ref="B20" r:id="rId37"/>
    <hyperlink xmlns:r="http://schemas.openxmlformats.org/officeDocument/2006/relationships" ref="V20" r:id="rId38"/>
    <hyperlink xmlns:r="http://schemas.openxmlformats.org/officeDocument/2006/relationships" ref="B21" r:id="rId39"/>
    <hyperlink xmlns:r="http://schemas.openxmlformats.org/officeDocument/2006/relationships" ref="V21" r:id="rId40"/>
    <hyperlink xmlns:r="http://schemas.openxmlformats.org/officeDocument/2006/relationships" ref="B22" r:id="rId41"/>
    <hyperlink xmlns:r="http://schemas.openxmlformats.org/officeDocument/2006/relationships" ref="V22" r:id="rId42"/>
    <hyperlink xmlns:r="http://schemas.openxmlformats.org/officeDocument/2006/relationships" ref="B23" r:id="rId43"/>
    <hyperlink xmlns:r="http://schemas.openxmlformats.org/officeDocument/2006/relationships" ref="V23" r:id="rId44"/>
    <hyperlink xmlns:r="http://schemas.openxmlformats.org/officeDocument/2006/relationships" ref="B24" r:id="rId45"/>
    <hyperlink xmlns:r="http://schemas.openxmlformats.org/officeDocument/2006/relationships" ref="V24" r:id="rId46"/>
    <hyperlink xmlns:r="http://schemas.openxmlformats.org/officeDocument/2006/relationships" ref="B25" r:id="rId47"/>
    <hyperlink xmlns:r="http://schemas.openxmlformats.org/officeDocument/2006/relationships" ref="V25" r:id="rId48"/>
    <hyperlink xmlns:r="http://schemas.openxmlformats.org/officeDocument/2006/relationships" ref="B26" r:id="rId49"/>
    <hyperlink xmlns:r="http://schemas.openxmlformats.org/officeDocument/2006/relationships" ref="V26" r:id="rId50"/>
    <hyperlink xmlns:r="http://schemas.openxmlformats.org/officeDocument/2006/relationships" ref="B27" r:id="rId51"/>
    <hyperlink xmlns:r="http://schemas.openxmlformats.org/officeDocument/2006/relationships" ref="V27" r:id="rId52"/>
    <hyperlink xmlns:r="http://schemas.openxmlformats.org/officeDocument/2006/relationships" ref="B28" r:id="rId53"/>
    <hyperlink xmlns:r="http://schemas.openxmlformats.org/officeDocument/2006/relationships" ref="V28" r:id="rId54"/>
    <hyperlink xmlns:r="http://schemas.openxmlformats.org/officeDocument/2006/relationships" ref="B29" r:id="rId55"/>
    <hyperlink xmlns:r="http://schemas.openxmlformats.org/officeDocument/2006/relationships" ref="V29" r:id="rId56"/>
    <hyperlink xmlns:r="http://schemas.openxmlformats.org/officeDocument/2006/relationships" ref="B30" r:id="rId57"/>
    <hyperlink xmlns:r="http://schemas.openxmlformats.org/officeDocument/2006/relationships" ref="V30" r:id="rId58"/>
    <hyperlink xmlns:r="http://schemas.openxmlformats.org/officeDocument/2006/relationships" ref="B31" r:id="rId59"/>
    <hyperlink xmlns:r="http://schemas.openxmlformats.org/officeDocument/2006/relationships" ref="V31" r:id="rId60"/>
    <hyperlink xmlns:r="http://schemas.openxmlformats.org/officeDocument/2006/relationships" ref="B32" r:id="rId61"/>
    <hyperlink xmlns:r="http://schemas.openxmlformats.org/officeDocument/2006/relationships" ref="V32" r:id="rId62"/>
    <hyperlink xmlns:r="http://schemas.openxmlformats.org/officeDocument/2006/relationships" ref="B33" r:id="rId63"/>
    <hyperlink xmlns:r="http://schemas.openxmlformats.org/officeDocument/2006/relationships" ref="V33" r:id="rId6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Executive Dashboard</t>
        </is>
      </c>
    </row>
    <row r="3" ht="15.75" customHeight="1" s="15">
      <c r="A3" s="16" t="inlineStr">
        <is>
          <t>Respondent Status</t>
        </is>
      </c>
      <c r="D3" s="16" t="inlineStr">
        <is>
          <t>Priority Weights (Before vs After)</t>
        </is>
      </c>
    </row>
    <row r="4" ht="15.75" customHeight="1" s="15">
      <c r="A4" s="16" t="inlineStr">
        <is>
          <t>Mum</t>
        </is>
      </c>
      <c r="B4" s="16">
        <f>CleanedAnswers!B2</f>
        <v/>
      </c>
      <c r="D4" s="16" t="inlineStr">
        <is>
          <t>Priority</t>
        </is>
      </c>
      <c r="E4" s="16" t="inlineStr">
        <is>
          <t>Draft Baseline</t>
        </is>
      </c>
      <c r="F4" s="16" t="inlineStr">
        <is>
          <t>Final Weight</t>
        </is>
      </c>
    </row>
    <row r="5" ht="15.75" customHeight="1" s="15">
      <c r="A5" s="16" t="inlineStr">
        <is>
          <t>Dad</t>
        </is>
      </c>
      <c r="B5" s="16">
        <f>CleanedAnswers!B3</f>
        <v/>
      </c>
      <c r="D5" s="16" t="inlineStr">
        <is>
          <t>Near family in GW</t>
        </is>
      </c>
      <c r="E5" s="27" t="n">
        <v>0</v>
      </c>
      <c r="F5" s="28">
        <f>ForcedChoiceCorrections!B6</f>
        <v/>
      </c>
    </row>
    <row r="6" ht="15.75" customHeight="1" s="15">
      <c r="A6" s="16" t="inlineStr">
        <is>
          <t>Me</t>
        </is>
      </c>
      <c r="B6" s="16">
        <f>CleanedAnswers!B4</f>
        <v/>
      </c>
      <c r="D6" s="16" t="inlineStr">
        <is>
          <t>Nature</t>
        </is>
      </c>
      <c r="E6" s="27" t="n">
        <v>0.18</v>
      </c>
      <c r="F6" s="28">
        <f>ForcedChoiceCorrections!B7</f>
        <v/>
      </c>
    </row>
    <row r="7" ht="15.75" customHeight="1" s="15">
      <c r="D7" s="16" t="inlineStr">
        <is>
          <t>Hospital</t>
        </is>
      </c>
      <c r="E7" s="27" t="n">
        <v>0.15</v>
      </c>
      <c r="F7" s="28">
        <f>ForcedChoiceCorrections!B8</f>
        <v/>
      </c>
    </row>
    <row r="8" ht="15.75" customHeight="1" s="15">
      <c r="A8" s="16" t="inlineStr">
        <is>
          <t>Active Hard Filters</t>
        </is>
      </c>
      <c r="D8" s="16" t="inlineStr">
        <is>
          <t>Indian community</t>
        </is>
      </c>
      <c r="E8" s="27" t="n">
        <v>0.18</v>
      </c>
      <c r="F8" s="28">
        <f>ForcedChoiceCorrections!B9</f>
        <v/>
      </c>
    </row>
    <row r="9" ht="15.75" customHeight="1" s="15">
      <c r="A9" s="16" t="inlineStr">
        <is>
          <t>Budget Cap</t>
        </is>
      </c>
      <c r="B9" s="21" t="n">
        <v>1500000</v>
      </c>
      <c r="D9" s="16" t="inlineStr">
        <is>
          <t>Shops &amp; doctor</t>
        </is>
      </c>
      <c r="E9" s="27" t="n">
        <v>0.09</v>
      </c>
      <c r="F9" s="28">
        <f>ForcedChoiceCorrections!B10</f>
        <v/>
      </c>
    </row>
    <row r="10" ht="15.75" customHeight="1" s="15">
      <c r="A10" s="16" t="inlineStr">
        <is>
          <t>Max GW Drive</t>
        </is>
      </c>
      <c r="B10" s="16">
        <f>Filters!B4</f>
        <v/>
      </c>
      <c r="D10" s="16" t="inlineStr">
        <is>
          <t>Village character</t>
        </is>
      </c>
      <c r="E10" s="27" t="n">
        <v>0.07000000000000001</v>
      </c>
      <c r="F10" s="28">
        <f>ForcedChoiceCorrections!B11</f>
        <v/>
      </c>
    </row>
    <row r="11" ht="15.75" customHeight="1" s="15">
      <c r="A11" s="16" t="inlineStr">
        <is>
          <t>Max ED Drive</t>
        </is>
      </c>
      <c r="B11" s="16">
        <f>Filters!B5</f>
        <v/>
      </c>
      <c r="D11" s="16" t="inlineStr">
        <is>
          <t>Train/bus</t>
        </is>
      </c>
      <c r="E11" s="27" t="n">
        <v>0.15</v>
      </c>
      <c r="F11" s="28">
        <f>ForcedChoiceCorrections!B12</f>
        <v/>
      </c>
    </row>
    <row r="12" ht="15.75" customHeight="1" s="15">
      <c r="A12" s="16" t="inlineStr">
        <is>
          <t>Stairs</t>
        </is>
      </c>
      <c r="B12" s="16">
        <f>Filters!B6</f>
        <v/>
      </c>
      <c r="D12" s="16" t="inlineStr">
        <is>
          <t>Price</t>
        </is>
      </c>
      <c r="E12" s="27" t="n">
        <v>0.08</v>
      </c>
      <c r="F12" s="28">
        <f>ForcedChoiceCorrections!B13</f>
        <v/>
      </c>
    </row>
    <row r="13" ht="15.75" customHeight="1" s="15">
      <c r="D13" s="16" t="inlineStr">
        <is>
          <t>Beach</t>
        </is>
      </c>
      <c r="E13" s="27" t="n">
        <v>0.1</v>
      </c>
      <c r="F13" s="28">
        <f>ForcedChoiceCorrections!B14</f>
        <v/>
      </c>
    </row>
    <row r="14" ht="15.75" customHeight="1" s="15">
      <c r="A14" s="16" t="inlineStr">
        <is>
          <t>Suburb Counts</t>
        </is>
      </c>
      <c r="D14" s="16" t="inlineStr">
        <is>
          <t>City trip</t>
        </is>
      </c>
      <c r="E14" s="27" t="n">
        <v>0</v>
      </c>
      <c r="F14" s="28">
        <f>ForcedChoiceCorrections!B15</f>
        <v/>
      </c>
    </row>
    <row r="15" ht="15.75" customHeight="1" s="15">
      <c r="A15" s="16" t="inlineStr">
        <is>
          <t>Passing / Provisional Pass</t>
        </is>
      </c>
      <c r="B15" s="16">
        <f>COUNTIF(SuburbScorecard!L:L, "*Pass*")</f>
        <v/>
      </c>
    </row>
    <row r="16" ht="15.75" customHeight="1" s="15">
      <c r="A16" s="16" t="inlineStr">
        <is>
          <t>Needs Data</t>
        </is>
      </c>
      <c r="B16" s="16">
        <f>COUNTIF(SuburbScorecard!L:L, "*Needs data*")</f>
        <v/>
      </c>
      <c r="D16" s="16" t="inlineStr">
        <is>
          <t>Trade-off Disagreements</t>
        </is>
      </c>
    </row>
    <row r="17" ht="15.75" customHeight="1" s="15">
      <c r="A17" s="16" t="inlineStr">
        <is>
          <t>Fails: budget</t>
        </is>
      </c>
      <c r="B17" s="16">
        <f>COUNTIF(SuburbScorecard!L:L, "Fails: budget")</f>
        <v/>
      </c>
      <c r="D17" s="16" t="inlineStr">
        <is>
          <t>Q7a/Q7b Living arrangement</t>
        </is>
      </c>
      <c r="E17" s="16" t="inlineStr">
        <is>
          <t>All three: living together. Home size: Mum and Dad undecided (notes: 3+ bedrooms, ideally self-contained); Me self-contained space.</t>
        </is>
      </c>
    </row>
    <row r="18" ht="15.75" customHeight="1" s="15">
      <c r="A18" s="16" t="inlineStr">
        <is>
          <t>Fails: GW drive</t>
        </is>
      </c>
      <c r="B18" s="16">
        <f>COUNTIF(SuburbScorecard!L:L, "Fails: GW drive")</f>
        <v/>
      </c>
      <c r="D18" s="16" t="inlineStr">
        <is>
          <t>Q7 Garden</t>
        </is>
      </c>
      <c r="E18" s="16" t="inlineStr">
        <is>
          <t>Needs discussion (Depends — see notes)</t>
        </is>
      </c>
    </row>
    <row r="19" ht="15.75" customHeight="1" s="15">
      <c r="A19" s="16" t="inlineStr">
        <is>
          <t>Fails: ED drive</t>
        </is>
      </c>
      <c r="B19" s="16">
        <f>COUNTIF(SuburbScorecard!L:L, "Fails: ED drive")</f>
        <v/>
      </c>
    </row>
    <row r="21">
      <c r="D21" s="16" t="inlineStr">
        <is>
          <t>Location type split (Q13b / Q13c)</t>
        </is>
      </c>
    </row>
    <row r="22">
      <c r="D22" s="16" t="inlineStr">
        <is>
          <t>Person</t>
        </is>
      </c>
      <c r="E22" s="16" t="inlineStr">
        <is>
          <t>Q13b Distance</t>
        </is>
      </c>
      <c r="F22" s="16" t="inlineStr">
        <is>
          <t>Q13c Setting</t>
        </is>
      </c>
    </row>
    <row r="23">
      <c r="D23" s="22" t="inlineStr">
        <is>
          <t>Mum</t>
        </is>
      </c>
      <c r="E23" s="22">
        <f>CleanedAnswers!B36</f>
        <v/>
      </c>
      <c r="F23" s="22">
        <f>CleanedAnswers!B37</f>
        <v/>
      </c>
    </row>
    <row r="24">
      <c r="D24" s="22" t="inlineStr">
        <is>
          <t>Dad</t>
        </is>
      </c>
      <c r="E24" s="22">
        <f>CleanedAnswers!C36</f>
        <v/>
      </c>
      <c r="F24" s="22">
        <f>CleanedAnswers!C37</f>
        <v/>
      </c>
    </row>
    <row r="25">
      <c r="D25" s="22" t="inlineStr">
        <is>
          <t>Me</t>
        </is>
      </c>
      <c r="E25" s="22">
        <f>CleanedAnswers!D36</f>
        <v/>
      </c>
      <c r="F25" s="22">
        <f>CleanedAnswers!D37</f>
        <v/>
      </c>
    </row>
    <row r="26">
      <c r="D26" s="16" t="inlineStr">
        <is>
          <t>Q14 if driving gets hard</t>
        </is>
      </c>
    </row>
    <row r="27">
      <c r="D27" s="22" t="inlineStr">
        <is>
          <t>Mum</t>
        </is>
      </c>
      <c r="E27" s="22">
        <f>CleanedAnswers!B38</f>
        <v/>
      </c>
    </row>
    <row r="28">
      <c r="D28" s="22" t="inlineStr">
        <is>
          <t>Dad</t>
        </is>
      </c>
      <c r="E28" s="22">
        <f>CleanedAnswers!C38</f>
        <v/>
      </c>
    </row>
    <row r="29">
      <c r="D29" s="22" t="inlineStr">
        <is>
          <t>Me</t>
        </is>
      </c>
      <c r="E29" s="22">
        <f>CleanedAnswers!D38</f>
        <v/>
      </c>
    </row>
    <row r="31">
      <c r="A31" s="22" t="inlineStr">
        <is>
          <t>Community comparators (display-only; added 28 Oct 2026)</t>
        </is>
      </c>
    </row>
    <row r="32">
      <c r="A32" s="22" t="inlineStr">
        <is>
          <t>Group</t>
        </is>
      </c>
      <c r="B32" s="22" t="inlineStr">
        <is>
          <t>Suburbs</t>
        </is>
      </c>
    </row>
    <row r="33">
      <c r="A33" s="22" t="inlineStr">
        <is>
          <t>Community comparators (approved)</t>
        </is>
      </c>
      <c r="B33" s="34" t="inlineStr">
        <is>
          <t>Springvale, Clayton South, Keysborough, Clyde North (Diverse / lower-green); Endeavour Hills, Wheelers Hill (Potential both; Wheelers Hill community lighter)</t>
        </is>
      </c>
    </row>
    <row r="34">
      <c r="A34" s="22" t="inlineStr">
        <is>
          <t>Nature-first anchors</t>
        </is>
      </c>
      <c r="B34" s="34" t="inlineStr">
        <is>
          <t>Frankston, Mordialloc, Seaford</t>
        </is>
      </c>
    </row>
    <row r="35">
      <c r="A35" s="22" t="inlineStr">
        <is>
          <t>Reference</t>
        </is>
      </c>
      <c r="B35" s="34" t="inlineStr">
        <is>
          <t>Rowville</t>
        </is>
      </c>
    </row>
    <row r="36">
      <c r="A36" s="22" t="inlineStr">
        <is>
          <t>Conditional</t>
        </is>
      </c>
      <c r="B36" s="34" t="inlineStr">
        <is>
          <t>Point Cook: 08:00 Glen Waverley drive up to 1 hr 40 (fails 90-min cap at peak); 45–70 min off-peak. Family decision; not in scorecard.</t>
        </is>
      </c>
    </row>
    <row r="37">
      <c r="A37" s="22" t="inlineStr">
        <is>
          <t>Excluded</t>
        </is>
      </c>
      <c r="B37" s="34" t="inlineStr">
        <is>
          <t>Tarneit: Excluded — family decision 28 Oct 2026 (stated reasons: safety concerns and not enough going for it). Mount Waverley (median over $1.5M cap)</t>
        </is>
      </c>
    </row>
    <row r="38">
      <c r="A38" s="22" t="inlineStr">
        <is>
          <t>Viewing-shortlist rule (proposed)</t>
        </is>
      </c>
      <c r="B38" s="34" t="inlineStr">
        <is>
          <t>The viewing shortlist includes at least 2 Community comparators, at least 1 nature-first anchor, and at least 1 verified Potential both suburb. Community comparators are not included for diversity figures alone; they must meet the purchase-price cap, verified Glen Waverley travel limit, and public 24-hour ED requirement.</t>
        </is>
      </c>
    </row>
    <row r="40">
      <c r="A40" t="inlineStr">
        <is>
          <t>Rounds 5–6 answers (display-only; added 30 Oct 2026; no pass count until N4)</t>
        </is>
      </c>
    </row>
    <row r="41">
      <c r="A41" t="inlineStr">
        <is>
          <t>Person</t>
        </is>
      </c>
      <c r="B41" t="inlineStr">
        <is>
          <t>GW firm limit (min)</t>
        </is>
      </c>
      <c r="C41" t="inlineStr">
        <is>
          <t>GW preferred (min)</t>
        </is>
      </c>
      <c r="D41" t="inlineStr">
        <is>
          <t>ED firm limit (min)</t>
        </is>
      </c>
      <c r="E41" t="inlineStr">
        <is>
          <t>R5.7 church denomination</t>
        </is>
      </c>
      <c r="F41" t="inlineStr">
        <is>
          <t>Answer check</t>
        </is>
      </c>
    </row>
    <row r="42">
      <c r="A42" t="inlineStr">
        <is>
          <t>Mum</t>
        </is>
      </c>
      <c r="B42">
        <f>CleanedAnswers!B59</f>
        <v/>
      </c>
      <c r="C42">
        <f>CleanedAnswers!B60</f>
        <v/>
      </c>
      <c r="D42">
        <f>IF(CleanedAnswers!E44="E","No limit",CleanedAnswers!B61)</f>
        <v/>
      </c>
      <c r="E42">
        <f>CleanedAnswers!B47</f>
        <v/>
      </c>
      <c r="F42">
        <f>CleanedAnswers!B71</f>
        <v/>
      </c>
    </row>
    <row r="43">
      <c r="A43" t="inlineStr">
        <is>
          <t>Dad</t>
        </is>
      </c>
      <c r="B43">
        <f>CleanedAnswers!C59</f>
        <v/>
      </c>
      <c r="C43">
        <f>CleanedAnswers!C60</f>
        <v/>
      </c>
      <c r="D43">
        <f>IF(CleanedAnswers!F44="E","No limit",CleanedAnswers!C61)</f>
        <v/>
      </c>
      <c r="E43">
        <f>CleanedAnswers!C47</f>
        <v/>
      </c>
      <c r="F43">
        <f>CleanedAnswers!C71</f>
        <v/>
      </c>
    </row>
    <row r="44">
      <c r="A44" t="inlineStr">
        <is>
          <t>Me</t>
        </is>
      </c>
      <c r="B44">
        <f>CleanedAnswers!D59</f>
        <v/>
      </c>
      <c r="C44">
        <f>CleanedAnswers!D60</f>
        <v/>
      </c>
      <c r="D44">
        <f>IF(CleanedAnswers!G44="E","No limit",CleanedAnswers!D61)</f>
        <v/>
      </c>
      <c r="E44">
        <f>CleanedAnswers!D47</f>
        <v/>
      </c>
      <c r="F44">
        <f>CleanedAnswers!D71</f>
        <v/>
      </c>
    </row>
    <row r="45">
      <c r="A45" t="inlineStr">
        <is>
          <t>Household (strictest)</t>
        </is>
      </c>
      <c r="B45">
        <f>CleanedAnswers!E59</f>
        <v/>
      </c>
      <c r="C45">
        <f>CleanedAnswers!E60</f>
        <v/>
      </c>
      <c r="D45">
        <f>CleanedAnswers!E61</f>
        <v/>
      </c>
    </row>
    <row r="47">
      <c r="A47" t="inlineStr">
        <is>
          <t>Separation (household floor / ceiling / check)</t>
        </is>
      </c>
      <c r="B47">
        <f>CleanedAnswers!E64</f>
        <v/>
      </c>
      <c r="C47">
        <f>CleanedAnswers!E65</f>
        <v/>
      </c>
      <c r="D47">
        <f>CleanedAnswers!F65</f>
        <v/>
      </c>
    </row>
    <row r="48">
      <c r="A48" t="inlineStr">
        <is>
          <t>Household cells stay blank until all three have answered. GW preferred (R5.3) is a preference only: never a filter or score. Filters change only at G2, with approval.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2026-10-27T00:51:13Z</dcterms:created>
  <dcterms:modified xsi:type="dcterms:W3CDTF">2026-10-30T09:00:13Z</dcterms:modified>
  <cp:revision>0</cp:revision>
</cp:coreProperties>
</file>