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hh:mm"/>
    <numFmt numFmtId="165" formatCode="\$#,##0"/>
    <numFmt numFmtId="166" formatCode="yyyy-mm-dd hh:mm"/>
  </numFmts>
  <fonts count="1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</row>
    <row r="2" ht="15.75" customHeight="1" s="15">
      <c r="A2" s="16" t="inlineStr">
        <is>
          <t>Q10</t>
        </is>
      </c>
      <c r="B2" s="16" t="inlineStr">
        <is>
          <t>+7.2% from Nature to Near family in GW</t>
        </is>
      </c>
    </row>
    <row r="3" ht="15.75" customHeight="1" s="15">
      <c r="A3" s="16" t="inlineStr">
        <is>
          <t>Q12</t>
        </is>
      </c>
      <c r="B3" s="16" t="inlineStr">
        <is>
          <t>+2.6% from Village character to Shops &amp; doctor</t>
        </is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Forced-choice shift (editable)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</row>
    <row r="6" ht="15.75" customHeight="1" s="15">
      <c r="A6" s="16" t="inlineStr">
        <is>
          <t>Near family in GW</t>
        </is>
      </c>
      <c r="B6" s="16">
        <f>MAX(0,D6+C6)/SUMPRODUCT((D$6:D$15+C$6:C$15&gt;0)*(D$6:D$15+C$6:C$15))</f>
        <v/>
      </c>
      <c r="C6" s="16" t="n">
        <v>0.07199999999999999</v>
      </c>
      <c r="D6" s="16">
        <f>PriorityWeights!K3</f>
        <v/>
      </c>
      <c r="E6" s="16" t="n">
        <v>0.153</v>
      </c>
    </row>
    <row r="7" ht="15.75" customHeight="1" s="15">
      <c r="A7" s="16" t="inlineStr">
        <is>
          <t>Nature</t>
        </is>
      </c>
      <c r="B7" s="16">
        <f>MAX(0,D7+C7)/SUMPRODUCT((D$6:D$15+C$6:C$15&gt;0)*(D$6:D$15+C$6:C$15))</f>
        <v/>
      </c>
      <c r="C7" s="16" t="n">
        <v>-0.07199999999999999</v>
      </c>
      <c r="D7" s="16">
        <f>PriorityWeights!K2</f>
        <v/>
      </c>
      <c r="E7" s="16" t="n">
        <v>0.133</v>
      </c>
    </row>
    <row r="8" ht="15.75" customHeight="1" s="15">
      <c r="A8" s="16" t="inlineStr">
        <is>
          <t>Hospital</t>
        </is>
      </c>
      <c r="B8" s="16">
        <f>MAX(0,D8+C8)/SUMPRODUCT((D$6:D$15+C$6:C$15&gt;0)*(D$6:D$15+C$6:C$15))</f>
        <v/>
      </c>
      <c r="C8" s="16" t="n">
        <v>0</v>
      </c>
      <c r="D8" s="16">
        <f>PriorityWeights!K6</f>
        <v/>
      </c>
      <c r="E8" s="16" t="n">
        <v>0.133</v>
      </c>
    </row>
    <row r="9" ht="15.75" customHeight="1" s="15">
      <c r="A9" s="16" t="inlineStr">
        <is>
          <t>Indian community</t>
        </is>
      </c>
      <c r="B9" s="16">
        <f>MAX(0,D9+C9)/SUMPRODUCT((D$6:D$15+C$6:C$15&gt;0)*(D$6:D$15+C$6:C$15))</f>
        <v/>
      </c>
      <c r="C9" s="16" t="n">
        <v>0</v>
      </c>
      <c r="D9" s="16">
        <f>PriorityWeights!K4</f>
        <v/>
      </c>
      <c r="E9" s="16" t="n">
        <v>0.117</v>
      </c>
    </row>
    <row r="10" ht="15.75" customHeight="1" s="15">
      <c r="A10" s="16" t="inlineStr">
        <is>
          <t>Shops &amp; doctor</t>
        </is>
      </c>
      <c r="B10" s="16">
        <f>MAX(0,D10+C10)/SUMPRODUCT((D$6:D$15+C$6:C$15&gt;0)*(D$6:D$15+C$6:C$15))</f>
        <v/>
      </c>
      <c r="C10" s="16" t="n">
        <v>0.026</v>
      </c>
      <c r="D10" s="16">
        <f>PriorityWeights!K8</f>
        <v/>
      </c>
      <c r="E10" s="16" t="n">
        <v>0.108</v>
      </c>
    </row>
    <row r="11" ht="15.75" customHeight="1" s="15">
      <c r="A11" s="16" t="inlineStr">
        <is>
          <t>Village character</t>
        </is>
      </c>
      <c r="B11" s="16">
        <f>MAX(0,D11+C11)/SUMPRODUCT((D$6:D$15+C$6:C$15&gt;0)*(D$6:D$15+C$6:C$15))</f>
        <v/>
      </c>
      <c r="C11" s="16" t="n">
        <v>-0.026</v>
      </c>
      <c r="D11" s="16">
        <f>PriorityWeights!K9</f>
        <v/>
      </c>
      <c r="E11" s="16" t="n">
        <v>0.08799999999999999</v>
      </c>
    </row>
    <row r="12" ht="15.75" customHeight="1" s="15">
      <c r="A12" s="16" t="inlineStr">
        <is>
          <t>Train/bus</t>
        </is>
      </c>
      <c r="B12" s="16">
        <f>MAX(0,D12+C12)/SUMPRODUCT((D$6:D$15+C$6:C$15&gt;0)*(D$6:D$15+C$6:C$15))</f>
        <v/>
      </c>
      <c r="C12" s="16" t="n">
        <v>0</v>
      </c>
      <c r="D12" s="16">
        <f>PriorityWeights!K7</f>
        <v/>
      </c>
      <c r="E12" s="16" t="n">
        <v>0.081</v>
      </c>
    </row>
    <row r="13" ht="15.75" customHeight="1" s="15">
      <c r="A13" s="16" t="inlineStr">
        <is>
          <t>Price</t>
        </is>
      </c>
      <c r="B13" s="16">
        <f>MAX(0,D13+C13)/SUMPRODUCT((D$6:D$15+C$6:C$15&gt;0)*(D$6:D$15+C$6:C$15))</f>
        <v/>
      </c>
      <c r="C13" s="16" t="n">
        <v>0</v>
      </c>
      <c r="D13" s="16">
        <f>PriorityWeights!K10</f>
        <v/>
      </c>
      <c r="E13" s="16" t="n">
        <v>0.081</v>
      </c>
    </row>
    <row r="14" ht="15.75" customHeight="1" s="15">
      <c r="A14" s="16" t="inlineStr">
        <is>
          <t>Beach</t>
        </is>
      </c>
      <c r="B14" s="16">
        <f>MAX(0,D14+C14)/SUMPRODUCT((D$6:D$15+C$6:C$15&gt;0)*(D$6:D$15+C$6:C$15))</f>
        <v/>
      </c>
      <c r="C14" s="16" t="n">
        <v>0</v>
      </c>
      <c r="D14" s="16">
        <f>PriorityWeights!K5</f>
        <v/>
      </c>
      <c r="E14" s="16" t="n">
        <v>0.061</v>
      </c>
    </row>
    <row r="15" ht="15.75" customHeight="1" s="15">
      <c r="A15" s="16" t="inlineStr">
        <is>
          <t>City trip</t>
        </is>
      </c>
      <c r="B15" s="16">
        <f>MAX(0,D15+C15)/SUMPRODUCT((D$6:D$15+C$6:C$15&gt;0)*(D$6:D$15+C$6:C$15))</f>
        <v/>
      </c>
      <c r="C15" s="16" t="n">
        <v>0</v>
      </c>
      <c r="D15" s="16">
        <f>PriorityWeights!K11</f>
        <v/>
      </c>
      <c r="E15" s="16" t="n">
        <v>0.045</v>
      </c>
    </row>
    <row r="16">
      <c r="A16" t="inlineStr">
        <is>
          <t>Total</t>
        </is>
      </c>
      <c r="B16">
        <f>SUM(B6:B15)</f>
        <v/>
      </c>
    </row>
    <row r="18">
      <c r="A18" t="inlineStr">
        <is>
          <t>Note (27 Oct 2026): B was typed values (kept in E). Now B = survey weight + shift, renormalised. Shifts carried over from rows Q10/Q12 above; they came from the earlier answers and should be recomputed after the round-2 questionnaire.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 t="n"/>
      <c r="N3" s="19" t="n"/>
      <c r="O3" s="19">
        <f>IF(K3="","",ROUND(MAX(0,10*(1-K3/Filters!$B$5)),1))</f>
        <v/>
      </c>
      <c r="P3" s="19" t="n"/>
      <c r="Q3" s="19" t="n"/>
      <c r="R3" s="19" t="n"/>
      <c r="S3" s="19" t="n"/>
      <c r="T3" s="19" t="n"/>
      <c r="U3" s="19" t="n"/>
      <c r="V3" s="19" t="n"/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 t="n"/>
      <c r="N4" s="19" t="n"/>
      <c r="O4" s="19">
        <f>IF(K4="","",ROUND(MAX(0,10*(1-K4/Filters!$B$5)),1))</f>
        <v/>
      </c>
      <c r="P4" s="19" t="n"/>
      <c r="Q4" s="19" t="n"/>
      <c r="R4" s="19" t="n"/>
      <c r="S4" s="19" t="n"/>
      <c r="T4" s="19" t="n"/>
      <c r="U4" s="19" t="n"/>
      <c r="V4" s="19" t="n"/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 t="n"/>
      <c r="N5" s="19" t="n"/>
      <c r="O5" s="19">
        <f>IF(K5="","",ROUND(MAX(0,10*(1-K5/Filters!$B$5)),1))</f>
        <v/>
      </c>
      <c r="P5" s="19" t="n"/>
      <c r="Q5" s="19" t="n"/>
      <c r="R5" s="19" t="n"/>
      <c r="S5" s="19" t="n"/>
      <c r="T5" s="19" t="n"/>
      <c r="U5" s="19" t="n"/>
      <c r="V5" s="19" t="n"/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 t="n"/>
      <c r="N6" s="19" t="n"/>
      <c r="O6" s="19">
        <f>IF(K6="","",ROUND(MAX(0,10*(1-K6/Filters!$B$5)),1))</f>
        <v/>
      </c>
      <c r="P6" s="19" t="n"/>
      <c r="Q6" s="19" t="n"/>
      <c r="R6" s="19" t="n"/>
      <c r="S6" s="19" t="n"/>
      <c r="T6" s="19" t="n"/>
      <c r="U6" s="19" t="n"/>
      <c r="V6" s="19" t="n"/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/>
      <c r="H8" s="18" t="inlineStr">
        <is>
          <t>Not verified in report</t>
        </is>
      </c>
      <c r="I8" s="18" t="str"/>
      <c r="J8" s="19" t="n">
        <v>20</v>
      </c>
      <c r="K8" s="19" t="n">
        <v>14</v>
      </c>
      <c r="L8" s="18" t="inlineStr">
        <is>
          <t>Needs data</t>
        </is>
      </c>
      <c r="M8" s="19" t="n"/>
      <c r="N8" s="19" t="n"/>
      <c r="O8" s="19">
        <f>IF(K8="","",ROUND(MAX(0,10*(1-K8/Filters!$B$5)),1))</f>
        <v/>
      </c>
      <c r="P8" s="19" t="n"/>
      <c r="Q8" s="19" t="n"/>
      <c r="R8" s="19" t="n"/>
      <c r="S8" s="19" t="n"/>
      <c r="T8" s="19" t="n"/>
      <c r="U8" s="19" t="n"/>
      <c r="V8" s="19" t="n"/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[Awaiting search]</t>
        </is>
      </c>
      <c r="AH8" s="22" t="inlineStr">
        <is>
          <t>26 Oct 2026</t>
        </is>
      </c>
      <c r="AI8" s="22" t="inlineStr">
        <is>
          <t>Needs data</t>
        </is>
      </c>
      <c r="AJ8" s="22" t="inlineStr">
        <is>
          <t>No verified pricing entered.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 t="n"/>
      <c r="N9" s="19" t="n"/>
      <c r="O9" s="19">
        <f>IF(K9="","",ROUND(MAX(0,10*(1-K9/Filters!$B$5)),1))</f>
        <v/>
      </c>
      <c r="P9" s="19" t="n"/>
      <c r="Q9" s="19" t="n"/>
      <c r="R9" s="19" t="n"/>
      <c r="S9" s="19" t="n"/>
      <c r="T9" s="19" t="n"/>
      <c r="U9" s="19" t="n"/>
      <c r="V9" s="19" t="n"/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 t="n"/>
      <c r="N10" s="19" t="n"/>
      <c r="O10" s="19">
        <f>IF(K10="","",ROUND(MAX(0,10*(1-K10/Filters!$B$5)),1))</f>
        <v/>
      </c>
      <c r="P10" s="19" t="n"/>
      <c r="Q10" s="19" t="n"/>
      <c r="R10" s="19" t="n"/>
      <c r="S10" s="19" t="n"/>
      <c r="T10" s="19" t="n"/>
      <c r="U10" s="19" t="n"/>
      <c r="V10" s="19" t="n"/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 (recall; verify)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 t="n"/>
      <c r="N11" s="19" t="n"/>
      <c r="O11" s="19">
        <f>IF(K11="","",ROUND(MAX(0,10*(1-K11/Filters!$B$5)),1))</f>
        <v/>
      </c>
      <c r="P11" s="19" t="n"/>
      <c r="Q11" s="19" t="n"/>
      <c r="R11" s="19" t="n"/>
      <c r="S11" s="19" t="n"/>
      <c r="T11" s="19" t="n"/>
      <c r="U11" s="19" t="n"/>
      <c r="V11" s="19" t="n"/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Frankston line (recall; verify)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 t="n"/>
      <c r="N12" s="19" t="n"/>
      <c r="O12" s="19">
        <f>IF(K12="","",ROUND(MAX(0,10*(1-K12/Filters!$B$5)),1))</f>
        <v/>
      </c>
      <c r="P12" s="19" t="n"/>
      <c r="Q12" s="19" t="n"/>
      <c r="R12" s="19" t="n"/>
      <c r="S12" s="19" t="n"/>
      <c r="T12" s="19" t="n"/>
      <c r="U12" s="19" t="n"/>
      <c r="V12" s="19" t="n"/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Werribee line (recall; verify)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/>
      <c r="H14" s="18" t="inlineStr">
        <is>
          <t>Not verified in report</t>
        </is>
      </c>
      <c r="I14" s="18" t="str"/>
      <c r="J14" s="19" t="n">
        <v>43</v>
      </c>
      <c r="K14" s="19" t="n">
        <v>33</v>
      </c>
      <c r="L14" s="18" t="inlineStr">
        <is>
          <t>Needs data</t>
        </is>
      </c>
      <c r="M14" s="19" t="n"/>
      <c r="N14" s="19" t="n"/>
      <c r="O14" s="19">
        <f>IF(K14="","",ROUND(MAX(0,10*(1-K14/Filters!$B$5)),1))</f>
        <v/>
      </c>
      <c r="P14" s="19" t="n"/>
      <c r="Q14" s="19" t="n"/>
      <c r="R14" s="19" t="n"/>
      <c r="S14" s="19" t="n"/>
      <c r="T14" s="19" t="n"/>
      <c r="U14" s="19" t="n"/>
      <c r="V14" s="19" t="n"/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[Awaiting search]</t>
        </is>
      </c>
      <c r="AH14" s="22" t="inlineStr">
        <is>
          <t>26 Oct 2026</t>
        </is>
      </c>
      <c r="AI14" s="22" t="inlineStr">
        <is>
          <t>Needs data</t>
        </is>
      </c>
      <c r="AJ14" s="22" t="inlineStr">
        <is>
          <t>No verified pricing entered.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 t="n"/>
      <c r="N15" s="19" t="n"/>
      <c r="O15" s="19">
        <f>IF(K15="","",ROUND(MAX(0,10*(1-K15/Filters!$B$5)),1))</f>
        <v/>
      </c>
      <c r="P15" s="19" t="n"/>
      <c r="Q15" s="19" t="n"/>
      <c r="R15" s="19" t="n"/>
      <c r="S15" s="19" t="n"/>
      <c r="T15" s="19" t="n"/>
      <c r="U15" s="19" t="n"/>
      <c r="V15" s="19" t="n"/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 t="n"/>
      <c r="N16" s="19" t="n"/>
      <c r="O16" s="19">
        <f>IF(K16="","",ROUND(MAX(0,10*(1-K16/Filters!$B$5)),1))</f>
        <v/>
      </c>
      <c r="P16" s="19" t="n"/>
      <c r="Q16" s="19" t="n"/>
      <c r="R16" s="19" t="n"/>
      <c r="S16" s="19" t="n"/>
      <c r="T16" s="19" t="n"/>
      <c r="U16" s="19" t="n"/>
      <c r="V16" s="19" t="n"/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(per sheet note)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/>
      <c r="H17" s="18" t="inlineStr">
        <is>
          <t>Not verified in report</t>
        </is>
      </c>
      <c r="I17" s="18" t="str"/>
      <c r="J17" s="19" t="n">
        <v>62</v>
      </c>
      <c r="K17" s="19" t="n">
        <v>60</v>
      </c>
      <c r="L17" s="18" t="inlineStr">
        <is>
          <t>Needs data</t>
        </is>
      </c>
      <c r="M17" s="19" t="n"/>
      <c r="N17" s="19" t="n"/>
      <c r="O17" s="19">
        <f>IF(K17="","",ROUND(MAX(0,10*(1-K17/Filters!$B$5)),1))</f>
        <v/>
      </c>
      <c r="P17" s="19" t="n"/>
      <c r="Q17" s="19" t="n"/>
      <c r="R17" s="19" t="n"/>
      <c r="S17" s="19" t="n"/>
      <c r="T17" s="19" t="n"/>
      <c r="U17" s="19" t="n"/>
      <c r="V17" s="19" t="n"/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[Awaiting search]</t>
        </is>
      </c>
      <c r="AH17" s="22" t="inlineStr">
        <is>
          <t>26 Oct 2026</t>
        </is>
      </c>
      <c r="AI17" s="22" t="inlineStr">
        <is>
          <t>Needs data</t>
        </is>
      </c>
      <c r="AJ17" s="22" t="inlineStr">
        <is>
          <t>No verified pricing entered.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 t="n"/>
      <c r="N18" s="19" t="n"/>
      <c r="O18" s="19">
        <f>IF(K18="","",ROUND(MAX(0,10*(1-K18/Filters!$B$5)),1))</f>
        <v/>
      </c>
      <c r="P18" s="19" t="n"/>
      <c r="Q18" s="19" t="n"/>
      <c r="R18" s="19" t="n"/>
      <c r="S18" s="19" t="n"/>
      <c r="T18" s="19" t="n"/>
      <c r="U18" s="19" t="n"/>
      <c r="V18" s="19" t="n"/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 54 to Marshall Station (per sheet note)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/>
      <c r="H20" s="18" t="inlineStr">
        <is>
          <t>Not verified in report</t>
        </is>
      </c>
      <c r="I20" s="18" t="str"/>
      <c r="J20" s="19" t="n">
        <v>72</v>
      </c>
      <c r="K20" s="19" t="n">
        <v>7</v>
      </c>
      <c r="L20" s="18" t="inlineStr">
        <is>
          <t>Needs data</t>
        </is>
      </c>
      <c r="M20" s="19" t="n"/>
      <c r="N20" s="19" t="n"/>
      <c r="O20" s="19">
        <f>IF(K20="","",ROUND(MAX(0,10*(1-K20/Filters!$B$5)),1))</f>
        <v/>
      </c>
      <c r="P20" s="19" t="n"/>
      <c r="Q20" s="19" t="n"/>
      <c r="R20" s="19" t="n"/>
      <c r="S20" s="19" t="n"/>
      <c r="T20" s="19" t="n"/>
      <c r="U20" s="19" t="n"/>
      <c r="V20" s="19" t="n"/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[Awaiting search]</t>
        </is>
      </c>
      <c r="AH20" s="22" t="inlineStr">
        <is>
          <t>26 Oct 2026</t>
        </is>
      </c>
      <c r="AI20" s="22" t="inlineStr">
        <is>
          <t>Needs data</t>
        </is>
      </c>
      <c r="AJ20" s="22" t="inlineStr">
        <is>
          <t>No verified pricing entered.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/>
      <c r="H21" s="18" t="inlineStr">
        <is>
          <t>Not verified in report</t>
        </is>
      </c>
      <c r="I21" s="18" t="str"/>
      <c r="J21" s="19" t="n">
        <v>74</v>
      </c>
      <c r="K21" s="19" t="n">
        <v>9</v>
      </c>
      <c r="L21" s="18" t="inlineStr">
        <is>
          <t>Needs data</t>
        </is>
      </c>
      <c r="M21" s="19" t="n"/>
      <c r="N21" s="19" t="n"/>
      <c r="O21" s="19">
        <f>IF(K21="","",ROUND(MAX(0,10*(1-K21/Filters!$B$5)),1))</f>
        <v/>
      </c>
      <c r="P21" s="19" t="n"/>
      <c r="Q21" s="19" t="n"/>
      <c r="R21" s="19" t="n"/>
      <c r="S21" s="19" t="n"/>
      <c r="T21" s="19" t="n"/>
      <c r="U21" s="19" t="n"/>
      <c r="V21" s="19" t="n"/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to Geelong (recall; verify)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[Awaiting search]</t>
        </is>
      </c>
      <c r="AH21" s="22" t="inlineStr">
        <is>
          <t>26 Oct 2026</t>
        </is>
      </c>
      <c r="AI21" s="22" t="inlineStr">
        <is>
          <t>Needs data</t>
        </is>
      </c>
      <c r="AJ21" s="22" t="inlineStr">
        <is>
          <t>No verified pricing entered.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/>
      <c r="H22" s="18" t="inlineStr">
        <is>
          <t>Not verified in report</t>
        </is>
      </c>
      <c r="I22" s="18" t="str"/>
      <c r="J22" s="19" t="n">
        <v>21</v>
      </c>
      <c r="K22" s="19" t="n">
        <v>7</v>
      </c>
      <c r="L22" s="18" t="inlineStr">
        <is>
          <t>Needs data</t>
        </is>
      </c>
      <c r="M22" s="19" t="n"/>
      <c r="N22" s="19" t="n"/>
      <c r="O22" s="19">
        <f>IF(K22="","",ROUND(MAX(0,10*(1-K22/Filters!$B$5)),1))</f>
        <v/>
      </c>
      <c r="P22" s="19" t="n"/>
      <c r="Q22" s="19" t="n"/>
      <c r="R22" s="19" t="n"/>
      <c r="S22" s="19" t="n"/>
      <c r="T22" s="19" t="n"/>
      <c r="U22" s="19" t="n"/>
      <c r="V22" s="19" t="n"/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 (per sheet note)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[Awaiting search]</t>
        </is>
      </c>
      <c r="AH22" s="22" t="inlineStr">
        <is>
          <t>26 Oct 2026</t>
        </is>
      </c>
      <c r="AI22" s="22" t="inlineStr">
        <is>
          <t>Needs data</t>
        </is>
      </c>
      <c r="AJ22" s="22" t="inlineStr">
        <is>
          <t>No verified pricing entered.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 t="n"/>
      <c r="N23" s="19" t="n"/>
      <c r="O23" s="19">
        <f>IF(K23="","",ROUND(MAX(0,10*(1-K23/Filters!$B$5)),1))</f>
        <v/>
      </c>
      <c r="P23" s="19" t="n"/>
      <c r="Q23" s="19" t="n"/>
      <c r="R23" s="19" t="n"/>
      <c r="S23" s="19" t="n"/>
      <c r="T23" s="19" t="n"/>
      <c r="U23" s="19" t="n"/>
      <c r="V23" s="19" t="n"/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 (per sheet note)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/>
      <c r="H24" s="18" t="inlineStr">
        <is>
          <t>Not verified in report</t>
        </is>
      </c>
      <c r="I24" s="18" t="str"/>
      <c r="J24" s="19" t="n">
        <v>19</v>
      </c>
      <c r="K24" s="19" t="n">
        <v>5</v>
      </c>
      <c r="L24" s="18" t="inlineStr">
        <is>
          <t>Needs data</t>
        </is>
      </c>
      <c r="M24" s="19" t="n"/>
      <c r="N24" s="19" t="n"/>
      <c r="O24" s="19">
        <f>IF(K24="","",ROUND(MAX(0,10*(1-K24/Filters!$B$5)),1))</f>
        <v/>
      </c>
      <c r="P24" s="19" t="n"/>
      <c r="Q24" s="19" t="n"/>
      <c r="R24" s="19" t="n"/>
      <c r="S24" s="19" t="n"/>
      <c r="T24" s="19" t="n"/>
      <c r="U24" s="19" t="n"/>
      <c r="V24" s="19" t="n"/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[Awaiting search]</t>
        </is>
      </c>
      <c r="AH24" s="22" t="inlineStr">
        <is>
          <t>26 Oct 2026</t>
        </is>
      </c>
      <c r="AI24" s="22" t="inlineStr">
        <is>
          <t>Needs data</t>
        </is>
      </c>
      <c r="AJ24" s="22" t="inlineStr">
        <is>
          <t>No verified pricing entered.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/>
      <c r="H25" s="18" t="inlineStr">
        <is>
          <t>Not verified in report</t>
        </is>
      </c>
      <c r="I25" s="18" t="str"/>
      <c r="J25" s="19" t="n">
        <v>17</v>
      </c>
      <c r="K25" s="19" t="n">
        <v>10</v>
      </c>
      <c r="L25" s="18" t="inlineStr">
        <is>
          <t>Needs data</t>
        </is>
      </c>
      <c r="M25" s="19" t="n"/>
      <c r="N25" s="19" t="n"/>
      <c r="O25" s="19">
        <f>IF(K25="","",ROUND(MAX(0,10*(1-K25/Filters!$B$5)),1))</f>
        <v/>
      </c>
      <c r="P25" s="19" t="n"/>
      <c r="Q25" s="19" t="n"/>
      <c r="R25" s="19" t="n"/>
      <c r="S25" s="19" t="n"/>
      <c r="T25" s="19" t="n"/>
      <c r="U25" s="19" t="n"/>
      <c r="V25" s="19" t="n"/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[Awaiting search]</t>
        </is>
      </c>
      <c r="AH25" s="22" t="inlineStr">
        <is>
          <t>26 Oct 2026</t>
        </is>
      </c>
      <c r="AI25" s="22" t="inlineStr">
        <is>
          <t>Needs data</t>
        </is>
      </c>
      <c r="AJ25" s="22" t="inlineStr">
        <is>
          <t>No verified pricing entered.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/>
      <c r="H26" s="18" t="inlineStr">
        <is>
          <t>Not verified in report</t>
        </is>
      </c>
      <c r="I26" s="18" t="str"/>
      <c r="J26" s="19" t="n">
        <v>22</v>
      </c>
      <c r="K26" s="19" t="n">
        <v>12</v>
      </c>
      <c r="L26" s="18" t="inlineStr">
        <is>
          <t>Needs data</t>
        </is>
      </c>
      <c r="M26" s="19" t="n"/>
      <c r="N26" s="19" t="n"/>
      <c r="O26" s="19">
        <f>IF(K26="","",ROUND(MAX(0,10*(1-K26/Filters!$B$5)),1))</f>
        <v/>
      </c>
      <c r="P26" s="19" t="n"/>
      <c r="Q26" s="19" t="n"/>
      <c r="R26" s="19" t="n"/>
      <c r="S26" s="19" t="n"/>
      <c r="T26" s="19" t="n"/>
      <c r="U26" s="19" t="n"/>
      <c r="V26" s="19" t="n"/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[Awaiting search]</t>
        </is>
      </c>
      <c r="AH26" s="22" t="inlineStr">
        <is>
          <t>26 Oct 2026</t>
        </is>
      </c>
      <c r="AI26" s="22" t="inlineStr">
        <is>
          <t>Needs data</t>
        </is>
      </c>
      <c r="AJ26" s="22" t="inlineStr">
        <is>
          <t>No verified pricing entered.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/>
      <c r="H27" s="18" t="inlineStr">
        <is>
          <t>Not verified in report</t>
        </is>
      </c>
      <c r="I27" s="18" t="str"/>
      <c r="J27" s="19" t="n">
        <v>27</v>
      </c>
      <c r="K27" s="19" t="n">
        <v>17</v>
      </c>
      <c r="L27" s="18" t="inlineStr">
        <is>
          <t>Needs data</t>
        </is>
      </c>
      <c r="M27" s="19" t="n"/>
      <c r="N27" s="19" t="n"/>
      <c r="O27" s="19">
        <f>IF(K27="","",ROUND(MAX(0,10*(1-K27/Filters!$B$5)),1))</f>
        <v/>
      </c>
      <c r="P27" s="19" t="n"/>
      <c r="Q27" s="19" t="n"/>
      <c r="R27" s="19" t="n"/>
      <c r="S27" s="19" t="n"/>
      <c r="T27" s="19" t="n"/>
      <c r="U27" s="19" t="n"/>
      <c r="V27" s="19" t="n"/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[Awaiting search]</t>
        </is>
      </c>
      <c r="AH27" s="22" t="inlineStr">
        <is>
          <t>26 Oct 2026</t>
        </is>
      </c>
      <c r="AI27" s="22" t="inlineStr">
        <is>
          <t>Needs data</t>
        </is>
      </c>
      <c r="AJ27" s="22" t="inlineStr">
        <is>
          <t>No verified pricing entered.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/>
      <c r="H28" s="18" t="inlineStr">
        <is>
          <t>Not verified in report</t>
        </is>
      </c>
      <c r="I28" s="18" t="str"/>
      <c r="J28" s="19" t="n">
        <v>18</v>
      </c>
      <c r="K28" s="19" t="n">
        <v>6</v>
      </c>
      <c r="L28" s="18" t="inlineStr">
        <is>
          <t>Needs data</t>
        </is>
      </c>
      <c r="M28" s="19" t="n"/>
      <c r="N28" s="19" t="n"/>
      <c r="O28" s="19">
        <f>IF(K28="","",ROUND(MAX(0,10*(1-K28/Filters!$B$5)),1))</f>
        <v/>
      </c>
      <c r="P28" s="19" t="n"/>
      <c r="Q28" s="19" t="n"/>
      <c r="R28" s="19" t="n"/>
      <c r="S28" s="19" t="n"/>
      <c r="T28" s="19" t="n"/>
      <c r="U28" s="19" t="n"/>
      <c r="V28" s="19" t="n"/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[Awaiting search]</t>
        </is>
      </c>
      <c r="AH28" s="22" t="inlineStr">
        <is>
          <t>26 Oct 2026</t>
        </is>
      </c>
      <c r="AI28" s="22" t="inlineStr">
        <is>
          <t>Needs data</t>
        </is>
      </c>
      <c r="AJ28" s="22" t="inlineStr">
        <is>
          <t>No verified pricing entered.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 t="n"/>
      <c r="N29" s="19" t="n"/>
      <c r="O29" s="19">
        <f>IF(K29="","",ROUND(MAX(0,10*(1-K29/Filters!$B$5)),1))</f>
        <v/>
      </c>
      <c r="P29" s="19" t="n"/>
      <c r="Q29" s="19" t="n"/>
      <c r="R29" s="19" t="n"/>
      <c r="S29" s="19" t="n"/>
      <c r="T29" s="19" t="n"/>
      <c r="U29" s="19" t="n"/>
      <c r="V29" s="19" t="n"/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/>
      <c r="H30" s="18" t="inlineStr">
        <is>
          <t>Not verified in report</t>
        </is>
      </c>
      <c r="I30" s="18" t="str"/>
      <c r="J30" s="19" t="n">
        <v>34</v>
      </c>
      <c r="K30" s="19" t="n">
        <v>10</v>
      </c>
      <c r="L30" s="18" t="inlineStr">
        <is>
          <t>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[Awaiting search]</t>
        </is>
      </c>
      <c r="AH30" s="22" t="inlineStr">
        <is>
          <t>26 Oct 2026</t>
        </is>
      </c>
      <c r="AI30" s="22" t="inlineStr">
        <is>
          <t>Needs data</t>
        </is>
      </c>
      <c r="AJ30" s="22" t="inlineStr">
        <is>
          <t>No verified pricing entered.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/>
      <c r="H31" s="18" t="inlineStr">
        <is>
          <t>Not verified in report</t>
        </is>
      </c>
      <c r="I31" s="18" t="str"/>
      <c r="J31" s="19" t="n">
        <v>40</v>
      </c>
      <c r="K31" s="19" t="n">
        <v>15</v>
      </c>
      <c r="L31" s="18" t="inlineStr">
        <is>
          <t>Needs data</t>
        </is>
      </c>
      <c r="M31" s="19" t="n"/>
      <c r="N31" s="19" t="n"/>
      <c r="O31" s="19">
        <f>IF(K31="","",ROUND(MAX(0,10*(1-K31/Filters!$B$5)),1))</f>
        <v/>
      </c>
      <c r="P31" s="19" t="n"/>
      <c r="Q31" s="19" t="n"/>
      <c r="R31" s="19" t="n"/>
      <c r="S31" s="19" t="n"/>
      <c r="T31" s="19" t="n"/>
      <c r="U31" s="19" t="n"/>
      <c r="V31" s="19" t="n"/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passenger train; bus to Frankston (per sheet note)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[Awaiting search]</t>
        </is>
      </c>
      <c r="AH31" s="22" t="inlineStr">
        <is>
          <t>26 Oct 2026</t>
        </is>
      </c>
      <c r="AI31" s="22" t="inlineStr">
        <is>
          <t>Needs data</t>
        </is>
      </c>
      <c r="AJ31" s="22" t="inlineStr">
        <is>
          <t>No verified pricing entered.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Needs data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/>
      <c r="K34" s="19" t="n"/>
      <c r="L34" s="18" t="inlineStr">
        <is>
          <t>Needs data</t>
        </is>
      </c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/>
      <c r="H35" s="18" t="inlineStr">
        <is>
          <t>Not verified in report</t>
        </is>
      </c>
      <c r="I35" s="18" t="str"/>
      <c r="J35" s="19" t="n"/>
      <c r="K35" s="19" t="n"/>
      <c r="L35" s="18" t="inlineStr">
        <is>
          <t>Needs data</t>
        </is>
      </c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[Awaiting search]</t>
        </is>
      </c>
      <c r="AH35" s="22" t="inlineStr">
        <is>
          <t>26 Oct 2026</t>
        </is>
      </c>
      <c r="AI35" s="22" t="inlineStr">
        <is>
          <t>Needs data</t>
        </is>
      </c>
      <c r="AJ35" s="22" t="inlineStr">
        <is>
          <t>No verified pricing entered.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/>
      <c r="H36" s="18" t="inlineStr">
        <is>
          <t>Not verified in report</t>
        </is>
      </c>
      <c r="I36" s="18" t="str"/>
      <c r="J36" s="19" t="n"/>
      <c r="K36" s="19" t="n"/>
      <c r="L36" s="18" t="inlineStr">
        <is>
          <t>Needs data</t>
        </is>
      </c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[Awaiting search]</t>
        </is>
      </c>
      <c r="AH36" s="22" t="inlineStr">
        <is>
          <t>26 Oct 2026</t>
        </is>
      </c>
      <c r="AI36" s="22" t="inlineStr">
        <is>
          <t>Needs data</t>
        </is>
      </c>
      <c r="AJ36" s="22" t="inlineStr">
        <is>
          <t>No verified pricing entered.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/>
      <c r="H37" s="18" t="inlineStr">
        <is>
          <t>Not verified in report</t>
        </is>
      </c>
      <c r="I37" s="18" t="str"/>
      <c r="J37" s="19" t="n"/>
      <c r="K37" s="19" t="n"/>
      <c r="L37" s="18" t="inlineStr">
        <is>
          <t>Needs data</t>
        </is>
      </c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[Awaiting search]</t>
        </is>
      </c>
      <c r="AH37" s="22" t="inlineStr">
        <is>
          <t>26 Oct 2026</t>
        </is>
      </c>
      <c r="AI37" s="22" t="inlineStr">
        <is>
          <t>Needs data</t>
        </is>
      </c>
      <c r="AJ37" s="22" t="inlineStr">
        <is>
          <t>No verified pricing entered.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/>
      <c r="H38" s="18" t="inlineStr">
        <is>
          <t>Not verified in report</t>
        </is>
      </c>
      <c r="I38" s="18" t="str"/>
      <c r="J38" s="19" t="n"/>
      <c r="K38" s="19" t="n"/>
      <c r="L38" s="18" t="inlineStr">
        <is>
          <t>Needs data</t>
        </is>
      </c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[Awaiting search]</t>
        </is>
      </c>
      <c r="AH38" s="22" t="inlineStr">
        <is>
          <t>26 Oct 2026</t>
        </is>
      </c>
      <c r="AI38" s="22" t="inlineStr">
        <is>
          <t>Needs data</t>
        </is>
      </c>
      <c r="AJ38" s="22" t="inlineStr">
        <is>
          <t>No verified pricing entered.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/>
      <c r="H39" s="18" t="inlineStr">
        <is>
          <t>Not verified in report</t>
        </is>
      </c>
      <c r="I39" s="18" t="str"/>
      <c r="J39" s="19" t="n"/>
      <c r="K39" s="19" t="n"/>
      <c r="L39" s="18" t="inlineStr">
        <is>
          <t>Needs data</t>
        </is>
      </c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[Awaiting search]</t>
        </is>
      </c>
      <c r="AH39" s="22" t="inlineStr">
        <is>
          <t>26 Oct 2026</t>
        </is>
      </c>
      <c r="AI39" s="22" t="inlineStr">
        <is>
          <t>Needs data</t>
        </is>
      </c>
      <c r="AJ39" s="22" t="inlineStr">
        <is>
          <t>No verified pricing entered.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/>
      <c r="H40" s="18" t="inlineStr">
        <is>
          <t>Not verified in report</t>
        </is>
      </c>
      <c r="I40" s="18" t="str"/>
      <c r="J40" s="19" t="n"/>
      <c r="K40" s="19" t="n"/>
      <c r="L40" s="18" t="inlineStr">
        <is>
          <t>Needs data</t>
        </is>
      </c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[Awaiting search]</t>
        </is>
      </c>
      <c r="AH40" s="22" t="inlineStr">
        <is>
          <t>26 Oct 2026</t>
        </is>
      </c>
      <c r="AI40" s="22" t="inlineStr">
        <is>
          <t>Needs data</t>
        </is>
      </c>
      <c r="AJ40" s="22" t="inlineStr">
        <is>
          <t>No verified pricing entered.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/>
      <c r="H41" s="18" t="inlineStr">
        <is>
          <t>Not verified in report</t>
        </is>
      </c>
      <c r="I41" s="18" t="str"/>
      <c r="J41" s="19" t="n">
        <v>31</v>
      </c>
      <c r="K41" s="19" t="n">
        <v>4</v>
      </c>
      <c r="L41" s="18" t="inlineStr">
        <is>
          <t>Needs data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 in suburb; Frankston station nearby (recall; verify)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[Awaiting search]</t>
        </is>
      </c>
      <c r="AH41" s="22" t="inlineStr">
        <is>
          <t>26 Oct 2026</t>
        </is>
      </c>
      <c r="AI41" s="22" t="inlineStr">
        <is>
          <t>Needs data</t>
        </is>
      </c>
      <c r="AJ41" s="22" t="inlineStr">
        <is>
          <t>No verified pricing entered.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/>
      <c r="H42" s="18" t="inlineStr">
        <is>
          <t>Not verified in report</t>
        </is>
      </c>
      <c r="I42" s="18" t="str"/>
      <c r="J42" s="19" t="n"/>
      <c r="K42" s="19" t="n"/>
      <c r="L42" s="18" t="inlineStr">
        <is>
          <t>Needs data</t>
        </is>
      </c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[Awaiting search]</t>
        </is>
      </c>
      <c r="AH42" s="22" t="inlineStr">
        <is>
          <t>26 Oct 2026</t>
        </is>
      </c>
      <c r="AI42" s="22" t="inlineStr">
        <is>
          <t>Needs data</t>
        </is>
      </c>
      <c r="AJ42" s="22" t="inlineStr">
        <is>
          <t>No verified pricing entered.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/>
      <c r="H43" s="18" t="inlineStr">
        <is>
          <t>Not verified in report</t>
        </is>
      </c>
      <c r="I43" s="18" t="str"/>
      <c r="J43" s="19" t="n"/>
      <c r="K43" s="19" t="n"/>
      <c r="L43" s="18" t="inlineStr">
        <is>
          <t>Needs data</t>
        </is>
      </c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[Awaiting search]</t>
        </is>
      </c>
      <c r="AH43" s="22" t="inlineStr">
        <is>
          <t>26 Oct 2026</t>
        </is>
      </c>
      <c r="AI43" s="22" t="inlineStr">
        <is>
          <t>Needs data</t>
        </is>
      </c>
      <c r="AJ43" s="22" t="inlineStr">
        <is>
          <t>No verified pricing entered.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/>
      <c r="H44" s="18" t="inlineStr">
        <is>
          <t>Not verified in report</t>
        </is>
      </c>
      <c r="I44" s="18" t="str"/>
      <c r="J44" s="19" t="n"/>
      <c r="K44" s="19" t="n"/>
      <c r="L44" s="18" t="inlineStr">
        <is>
          <t>Needs data</t>
        </is>
      </c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[Awaiting search]</t>
        </is>
      </c>
      <c r="AH44" s="22" t="inlineStr">
        <is>
          <t>26 Oct 2026</t>
        </is>
      </c>
      <c r="AI44" s="22" t="inlineStr">
        <is>
          <t>Needs data</t>
        </is>
      </c>
      <c r="AJ44" s="22" t="inlineStr">
        <is>
          <t>No verified pricing entered.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 t="n"/>
      <c r="N45" s="19" t="n"/>
      <c r="O45" s="19">
        <f>IF(K45="","",ROUND(MAX(0,10*(1-K45/Filters!$B$5)),1))</f>
        <v/>
      </c>
      <c r="P45" s="19" t="n"/>
      <c r="Q45" s="19" t="n"/>
      <c r="R45" s="19" t="n"/>
      <c r="S45" s="19" t="n"/>
      <c r="T45" s="19" t="n"/>
      <c r="U45" s="19" t="n"/>
      <c r="V45" s="19" t="n"/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/>
      <c r="H46" s="18" t="inlineStr">
        <is>
          <t>Not verified in report</t>
        </is>
      </c>
      <c r="I46" s="18" t="str"/>
      <c r="J46" s="19" t="n"/>
      <c r="K46" s="19" t="n"/>
      <c r="L46" s="18" t="inlineStr">
        <is>
          <t>Needs data</t>
        </is>
      </c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[Awaiting search]</t>
        </is>
      </c>
      <c r="AH46" s="22" t="inlineStr">
        <is>
          <t>26 Oct 2026</t>
        </is>
      </c>
      <c r="AI46" s="22" t="inlineStr">
        <is>
          <t>Needs data</t>
        </is>
      </c>
      <c r="AJ46" s="22" t="inlineStr">
        <is>
          <t>No verified pricing entered.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/>
      <c r="H47" s="18" t="inlineStr">
        <is>
          <t>Not verified in report</t>
        </is>
      </c>
      <c r="I47" s="18" t="str"/>
      <c r="J47" s="19" t="n"/>
      <c r="K47" s="19" t="n"/>
      <c r="L47" s="18" t="inlineStr">
        <is>
          <t>Needs data</t>
        </is>
      </c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[Awaiting search]</t>
        </is>
      </c>
      <c r="AH47" s="22" t="inlineStr">
        <is>
          <t>26 Oct 2026</t>
        </is>
      </c>
      <c r="AI47" s="22" t="inlineStr">
        <is>
          <t>Needs data</t>
        </is>
      </c>
      <c r="AJ47" s="22" t="inlineStr">
        <is>
          <t>No verified pricing entered.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/>
      <c r="H48" s="18" t="inlineStr">
        <is>
          <t>Not verified in report</t>
        </is>
      </c>
      <c r="I48" s="18" t="str"/>
      <c r="J48" s="19" t="n"/>
      <c r="K48" s="19" t="n"/>
      <c r="L48" s="18" t="inlineStr">
        <is>
          <t>Needs data</t>
        </is>
      </c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[Awaiting search]</t>
        </is>
      </c>
      <c r="AH48" s="22" t="inlineStr">
        <is>
          <t>26 Oct 2026</t>
        </is>
      </c>
      <c r="AI48" s="22" t="inlineStr">
        <is>
          <t>Needs data</t>
        </is>
      </c>
      <c r="AJ48" s="22" t="inlineStr">
        <is>
          <t>No verified pricing entered.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/>
      <c r="H51" s="16" t="inlineStr">
        <is>
          <t>Not verified</t>
        </is>
      </c>
      <c r="I51" s="16" t="str"/>
      <c r="L51" s="16" t="inlineStr">
        <is>
          <t>Needs data</t>
        </is>
      </c>
      <c r="O51" s="16">
        <f>IF(K51="","",ROUND(MAX(0,10*(1-K51/Filters!$B$5)),1))</f>
        <v/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passenger rail on the Peninsula south of Frankston (from recall; verify)</t>
        </is>
      </c>
      <c r="AD51" s="16" t="inlineStr">
        <is>
          <t>Needs data (verify Frankston/Peninsula Univ Hospital vs local)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[Awaiting search]</t>
        </is>
      </c>
      <c r="AH51" s="22" t="inlineStr">
        <is>
          <t>26 Oct 2026</t>
        </is>
      </c>
      <c r="AI51" s="22" t="inlineStr">
        <is>
          <t>Needs data</t>
        </is>
      </c>
      <c r="AJ51" s="22" t="inlineStr">
        <is>
          <t>No verified pricing entered.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/>
      <c r="H52" s="16" t="inlineStr">
        <is>
          <t>Not verified</t>
        </is>
      </c>
      <c r="I52" s="16" t="str"/>
      <c r="L52" s="16" t="inlineStr">
        <is>
          <t>Needs data</t>
        </is>
      </c>
      <c r="O52" s="16">
        <f>IF(K52="","",ROUND(MAX(0,10*(1-K52/Filters!$B$5)),1))</f>
        <v/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passenger rail on the Peninsula south of Frankston (from recall; verify)</t>
        </is>
      </c>
      <c r="AD52" s="16" t="inlineStr">
        <is>
          <t>Needs data (verify Frankston/Peninsula Univ Hospital vs local)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[Awaiting search]</t>
        </is>
      </c>
      <c r="AH52" s="22" t="inlineStr">
        <is>
          <t>26 Oct 2026</t>
        </is>
      </c>
      <c r="AI52" s="22" t="inlineStr">
        <is>
          <t>Needs data</t>
        </is>
      </c>
      <c r="AJ52" s="22" t="inlineStr">
        <is>
          <t>No verified pricing entered.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/>
      <c r="H53" s="16" t="inlineStr">
        <is>
          <t>Not verified</t>
        </is>
      </c>
      <c r="I53" s="16" t="str"/>
      <c r="L53" s="16" t="inlineStr">
        <is>
          <t>Needs data</t>
        </is>
      </c>
      <c r="O53" s="16">
        <f>IF(K53="","",ROUND(MAX(0,10*(1-K53/Filters!$B$5)),1))</f>
        <v/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C53" s="16" t="inlineStr">
        <is>
          <t>Needs data</t>
        </is>
      </c>
      <c r="AD53" s="16" t="inlineStr">
        <is>
          <t>Needs data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[Awaiting search]</t>
        </is>
      </c>
      <c r="AH53" s="22" t="inlineStr">
        <is>
          <t>26 Oct 2026</t>
        </is>
      </c>
      <c r="AI53" s="22" t="inlineStr">
        <is>
          <t>Needs data</t>
        </is>
      </c>
      <c r="AJ53" s="22" t="inlineStr">
        <is>
          <t>No verified pricing entered.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/>
      <c r="H54" s="16" t="inlineStr">
        <is>
          <t>Not verified</t>
        </is>
      </c>
      <c r="I54" s="16" t="str"/>
      <c r="L54" s="16" t="inlineStr">
        <is>
          <t>Needs data</t>
        </is>
      </c>
      <c r="O54" s="16">
        <f>IF(K54="","",ROUND(MAX(0,10*(1-K54/Filters!$B$5)),1))</f>
        <v/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C54" s="16" t="inlineStr">
        <is>
          <t>Needs data</t>
        </is>
      </c>
      <c r="AD54" s="16" t="inlineStr">
        <is>
          <t>Needs data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[Awaiting search]</t>
        </is>
      </c>
      <c r="AH54" s="22" t="inlineStr">
        <is>
          <t>26 Oct 2026</t>
        </is>
      </c>
      <c r="AI54" s="22" t="inlineStr">
        <is>
          <t>Needs data</t>
        </is>
      </c>
      <c r="AJ54" s="22" t="inlineStr">
        <is>
          <t>No verified pricing entered.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/>
      <c r="H55" s="16" t="inlineStr">
        <is>
          <t>Not verified</t>
        </is>
      </c>
      <c r="I55" s="16" t="str"/>
      <c r="L55" s="16" t="inlineStr">
        <is>
          <t>Needs data</t>
        </is>
      </c>
      <c r="O55" s="16">
        <f>IF(K55="","",ROUND(MAX(0,10*(1-K55/Filters!$B$5)),1))</f>
        <v/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C55" s="16" t="inlineStr">
        <is>
          <t>Needs data</t>
        </is>
      </c>
      <c r="AD55" s="16" t="inlineStr">
        <is>
          <t>Needs data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[Awaiting search]</t>
        </is>
      </c>
      <c r="AH55" s="22" t="inlineStr">
        <is>
          <t>26 Oct 2026</t>
        </is>
      </c>
      <c r="AI55" s="22" t="inlineStr">
        <is>
          <t>Needs data</t>
        </is>
      </c>
      <c r="AJ55" s="22" t="inlineStr">
        <is>
          <t>No verified pricing entered.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/>
      <c r="H56" s="16" t="inlineStr">
        <is>
          <t>Not verified</t>
        </is>
      </c>
      <c r="I56" s="16" t="str"/>
      <c r="L56" s="16" t="inlineStr">
        <is>
          <t>Needs data</t>
        </is>
      </c>
      <c r="O56" s="16">
        <f>IF(K56="","",ROUND(MAX(0,10*(1-K56/Filters!$B$5)),1))</f>
        <v/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C56" s="16" t="inlineStr">
        <is>
          <t>Needs data</t>
        </is>
      </c>
      <c r="AD56" s="16" t="inlineStr">
        <is>
          <t>Needs data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[Awaiting search]</t>
        </is>
      </c>
      <c r="AH56" s="22" t="inlineStr">
        <is>
          <t>26 Oct 2026</t>
        </is>
      </c>
      <c r="AI56" s="22" t="inlineStr">
        <is>
          <t>Needs data</t>
        </is>
      </c>
      <c r="AJ56" s="22" t="inlineStr">
        <is>
          <t>No verified pricing entered.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O57" s="22">
        <f>IF(K57="","",ROUND(MAX(0,10*(1-K57/Filters!$B$5)),1))</f>
        <v/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O58" s="22">
        <f>IF(K58="","",ROUND(MAX(0,10*(1-K58/Filters!$B$5)),1))</f>
        <v/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O59" s="22">
        <f>IF(K59="","",ROUND(MAX(0,10*(1-K59/Filters!$B$5)),1))</f>
        <v/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</t>
        </is>
      </c>
      <c r="AB59" s="22" t="inlineStr">
        <is>
          <t>Yes</t>
        </is>
      </c>
      <c r="AC59" s="22" t="inlineStr">
        <is>
          <t>Seaford station, Frankston line (recall; verify)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O60" s="22">
        <f>IF(K60="","",ROUND(MAX(0,10*(1-K60/Filters!$B$5)),1))</f>
        <v/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</t>
        </is>
      </c>
      <c r="AB60" s="22" t="inlineStr">
        <is>
          <t>Yes</t>
        </is>
      </c>
      <c r="AC60" s="22" t="inlineStr">
        <is>
          <t>Chelsea station, Frankston line (recall; verify)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O62" s="22">
        <f>IF(K62="","",ROUND(MAX(0,10*(1-K62/Filters!$B$5)),1))</f>
        <v/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O63" s="22">
        <f>IF(K63="","",ROUND(MAX(0,10*(1-K63/Filters!$B$5)),1))</f>
        <v/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O64" s="22">
        <f>IF(K64="","",ROUND(MAX(0,10*(1-K64/Filters!$B$5)),1))</f>
        <v/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</t>
        </is>
      </c>
      <c r="AB64" s="22" t="inlineStr">
        <is>
          <t>Yes</t>
        </is>
      </c>
      <c r="AC64" s="22" t="inlineStr">
        <is>
          <t>Mordialloc station, Frankston line (recall; verify)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O65" s="22">
        <f>IF(K65="","",ROUND(MAX(0,10*(1-K65/Filters!$B$5)),1))</f>
        <v/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</t>
        </is>
      </c>
      <c r="AB65" s="22" t="inlineStr">
        <is>
          <t>Yes</t>
        </is>
      </c>
      <c r="AC65" s="22" t="inlineStr">
        <is>
          <t>Newport station, Werribee/Williamstown lines (recall; verify)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O66" s="22">
        <f>IF(K66="","",ROUND(MAX(0,10*(1-K66/Filters!$B$5)),1))</f>
        <v/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22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</row>
    <row r="3" ht="15" customHeight="1" s="15">
      <c r="A3" s="22" t="n">
        <v>2</v>
      </c>
      <c r="B3" s="22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</row>
    <row r="4" ht="15" customHeight="1" s="15">
      <c r="A4" s="22" t="n">
        <v>3</v>
      </c>
      <c r="B4" s="22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</row>
    <row r="5" ht="15" customHeight="1" s="15">
      <c r="A5" s="22" t="n">
        <v>4</v>
      </c>
      <c r="B5" s="22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</row>
    <row r="6" ht="15" customHeight="1" s="15">
      <c r="A6" s="22" t="n">
        <v>5</v>
      </c>
      <c r="B6" s="22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</row>
    <row r="7" ht="15" customHeight="1" s="15">
      <c r="A7" s="22" t="n">
        <v>6</v>
      </c>
      <c r="B7" s="22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</row>
    <row r="8" ht="15" customHeight="1" s="15">
      <c r="A8" s="22" t="n">
        <v>7</v>
      </c>
      <c r="B8" s="22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</row>
    <row r="9" ht="15" customHeight="1" s="15">
      <c r="A9" s="22" t="n">
        <v>8</v>
      </c>
      <c r="B9" s="22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</row>
    <row r="10" ht="15" customHeight="1" s="15">
      <c r="A10" s="22" t="n">
        <v>9</v>
      </c>
      <c r="B10" s="22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</row>
    <row r="11" ht="15" customHeight="1" s="15">
      <c r="A11" s="22" t="n">
        <v>10</v>
      </c>
      <c r="B11" s="22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</row>
    <row r="12" ht="15" customHeight="1" s="15">
      <c r="A12" s="22" t="n">
        <v>11</v>
      </c>
      <c r="B12" s="22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</row>
    <row r="13" ht="15" customHeight="1" s="15">
      <c r="A13" s="22" t="n">
        <v>12</v>
      </c>
      <c r="B13" s="22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</row>
    <row r="14" ht="15" customHeight="1" s="15">
      <c r="A14" s="22" t="n">
        <v>13</v>
      </c>
      <c r="B14" s="22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</row>
    <row r="15" ht="15" customHeight="1" s="15">
      <c r="A15" s="22" t="n">
        <v>14</v>
      </c>
      <c r="B15" s="22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</row>
    <row r="16" ht="15" customHeight="1" s="15">
      <c r="A16" s="22" t="n">
        <v>15</v>
      </c>
      <c r="B16" s="22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</row>
    <row r="17" ht="15" customHeight="1" s="15">
      <c r="A17" s="22" t="n">
        <v>16</v>
      </c>
      <c r="B17" s="22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</row>
    <row r="18" ht="15" customHeight="1" s="15">
      <c r="A18" s="22" t="n">
        <v>17</v>
      </c>
      <c r="B18" s="22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</row>
    <row r="19" ht="15" customHeight="1" s="15">
      <c r="A19" s="22" t="n">
        <v>18</v>
      </c>
      <c r="B19" s="22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</row>
    <row r="20" ht="15" customHeight="1" s="15">
      <c r="A20" s="22" t="n">
        <v>19</v>
      </c>
      <c r="B20" s="22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</row>
    <row r="21" ht="15" customHeight="1" s="15">
      <c r="A21" s="22" t="n">
        <v>20</v>
      </c>
      <c r="B21" s="22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</row>
    <row r="22" ht="15" customHeight="1" s="15">
      <c r="A22" s="22" t="n">
        <v>21</v>
      </c>
      <c r="B22" s="22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</row>
    <row r="23" ht="15" customHeight="1" s="15">
      <c r="A23" s="22" t="n">
        <v>22</v>
      </c>
      <c r="B23" s="22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</row>
    <row r="24" ht="15" customHeight="1" s="15">
      <c r="A24" s="22" t="n">
        <v>23</v>
      </c>
      <c r="B24" s="22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</row>
    <row r="25" ht="15" customHeight="1" s="15">
      <c r="A25" s="22" t="n">
        <v>24</v>
      </c>
      <c r="B25" s="22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</row>
    <row r="26" ht="15" customHeight="1" s="15">
      <c r="A26" s="22" t="n">
        <v>25</v>
      </c>
      <c r="B26" s="22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</row>
    <row r="27" ht="15" customHeight="1" s="15">
      <c r="A27" s="22" t="n">
        <v>26</v>
      </c>
      <c r="B27" s="22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</row>
    <row r="28" ht="15" customHeight="1" s="15">
      <c r="A28" s="22" t="n">
        <v>27</v>
      </c>
      <c r="B28" s="22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</row>
    <row r="29" ht="15" customHeight="1" s="15">
      <c r="A29" s="22" t="n">
        <v>28</v>
      </c>
      <c r="B29" s="22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</row>
    <row r="30" ht="15" customHeight="1" s="15">
      <c r="A30" s="22" t="n">
        <v>29</v>
      </c>
      <c r="B30" s="22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</row>
    <row r="31" ht="15" customHeight="1" s="15">
      <c r="A31" s="22" t="n">
        <v>30</v>
      </c>
      <c r="B31" s="22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</row>
    <row r="32" ht="15" customHeight="1" s="15">
      <c r="A32" s="22" t="n">
        <v>31</v>
      </c>
      <c r="B32" s="22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</row>
    <row r="33" ht="15" customHeight="1" s="15">
      <c r="A33" s="22" t="n">
        <v>32</v>
      </c>
      <c r="B33" s="22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t="inlineStr">
        <is>
          <t>Mum</t>
        </is>
      </c>
      <c r="E23">
        <f>CleanedAnswers!B36</f>
        <v/>
      </c>
      <c r="F23">
        <f>CleanedAnswers!B37</f>
        <v/>
      </c>
    </row>
    <row r="24">
      <c r="D24" t="inlineStr">
        <is>
          <t>Dad</t>
        </is>
      </c>
      <c r="E24">
        <f>CleanedAnswers!C36</f>
        <v/>
      </c>
      <c r="F24">
        <f>CleanedAnswers!C37</f>
        <v/>
      </c>
    </row>
    <row r="25">
      <c r="D25" t="inlineStr">
        <is>
          <t>Me</t>
        </is>
      </c>
      <c r="E25">
        <f>CleanedAnswers!D36</f>
        <v/>
      </c>
      <c r="F25">
        <f>CleanedAnswers!D37</f>
        <v/>
      </c>
    </row>
    <row r="26">
      <c r="D26" s="16" t="inlineStr">
        <is>
          <t>Q14 if driving gets hard</t>
        </is>
      </c>
    </row>
    <row r="27">
      <c r="D27" t="inlineStr">
        <is>
          <t>Mum</t>
        </is>
      </c>
      <c r="E27">
        <f>CleanedAnswers!B38</f>
        <v/>
      </c>
    </row>
    <row r="28">
      <c r="D28" t="inlineStr">
        <is>
          <t>Dad</t>
        </is>
      </c>
      <c r="E28">
        <f>CleanedAnswers!C38</f>
        <v/>
      </c>
    </row>
    <row r="29">
      <c r="D29" t="inlineStr">
        <is>
          <t>Me</t>
        </is>
      </c>
      <c r="E29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2026-10-27T02:19:13Z</dcterms:modified>
  <cp:revision>0</cp:revision>
</cp:coreProperties>
</file>