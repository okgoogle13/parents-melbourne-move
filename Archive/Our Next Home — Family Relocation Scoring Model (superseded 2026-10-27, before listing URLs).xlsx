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"/>
    <numFmt numFmtId="165" formatCode="\$#,##0"/>
    <numFmt numFmtId="166" formatCode="yyyy-mm-dd hh:mm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</row>
    <row r="2" ht="15.75" customHeight="1" s="15">
      <c r="A2" s="16" t="inlineStr">
        <is>
          <t>Q10</t>
        </is>
      </c>
      <c r="B2" s="16" t="inlineStr">
        <is>
          <t>+7.2% from Nature to Near family in GW</t>
        </is>
      </c>
    </row>
    <row r="3" ht="15.75" customHeight="1" s="15">
      <c r="A3" s="16" t="inlineStr">
        <is>
          <t>Q12</t>
        </is>
      </c>
      <c r="B3" s="16" t="inlineStr">
        <is>
          <t>+2.6% from Village character to Shops &amp; doctor</t>
        </is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Forced-choice shift (editable)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</row>
    <row r="6" ht="15.75" customHeight="1" s="15">
      <c r="A6" s="16" t="inlineStr">
        <is>
          <t>Near family in GW</t>
        </is>
      </c>
      <c r="B6" s="16">
        <f>MAX(0,D6+C6)/SUMPRODUCT((D$6:D$15+C$6:C$15&gt;0)*(D$6:D$15+C$6:C$15))</f>
        <v/>
      </c>
      <c r="C6" s="16" t="n">
        <v>0.07199999999999999</v>
      </c>
      <c r="D6" s="16">
        <f>PriorityWeights!K3</f>
        <v/>
      </c>
      <c r="E6" s="16" t="n">
        <v>0.153</v>
      </c>
    </row>
    <row r="7" ht="15.75" customHeight="1" s="15">
      <c r="A7" s="16" t="inlineStr">
        <is>
          <t>Nature</t>
        </is>
      </c>
      <c r="B7" s="16">
        <f>MAX(0,D7+C7)/SUMPRODUCT((D$6:D$15+C$6:C$15&gt;0)*(D$6:D$15+C$6:C$15))</f>
        <v/>
      </c>
      <c r="C7" s="16" t="n">
        <v>-0.07199999999999999</v>
      </c>
      <c r="D7" s="16">
        <f>PriorityWeights!K2</f>
        <v/>
      </c>
      <c r="E7" s="16" t="n">
        <v>0.133</v>
      </c>
    </row>
    <row r="8" ht="15.75" customHeight="1" s="15">
      <c r="A8" s="16" t="inlineStr">
        <is>
          <t>Hospital</t>
        </is>
      </c>
      <c r="B8" s="16">
        <f>MAX(0,D8+C8)/SUMPRODUCT((D$6:D$15+C$6:C$15&gt;0)*(D$6:D$15+C$6:C$15))</f>
        <v/>
      </c>
      <c r="C8" s="16" t="n">
        <v>0</v>
      </c>
      <c r="D8" s="16">
        <f>PriorityWeights!K6</f>
        <v/>
      </c>
      <c r="E8" s="16" t="n">
        <v>0.133</v>
      </c>
    </row>
    <row r="9" ht="15.75" customHeight="1" s="15">
      <c r="A9" s="16" t="inlineStr">
        <is>
          <t>Indian community</t>
        </is>
      </c>
      <c r="B9" s="16">
        <f>MAX(0,D9+C9)/SUMPRODUCT((D$6:D$15+C$6:C$15&gt;0)*(D$6:D$15+C$6:C$15))</f>
        <v/>
      </c>
      <c r="C9" s="16" t="n">
        <v>0</v>
      </c>
      <c r="D9" s="16">
        <f>PriorityWeights!K4</f>
        <v/>
      </c>
      <c r="E9" s="16" t="n">
        <v>0.117</v>
      </c>
    </row>
    <row r="10" ht="15.75" customHeight="1" s="15">
      <c r="A10" s="16" t="inlineStr">
        <is>
          <t>Shops &amp; doctor</t>
        </is>
      </c>
      <c r="B10" s="16">
        <f>MAX(0,D10+C10)/SUMPRODUCT((D$6:D$15+C$6:C$15&gt;0)*(D$6:D$15+C$6:C$15))</f>
        <v/>
      </c>
      <c r="C10" s="16" t="n">
        <v>0.026</v>
      </c>
      <c r="D10" s="16">
        <f>PriorityWeights!K8</f>
        <v/>
      </c>
      <c r="E10" s="16" t="n">
        <v>0.108</v>
      </c>
    </row>
    <row r="11" ht="15.75" customHeight="1" s="15">
      <c r="A11" s="16" t="inlineStr">
        <is>
          <t>Village character</t>
        </is>
      </c>
      <c r="B11" s="16">
        <f>MAX(0,D11+C11)/SUMPRODUCT((D$6:D$15+C$6:C$15&gt;0)*(D$6:D$15+C$6:C$15))</f>
        <v/>
      </c>
      <c r="C11" s="16" t="n">
        <v>-0.026</v>
      </c>
      <c r="D11" s="16">
        <f>PriorityWeights!K9</f>
        <v/>
      </c>
      <c r="E11" s="16" t="n">
        <v>0.08799999999999999</v>
      </c>
    </row>
    <row r="12" ht="15.75" customHeight="1" s="15">
      <c r="A12" s="16" t="inlineStr">
        <is>
          <t>Train/bus</t>
        </is>
      </c>
      <c r="B12" s="16">
        <f>MAX(0,D12+C12)/SUMPRODUCT((D$6:D$15+C$6:C$15&gt;0)*(D$6:D$15+C$6:C$15))</f>
        <v/>
      </c>
      <c r="C12" s="16" t="n">
        <v>0</v>
      </c>
      <c r="D12" s="16">
        <f>PriorityWeights!K7</f>
        <v/>
      </c>
      <c r="E12" s="16" t="n">
        <v>0.081</v>
      </c>
    </row>
    <row r="13" ht="15.75" customHeight="1" s="15">
      <c r="A13" s="16" t="inlineStr">
        <is>
          <t>Price</t>
        </is>
      </c>
      <c r="B13" s="16">
        <f>MAX(0,D13+C13)/SUMPRODUCT((D$6:D$15+C$6:C$15&gt;0)*(D$6:D$15+C$6:C$15))</f>
        <v/>
      </c>
      <c r="C13" s="16" t="n">
        <v>0</v>
      </c>
      <c r="D13" s="16">
        <f>PriorityWeights!K10</f>
        <v/>
      </c>
      <c r="E13" s="16" t="n">
        <v>0.081</v>
      </c>
    </row>
    <row r="14" ht="15.75" customHeight="1" s="15">
      <c r="A14" s="16" t="inlineStr">
        <is>
          <t>Beach</t>
        </is>
      </c>
      <c r="B14" s="16">
        <f>MAX(0,D14+C14)/SUMPRODUCT((D$6:D$15+C$6:C$15&gt;0)*(D$6:D$15+C$6:C$15))</f>
        <v/>
      </c>
      <c r="C14" s="16" t="n">
        <v>0</v>
      </c>
      <c r="D14" s="16">
        <f>PriorityWeights!K5</f>
        <v/>
      </c>
      <c r="E14" s="16" t="n">
        <v>0.061</v>
      </c>
    </row>
    <row r="15" ht="15.75" customHeight="1" s="15">
      <c r="A15" s="16" t="inlineStr">
        <is>
          <t>City trip</t>
        </is>
      </c>
      <c r="B15" s="16">
        <f>MAX(0,D15+C15)/SUMPRODUCT((D$6:D$15+C$6:C$15&gt;0)*(D$6:D$15+C$6:C$15))</f>
        <v/>
      </c>
      <c r="C15" s="16" t="n">
        <v>0</v>
      </c>
      <c r="D15" s="16">
        <f>PriorityWeights!K11</f>
        <v/>
      </c>
      <c r="E15" s="16" t="n">
        <v>0.045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was typed values (kept in E). Now B = survey weight + shift, renormalised. Shifts carried over from rows Q10/Q12 above; they came from the earlier answers and should be recomputed after the round-2 questionnaire.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t="inlineStr">
        <is>
          <t>No</t>
        </is>
      </c>
      <c r="AC34" t="inlineStr">
        <is>
          <t>No station (line closed); nearest Woodend or Kyneton V/Line (recall; verify)</t>
        </is>
      </c>
      <c r="AD34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 t="n"/>
      <c r="N35" s="19" t="n"/>
      <c r="O35" s="19">
        <f>IF(K35="","",ROUND(MAX(0,10*(1-K35/Filters!$B$5)),1))</f>
        <v/>
      </c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t="inlineStr">
        <is>
          <t>No</t>
        </is>
      </c>
      <c r="AC35" t="inlineStr">
        <is>
          <t>No station; nearest Upwey/Belgrave (recall; verify)</t>
        </is>
      </c>
      <c r="AD35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 t="n"/>
      <c r="N36" s="19" t="n"/>
      <c r="O36" s="19">
        <f>IF(K36="","",ROUND(MAX(0,10*(1-K36/Filters!$B$5)),1))</f>
        <v/>
      </c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t="inlineStr">
        <is>
          <t>No</t>
        </is>
      </c>
      <c r="AC36" t="inlineStr">
        <is>
          <t>No station; nearest Upwey/Belgrave (recall; verify)</t>
        </is>
      </c>
      <c r="AD36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 t="n"/>
      <c r="N37" s="19" t="n"/>
      <c r="O37" s="19">
        <f>IF(K37="","",ROUND(MAX(0,10*(1-K37/Filters!$B$5)),1))</f>
        <v/>
      </c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t="inlineStr">
        <is>
          <t>No</t>
        </is>
      </c>
      <c r="AC37" t="inlineStr">
        <is>
          <t>No station (recall; verify)</t>
        </is>
      </c>
      <c r="AD37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 t="n"/>
      <c r="N38" s="19" t="n"/>
      <c r="O38" s="19">
        <f>IF(K38="","",ROUND(MAX(0,10*(1-K38/Filters!$B$5)),1))</f>
        <v/>
      </c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t="inlineStr">
        <is>
          <t>No</t>
        </is>
      </c>
      <c r="AC38" t="inlineStr">
        <is>
          <t>Puffing Billy tourist railway only (recall; verify)</t>
        </is>
      </c>
      <c r="AD38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 t="n"/>
      <c r="N39" s="19" t="n"/>
      <c r="O39" s="19">
        <f>IF(K39="","",ROUND(MAX(0,10*(1-K39/Filters!$B$5)),1))</f>
        <v/>
      </c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t="inlineStr">
        <is>
          <t>Yes</t>
        </is>
      </c>
      <c r="AC39" t="inlineStr">
        <is>
          <t>Ferntree Gully station, Belgrave line (recall; verify)</t>
        </is>
      </c>
      <c r="AD39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 t="n"/>
      <c r="N40" s="19" t="n"/>
      <c r="O40" s="19">
        <f>IF(K40="","",ROUND(MAX(0,10*(1-K40/Filters!$B$5)),1))</f>
        <v/>
      </c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t="inlineStr">
        <is>
          <t>Yes</t>
        </is>
      </c>
      <c r="AC40" t="inlineStr">
        <is>
          <t>Berwick station, Pakenham line (recall; verify)</t>
        </is>
      </c>
      <c r="AD40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 t="n"/>
      <c r="N42" s="19" t="n"/>
      <c r="O42" s="19">
        <f>IF(K42="","",ROUND(MAX(0,10*(1-K42/Filters!$B$5)),1))</f>
        <v/>
      </c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t="inlineStr">
        <is>
          <t>Yes</t>
        </is>
      </c>
      <c r="AC42" t="inlineStr">
        <is>
          <t>Hurstbridge station, Hurstbridge line terminus (recall; verify)</t>
        </is>
      </c>
      <c r="AD4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t="inlineStr">
        <is>
          <t>Yes</t>
        </is>
      </c>
      <c r="AC43" t="inlineStr">
        <is>
          <t>Ballarat station, V/Line Ballarat line (recall; verify)</t>
        </is>
      </c>
      <c r="AD43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t="inlineStr">
        <is>
          <t>Yes</t>
        </is>
      </c>
      <c r="AC44" t="inlineStr">
        <is>
          <t>Bendigo station, V/Line Bendigo line (recall; verify)</t>
        </is>
      </c>
      <c r="AD44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t="inlineStr">
        <is>
          <t>Yes</t>
        </is>
      </c>
      <c r="AC46" t="inlineStr">
        <is>
          <t>Castlemaine station, V/Line Bendigo line (recall; verify)</t>
        </is>
      </c>
      <c r="AD46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 t="n"/>
      <c r="N47" s="19" t="n"/>
      <c r="O47" s="19">
        <f>IF(K47="","",ROUND(MAX(0,10*(1-K47/Filters!$B$5)),1))</f>
        <v/>
      </c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t="inlineStr">
        <is>
          <t>No</t>
        </is>
      </c>
      <c r="AC47" t="inlineStr">
        <is>
          <t>No passenger rail (recall; verify)</t>
        </is>
      </c>
      <c r="AD47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t="inlineStr">
        <is>
          <t>No</t>
        </is>
      </c>
      <c r="AC48" t="inlineStr">
        <is>
          <t>No passenger rail (recall; verify)</t>
        </is>
      </c>
      <c r="AD48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t="n">
        <v>49</v>
      </c>
      <c r="K51" t="n">
        <v>3</v>
      </c>
      <c r="L51" s="16" t="inlineStr">
        <is>
          <t>Provisional pass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t="n">
        <v>61</v>
      </c>
      <c r="K52" t="n">
        <v>9</v>
      </c>
      <c r="L52" s="16" t="inlineStr">
        <is>
          <t>Provisional pass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t="n">
        <v>67</v>
      </c>
      <c r="K53" t="n">
        <v>34</v>
      </c>
      <c r="L53" s="16" t="inlineStr">
        <is>
          <t>Provisional pass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t="n">
        <v>71</v>
      </c>
      <c r="K54" t="n">
        <v>38</v>
      </c>
      <c r="L54" s="16" t="inlineStr">
        <is>
          <t>Provisional pass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t="n">
        <v>44</v>
      </c>
      <c r="K55" t="n">
        <v>30</v>
      </c>
      <c r="L55" s="16" t="inlineStr">
        <is>
          <t>Provisional pass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t="n">
        <v>57</v>
      </c>
      <c r="K56" t="n">
        <v>9</v>
      </c>
      <c r="L56" s="16" t="inlineStr">
        <is>
          <t>Provisional pass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O57" s="22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O58" s="22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O59" s="22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O60" s="22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O62" s="2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O63" s="22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O64" s="22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O65" s="22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O66" s="22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22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</row>
    <row r="3" ht="15" customHeight="1" s="15">
      <c r="A3" s="22" t="n">
        <v>2</v>
      </c>
      <c r="B3" s="22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</row>
    <row r="4" ht="15" customHeight="1" s="15">
      <c r="A4" s="22" t="n">
        <v>3</v>
      </c>
      <c r="B4" s="22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</row>
    <row r="5" ht="15" customHeight="1" s="15">
      <c r="A5" s="22" t="n">
        <v>4</v>
      </c>
      <c r="B5" s="22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</row>
    <row r="6" ht="15" customHeight="1" s="15">
      <c r="A6" s="22" t="n">
        <v>5</v>
      </c>
      <c r="B6" s="22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</row>
    <row r="7" ht="15" customHeight="1" s="15">
      <c r="A7" s="22" t="n">
        <v>6</v>
      </c>
      <c r="B7" s="22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</row>
    <row r="8" ht="15" customHeight="1" s="15">
      <c r="A8" s="22" t="n">
        <v>7</v>
      </c>
      <c r="B8" s="22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</row>
    <row r="9" ht="15" customHeight="1" s="15">
      <c r="A9" s="22" t="n">
        <v>8</v>
      </c>
      <c r="B9" s="22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</row>
    <row r="10" ht="15" customHeight="1" s="15">
      <c r="A10" s="22" t="n">
        <v>9</v>
      </c>
      <c r="B10" s="22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</row>
    <row r="11" ht="15" customHeight="1" s="15">
      <c r="A11" s="22" t="n">
        <v>10</v>
      </c>
      <c r="B11" s="22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</row>
    <row r="12" ht="15" customHeight="1" s="15">
      <c r="A12" s="22" t="n">
        <v>11</v>
      </c>
      <c r="B12" s="22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</row>
    <row r="13" ht="15" customHeight="1" s="15">
      <c r="A13" s="22" t="n">
        <v>12</v>
      </c>
      <c r="B13" s="22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</row>
    <row r="14" ht="15" customHeight="1" s="15">
      <c r="A14" s="22" t="n">
        <v>13</v>
      </c>
      <c r="B14" s="22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</row>
    <row r="15" ht="15" customHeight="1" s="15">
      <c r="A15" s="22" t="n">
        <v>14</v>
      </c>
      <c r="B15" s="22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</row>
    <row r="16" ht="15" customHeight="1" s="15">
      <c r="A16" s="22" t="n">
        <v>15</v>
      </c>
      <c r="B16" s="22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</row>
    <row r="17" ht="15" customHeight="1" s="15">
      <c r="A17" s="22" t="n">
        <v>16</v>
      </c>
      <c r="B17" s="22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</row>
    <row r="18" ht="15" customHeight="1" s="15">
      <c r="A18" s="22" t="n">
        <v>17</v>
      </c>
      <c r="B18" s="22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</row>
    <row r="19" ht="15" customHeight="1" s="15">
      <c r="A19" s="22" t="n">
        <v>18</v>
      </c>
      <c r="B19" s="22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</row>
    <row r="20" ht="15" customHeight="1" s="15">
      <c r="A20" s="22" t="n">
        <v>19</v>
      </c>
      <c r="B20" s="22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</row>
    <row r="21" ht="15" customHeight="1" s="15">
      <c r="A21" s="22" t="n">
        <v>20</v>
      </c>
      <c r="B21" s="22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</row>
    <row r="22" ht="15" customHeight="1" s="15">
      <c r="A22" s="22" t="n">
        <v>21</v>
      </c>
      <c r="B22" s="22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</row>
    <row r="23" ht="15" customHeight="1" s="15">
      <c r="A23" s="22" t="n">
        <v>22</v>
      </c>
      <c r="B23" s="22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</row>
    <row r="24" ht="15" customHeight="1" s="15">
      <c r="A24" s="22" t="n">
        <v>23</v>
      </c>
      <c r="B24" s="22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</row>
    <row r="25" ht="15" customHeight="1" s="15">
      <c r="A25" s="22" t="n">
        <v>24</v>
      </c>
      <c r="B25" s="22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</row>
    <row r="26" ht="15" customHeight="1" s="15">
      <c r="A26" s="22" t="n">
        <v>25</v>
      </c>
      <c r="B26" s="22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</row>
    <row r="27" ht="15" customHeight="1" s="15">
      <c r="A27" s="22" t="n">
        <v>26</v>
      </c>
      <c r="B27" s="22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</row>
    <row r="28" ht="15" customHeight="1" s="15">
      <c r="A28" s="22" t="n">
        <v>27</v>
      </c>
      <c r="B28" s="22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</row>
    <row r="29" ht="15" customHeight="1" s="15">
      <c r="A29" s="22" t="n">
        <v>28</v>
      </c>
      <c r="B29" s="22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</row>
    <row r="30" ht="15" customHeight="1" s="15">
      <c r="A30" s="22" t="n">
        <v>29</v>
      </c>
      <c r="B30" s="22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</row>
    <row r="31" ht="15" customHeight="1" s="15">
      <c r="A31" s="22" t="n">
        <v>30</v>
      </c>
      <c r="B31" s="22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</row>
    <row r="32" ht="15" customHeight="1" s="15">
      <c r="A32" s="22" t="n">
        <v>31</v>
      </c>
      <c r="B32" s="22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</row>
    <row r="33" ht="15" customHeight="1" s="15">
      <c r="A33" s="22" t="n">
        <v>32</v>
      </c>
      <c r="B33" s="22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2026-10-27T02:30:02Z</dcterms:modified>
  <cp:revision>0</cp:revision>
</cp:coreProperties>
</file>