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rvey" sheetId="2" state="visible" r:id="rId4"/>
    <sheet name="Results" sheetId="3" state="visible" r:id="rId5"/>
    <sheet name="Suburb scorecard" sheetId="4" state="visible" r:id="rId6"/>
    <sheet name="Calc" sheetId="5" state="visible" r:id="rId7"/>
  </sheets>
  <definedNames>
    <definedName function="false" hidden="false" localSheetId="1" name="_xlnm.Print_Titles" vbProcedure="false">Survey!$4:$4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<sst xmlns="http://schemas.openxmlformats.org/spreadsheetml/2006/main" count="434" uniqueCount="294">
  <si>
    <t xml:space="preserve">Parents' move — priorities survey</t>
  </si>
  <si>
    <t xml:space="preserve">For Mum, Dad and me. Fill in the yellow cells only; everything else calculates.</t>
  </si>
  <si>
    <t xml:space="preserve">How to run it</t>
  </si>
  <si>
    <t xml:space="preserve">1. Fill in your own column (Me) first, before you interview them, so their answers can't shift yours.</t>
  </si>
  <si>
    <t xml:space="preserve">2. Ask Mum and Dad separately. Read each question and its options aloud on the Survey sheet; type one letter.</t>
  </si>
  <si>
    <t xml:space="preserve">3. E = none of these / depends. Write what they actually said in Notes.</t>
  </si>
  <si>
    <t xml:space="preserve">4. Q15: no more than two D (Essential) answers each. The check under Q15 flags it.</t>
  </si>
  <si>
    <t xml:space="preserve">5. Don't show them Results or your draft weights until everyone has answered.</t>
  </si>
  <si>
    <t xml:space="preserve">6. Open Results for filters, final weights, what to discuss and next steps. Then score suburbs on the Suburb scorecard.</t>
  </si>
  <si>
    <t xml:space="preserve">Settings (editable)</t>
  </si>
  <si>
    <t xml:space="preserve">Setting</t>
  </si>
  <si>
    <t xml:space="preserve">Value</t>
  </si>
  <si>
    <t xml:space="preserve">Note</t>
  </si>
  <si>
    <t xml:space="preserve">Say in the decision — Mum</t>
  </si>
  <si>
    <t xml:space="preserve">Equal say by default. Lower 'Me' (e.g. 0.5) if Mum and Dad should carry more weight as the buyers.</t>
  </si>
  <si>
    <t xml:space="preserve">Say in the decision — Dad</t>
  </si>
  <si>
    <t xml:space="preserve">Say in the decision — Me</t>
  </si>
  <si>
    <t xml:space="preserve">Q15 answer</t>
  </si>
  <si>
    <t xml:space="preserve">Meaning</t>
  </si>
  <si>
    <t xml:space="preserve">Score</t>
  </si>
  <si>
    <t xml:space="preserve">A</t>
  </si>
  <si>
    <t xml:space="preserve">Not needed</t>
  </si>
  <si>
    <t xml:space="preserve">B</t>
  </si>
  <si>
    <t xml:space="preserve">Nice to have</t>
  </si>
  <si>
    <t xml:space="preserve">C</t>
  </si>
  <si>
    <t xml:space="preserve">Important</t>
  </si>
  <si>
    <t xml:space="preserve">D</t>
  </si>
  <si>
    <t xml:space="preserve">Essential</t>
  </si>
  <si>
    <t xml:space="preserve">D = 4 (not 3) so the capped top tier carries real weight. Set it to 3 for flatter weights.</t>
  </si>
  <si>
    <t xml:space="preserve">Max D answers per person (Q15)</t>
  </si>
  <si>
    <t xml:space="preserve">Purchase costs (stamp duty, fees) as % of price</t>
  </si>
  <si>
    <t xml:space="preserve">Estimate only. Check with the Victorian SRO stamp duty calculator before relying on it.</t>
  </si>
  <si>
    <t xml:space="preserve">Forced-choice margin</t>
  </si>
  <si>
    <t xml:space="preserve">When a Q10–13 pick contradicts Q15, the picked side is moved this far ahead of the other.</t>
  </si>
  <si>
    <t xml:space="preserve">Example answer: Q4 — Mum C, Dad B, Me C → Glen Waverley drive limit = 25 min (the strictest answer wins).</t>
  </si>
  <si>
    <t xml:space="preserve">Survey — read each question aloud, one letter per person</t>
  </si>
  <si>
    <t xml:space="preserve">E = none of these / depends (write what they said in Notes). Ask Mum and Dad separately.</t>
  </si>
  <si>
    <t xml:space="preserve">#</t>
  </si>
  <si>
    <t xml:space="preserve">Section</t>
  </si>
  <si>
    <t xml:space="preserve">Question (read aloud)</t>
  </si>
  <si>
    <t xml:space="preserve">Mum</t>
  </si>
  <si>
    <t xml:space="preserve">Dad</t>
  </si>
  <si>
    <t xml:space="preserve">Me</t>
  </si>
  <si>
    <t xml:space="preserve">Notes</t>
  </si>
  <si>
    <t xml:space="preserve">Q1</t>
  </si>
  <si>
    <t xml:space="preserve">Warm-up</t>
  </si>
  <si>
    <t xml:space="preserve">What did you love most about daily life in Coorabell?</t>
  </si>
  <si>
    <t xml:space="preserve">Green views and quiet</t>
  </si>
  <si>
    <t xml:space="preserve">Being near the beach</t>
  </si>
  <si>
    <t xml:space="preserve">The village and its people</t>
  </si>
  <si>
    <t xml:space="preserve">The space and the garden</t>
  </si>
  <si>
    <t xml:space="preserve">Q2</t>
  </si>
  <si>
    <t xml:space="preserve">What was hardest about Coorabell day to day?</t>
  </si>
  <si>
    <t xml:space="preserve">Driving everywhere</t>
  </si>
  <si>
    <t xml:space="preserve">Being far from family</t>
  </si>
  <si>
    <t xml:space="preserve">Being far from doctors and the hospital</t>
  </si>
  <si>
    <t xml:space="preserve">Looking after the house and land</t>
  </si>
  <si>
    <t xml:space="preserve">Q3</t>
  </si>
  <si>
    <t xml:space="preserve">Dealbreakers</t>
  </si>
  <si>
    <t xml:space="preserve">What's the most you'd spend in total, including stamp duty and moving?</t>
  </si>
  <si>
    <t xml:space="preserve">$1.0m</t>
  </si>
  <si>
    <t xml:space="preserve">$1.25m</t>
  </si>
  <si>
    <t xml:space="preserve">$1.5m</t>
  </si>
  <si>
    <t xml:space="preserve">More, for the right place</t>
  </si>
  <si>
    <t xml:space="preserve">Q4</t>
  </si>
  <si>
    <t xml:space="preserve">What's the longest drive to the family in Glen Waverley you'd accept?</t>
  </si>
  <si>
    <t xml:space="preserve">15 min</t>
  </si>
  <si>
    <t xml:space="preserve">25 min</t>
  </si>
  <si>
    <t xml:space="preserve">35 min</t>
  </si>
  <si>
    <t xml:space="preserve">45 min or more</t>
  </si>
  <si>
    <t xml:space="preserve">Q5</t>
  </si>
  <si>
    <t xml:space="preserve">What's the longest drive to a hospital emergency department you'd accept?</t>
  </si>
  <si>
    <t xml:space="preserve">10 min</t>
  </si>
  <si>
    <t xml:space="preserve">20 min</t>
  </si>
  <si>
    <t xml:space="preserve">30 min</t>
  </si>
  <si>
    <t xml:space="preserve">It doesn't matter much</t>
  </si>
  <si>
    <t xml:space="preserve">Q6</t>
  </si>
  <si>
    <t xml:space="preserve">Stairs inside the home?</t>
  </si>
  <si>
    <t xml:space="preserve">None at all</t>
  </si>
  <si>
    <t xml:space="preserve">Fine if the bedroom and bathroom are downstairs</t>
  </si>
  <si>
    <t xml:space="preserve">Fine anywhere</t>
  </si>
  <si>
    <t xml:space="preserve">—</t>
  </si>
  <si>
    <t xml:space="preserve">Q7</t>
  </si>
  <si>
    <t xml:space="preserve">Garden?</t>
  </si>
  <si>
    <t xml:space="preserve">Small, low upkeep</t>
  </si>
  <si>
    <t xml:space="preserve">Medium, room to grow things</t>
  </si>
  <si>
    <t xml:space="preserve">Large, lots of trees</t>
  </si>
  <si>
    <t xml:space="preserve">No garden is fine</t>
  </si>
  <si>
    <t xml:space="preserve">Q7b</t>
  </si>
  <si>
    <t xml:space="preserve">Dealbreakers (new)</t>
  </si>
  <si>
    <t xml:space="preserve">With all three of us living together, the home needs:</t>
  </si>
  <si>
    <t xml:space="preserve">3 bedrooms</t>
  </si>
  <si>
    <t xml:space="preserve">3 bedrooms + a second living area</t>
  </si>
  <si>
    <t xml:space="preserve">4 bedrooms</t>
  </si>
  <si>
    <t xml:space="preserve">A self-contained space (granny flat or separate unit)</t>
  </si>
  <si>
    <t xml:space="preserve">Q8</t>
  </si>
  <si>
    <t xml:space="preserve">What it means</t>
  </si>
  <si>
    <t xml:space="preserve">When you picture nature near your new home, it's mostly:</t>
  </si>
  <si>
    <t xml:space="preserve">A green outlook from the house</t>
  </si>
  <si>
    <t xml:space="preserve">Bush walks within a short drive</t>
  </si>
  <si>
    <t xml:space="preserve">Hills and forest all around</t>
  </si>
  <si>
    <t xml:space="preserve">Your own garden</t>
  </si>
  <si>
    <t xml:space="preserve">Q9</t>
  </si>
  <si>
    <t xml:space="preserve">Which one thing would make you feel most at home in the community?</t>
  </si>
  <si>
    <t xml:space="preserve">A church or place of worship nearby</t>
  </si>
  <si>
    <t xml:space="preserve">Indian groceries and restaurants</t>
  </si>
  <si>
    <t xml:space="preserve">Friends who share your language or culture</t>
  </si>
  <si>
    <t xml:space="preserve">Friendly neighbours of any background</t>
  </si>
  <si>
    <t xml:space="preserve">Q10</t>
  </si>
  <si>
    <t xml:space="preserve">Trade-off: pick one</t>
  </si>
  <si>
    <t xml:space="preserve">Which would you choose?</t>
  </si>
  <si>
    <t xml:space="preserve">A forest street, 35 min from Glen Waverley</t>
  </si>
  <si>
    <t xml:space="preserve">A leafy suburban street, 15 min from Glen Waverley</t>
  </si>
  <si>
    <t xml:space="preserve">Q11</t>
  </si>
  <si>
    <t xml:space="preserve">Flat suburban streets, beach 10 min away</t>
  </si>
  <si>
    <t xml:space="preserve">Hills and bush, beach an hour away</t>
  </si>
  <si>
    <t xml:space="preserve">Q12</t>
  </si>
  <si>
    <t xml:space="preserve">A quiet street, driving 15 min to the shops and doctor</t>
  </si>
  <si>
    <t xml:space="preserve">A busier street, walking to the shops, doctor and station</t>
  </si>
  <si>
    <t xml:space="preserve">Q13</t>
  </si>
  <si>
    <t xml:space="preserve">Indian shops and community in your own suburb, less green</t>
  </si>
  <si>
    <t xml:space="preserve">Very green, community a 30-min drive away</t>
  </si>
  <si>
    <t xml:space="preserve">Q14</t>
  </si>
  <si>
    <t xml:space="preserve">Later on (optional)</t>
  </si>
  <si>
    <t xml:space="preserve">If driving became hard in 10–15 years, you'd want to:</t>
  </si>
  <si>
    <t xml:space="preserve">Stay put and rely on taxis or family</t>
  </si>
  <si>
    <t xml:space="preserve">Walk to the shops and doctor</t>
  </si>
  <si>
    <t xml:space="preserve">Take the train or bus to family and the hospital</t>
  </si>
  <si>
    <t xml:space="preserve">Move again then</t>
  </si>
  <si>
    <t xml:space="preserve">Q15</t>
  </si>
  <si>
    <t xml:space="preserve">Priorities</t>
  </si>
  <si>
    <t xml:space="preserve">How much does each of these matter to you? (No more than two D's each.)</t>
  </si>
  <si>
    <t xml:space="preserve">Q15.1</t>
  </si>
  <si>
    <t xml:space="preserve">Nature and scenery</t>
  </si>
  <si>
    <t xml:space="preserve">Q15.2</t>
  </si>
  <si>
    <t xml:space="preserve">Near family in Glen Waverley</t>
  </si>
  <si>
    <t xml:space="preserve">Q15.3</t>
  </si>
  <si>
    <t xml:space="preserve">Indian/South Asian community</t>
  </si>
  <si>
    <t xml:space="preserve">Q15.4</t>
  </si>
  <si>
    <t xml:space="preserve">Beach</t>
  </si>
  <si>
    <t xml:space="preserve">Q15.5</t>
  </si>
  <si>
    <t xml:space="preserve">Hospital nearby</t>
  </si>
  <si>
    <t xml:space="preserve">Q15.6</t>
  </si>
  <si>
    <t xml:space="preserve">Train or bus</t>
  </si>
  <si>
    <t xml:space="preserve">Q15.7</t>
  </si>
  <si>
    <t xml:space="preserve">Shops and doctor nearby</t>
  </si>
  <si>
    <t xml:space="preserve">Q15.8</t>
  </si>
  <si>
    <t xml:space="preserve">Village character</t>
  </si>
  <si>
    <t xml:space="preserve">Q15.9</t>
  </si>
  <si>
    <t xml:space="preserve">Price</t>
  </si>
  <si>
    <t xml:space="preserve">Q15.10</t>
  </si>
  <si>
    <t xml:space="preserve">Priorities (new)</t>
  </si>
  <si>
    <t xml:space="preserve">Easy trip to the city (work, outings)</t>
  </si>
  <si>
    <t xml:space="preserve">Q15: number of D answers (max 2)</t>
  </si>
  <si>
    <t xml:space="preserve">Q15: rows answered (of 10)</t>
  </si>
  <si>
    <t xml:space="preserve">Q15 status</t>
  </si>
  <si>
    <t xml:space="preserve">Q1–Q14: answered (of 15)</t>
  </si>
  <si>
    <t xml:space="preserve">Results — updates as the survey is filled in</t>
  </si>
  <si>
    <t xml:space="preserve">Don't show this sheet to Mum and Dad until they've answered. Yellow = your optional tweaks.</t>
  </si>
  <si>
    <t xml:space="preserve">1. Hard filters — rule suburbs out (the strictest answer wins)</t>
  </si>
  <si>
    <t xml:space="preserve">Filter</t>
  </si>
  <si>
    <t xml:space="preserve">Result</t>
  </si>
  <si>
    <t xml:space="preserve">Answers</t>
  </si>
  <si>
    <t xml:space="preserve">Total budget incl. purchase costs</t>
  </si>
  <si>
    <t xml:space="preserve">Max drive to Glen Waverley (min)</t>
  </si>
  <si>
    <t xml:space="preserve">Max drive to an emergency department (min)</t>
  </si>
  <si>
    <t xml:space="preserve">Stairs</t>
  </si>
  <si>
    <t xml:space="preserve">Home size (three adults)</t>
  </si>
  <si>
    <t xml:space="preserve">Garden</t>
  </si>
  <si>
    <t xml:space="preserve">2. Priority weights — Q15 answers, corrected where a Q10–13 pick disagrees</t>
  </si>
  <si>
    <t xml:space="preserve">Combined = each person's Q15 scores turned into shares of 100%, then averaged using 'say in the decision'. Tweak = optional ± percentage points (e.g. 3). Final always re-totals to 100%.</t>
  </si>
  <si>
    <t xml:space="preserve">Priority</t>
  </si>
  <si>
    <t xml:space="preserve">Combined</t>
  </si>
  <si>
    <t xml:space="preserve">Forced-choice correction</t>
  </si>
  <si>
    <t xml:space="preserve">Your tweak (± pts)</t>
  </si>
  <si>
    <t xml:space="preserve">Final weight</t>
  </si>
  <si>
    <t xml:space="preserve">Rank</t>
  </si>
  <si>
    <t xml:space="preserve">Your draft</t>
  </si>
  <si>
    <t xml:space="preserve">Change vs draft</t>
  </si>
  <si>
    <t xml:space="preserve">Follow up</t>
  </si>
  <si>
    <t xml:space="preserve">Total</t>
  </si>
  <si>
    <t xml:space="preserve">Your draft = the weights in 'What the evidence supports'. It had no Glen Waverley or city-trip criterion, so those show 0%.</t>
  </si>
  <si>
    <t xml:space="preserve">3. Forced choices (Q10–13) — trusted over Q15 where they disagree</t>
  </si>
  <si>
    <t xml:space="preserve">Question</t>
  </si>
  <si>
    <t xml:space="preserve">Picked (by say)</t>
  </si>
  <si>
    <t xml:space="preserve">Weight moved</t>
  </si>
  <si>
    <t xml:space="preserve">4. What to measure — and what Coorabell tells you</t>
  </si>
  <si>
    <t xml:space="preserve">Nature means</t>
  </si>
  <si>
    <t xml:space="preserve">Community means</t>
  </si>
  <si>
    <t xml:space="preserve">Measure community by</t>
  </si>
  <si>
    <t xml:space="preserve">Later on (Q14)</t>
  </si>
  <si>
    <t xml:space="preserve">Coorabell: loved most</t>
  </si>
  <si>
    <t xml:space="preserve">Coorabell: hardest</t>
  </si>
  <si>
    <t xml:space="preserve">What that suggests</t>
  </si>
  <si>
    <t xml:space="preserve">5. Discuss together before finalising</t>
  </si>
  <si>
    <t xml:space="preserve">Flagged only where a rule can't settle it: a 2+ step gap on a dealbreaker, Mum and Dad picking differently on a trade-off or garden, or Q15 answers 2+ levels apart. Don't average these.</t>
  </si>
  <si>
    <t xml:space="preserve">6. Next steps</t>
  </si>
  <si>
    <t xml:space="preserve">Suburb scorecard — weights and filters flow in from Results</t>
  </si>
  <si>
    <t xml:space="preserve">Yellow = enter. Scores 0–10 (10 = best for them). Prices prefilled from 'What the evidence supports' (house); replace with the price of the home they'd actually need.</t>
  </si>
  <si>
    <t xml:space="preserve">Budget (incl. costs)</t>
  </si>
  <si>
    <t xml:space="preserve">Max to Glen Waverley</t>
  </si>
  <si>
    <t xml:space="preserve">Max to ED</t>
  </si>
  <si>
    <t xml:space="preserve">Est. costs</t>
  </si>
  <si>
    <t xml:space="preserve">Final weight →</t>
  </si>
  <si>
    <t xml:space="preserve">Suburb</t>
  </si>
  <si>
    <t xml:space="preserve">Price (house)</t>
  </si>
  <si>
    <t xml:space="preserve">Price basis</t>
  </si>
  <si>
    <t xml:space="preserve">Price + est. costs</t>
  </si>
  <si>
    <t xml:space="preserve">Drive to Glen Waverley (min)</t>
  </si>
  <si>
    <t xml:space="preserve">Drive to nearest ED (min)</t>
  </si>
  <si>
    <t xml:space="preserve">Filters</t>
  </si>
  <si>
    <t xml:space="preserve">Scores entered</t>
  </si>
  <si>
    <t xml:space="preserve">Weighted score (0–10)</t>
  </si>
  <si>
    <t xml:space="preserve">Rank (passing)</t>
  </si>
  <si>
    <t xml:space="preserve">Overseas-born % (2021)</t>
  </si>
  <si>
    <t xml:space="preserve">Blackburn</t>
  </si>
  <si>
    <t xml:space="preserve">Sale median, rolling 12m</t>
  </si>
  <si>
    <t xml:space="preserve">Ringwood</t>
  </si>
  <si>
    <t xml:space="preserve">Heidelberg</t>
  </si>
  <si>
    <t xml:space="preserve">Sale median, rolling 12m (35 sales)</t>
  </si>
  <si>
    <t xml:space="preserve">Eltham</t>
  </si>
  <si>
    <t xml:space="preserve">Upper Ferntree Gully</t>
  </si>
  <si>
    <t xml:space="preserve">AVM estimate (30 Sep 2026), not a sale median</t>
  </si>
  <si>
    <t xml:space="preserve">Glen Waverley</t>
  </si>
  <si>
    <t xml:space="preserve">Mentone</t>
  </si>
  <si>
    <t xml:space="preserve">Sale median (Aussie); Woodards shows $1.30m</t>
  </si>
  <si>
    <t xml:space="preserve">Frankston</t>
  </si>
  <si>
    <t xml:space="preserve">Altona</t>
  </si>
  <si>
    <t xml:space="preserve">AVM estimate (31 Aug 2026), not a sale median</t>
  </si>
  <si>
    <t xml:space="preserve">Williamstown</t>
  </si>
  <si>
    <t xml:space="preserve">Sources: prices and overseas-born shares from 'What the evidence supports' (research date 25 Oct 2026); ABS Census 2021 General Community Profiles. Blank rows are for reserve suburbs (e.g. Upwey, Belgrave, Box Hill, Rosanna).</t>
  </si>
  <si>
    <t xml:space="preserve">Calc — workings (no edits needed)</t>
  </si>
  <si>
    <t xml:space="preserve">Strictest</t>
  </si>
  <si>
    <t xml:space="preserve">Budget</t>
  </si>
  <si>
    <t xml:space="preserve">GW drive</t>
  </si>
  <si>
    <t xml:space="preserve">ED drive</t>
  </si>
  <si>
    <t xml:space="preserve">Stairs level</t>
  </si>
  <si>
    <t xml:space="preserve">Space level</t>
  </si>
  <si>
    <t xml:space="preserve">Budget ceiling incl. costs</t>
  </si>
  <si>
    <t xml:space="preserve">Max drive to ED (min)</t>
  </si>
  <si>
    <t xml:space="preserve">Stairs level (1 = strictest)</t>
  </si>
  <si>
    <t xml:space="preserve">No cap</t>
  </si>
  <si>
    <t xml:space="preserve">No limit</t>
  </si>
  <si>
    <t xml:space="preserve">Space level (4 = most space)</t>
  </si>
  <si>
    <t xml:space="preserve">Survey row</t>
  </si>
  <si>
    <t xml:space="preserve">A votes</t>
  </si>
  <si>
    <t xml:space="preserve">B votes</t>
  </si>
  <si>
    <t xml:space="preserve">A-side item</t>
  </si>
  <si>
    <t xml:space="preserve">B-side item</t>
  </si>
  <si>
    <t xml:space="preserve">Winner</t>
  </si>
  <si>
    <t xml:space="preserve">Loser</t>
  </si>
  <si>
    <t xml:space="preserve">Winner wt</t>
  </si>
  <si>
    <t xml:space="preserve">Loser wt</t>
  </si>
  <si>
    <t xml:space="preserve">Transfer</t>
  </si>
  <si>
    <t xml:space="preserve">Mum score</t>
  </si>
  <si>
    <t xml:space="preserve">Dad score</t>
  </si>
  <si>
    <t xml:space="preserve">Me score</t>
  </si>
  <si>
    <t xml:space="preserve">Mum level</t>
  </si>
  <si>
    <t xml:space="preserve">Dad level</t>
  </si>
  <si>
    <t xml:space="preserve">Me level</t>
  </si>
  <si>
    <t xml:space="preserve">Mum wt</t>
  </si>
  <si>
    <t xml:space="preserve">Dad wt</t>
  </si>
  <si>
    <t xml:space="preserve">Me wt</t>
  </si>
  <si>
    <t xml:space="preserve">Levels apart</t>
  </si>
  <si>
    <t xml:space="preserve">Correction</t>
  </si>
  <si>
    <t xml:space="preserve">Raw final</t>
  </si>
  <si>
    <t xml:space="preserve">Abs change</t>
  </si>
  <si>
    <t xml:space="preserve">Discuss text</t>
  </si>
  <si>
    <t xml:space="preserve">Totals</t>
  </si>
  <si>
    <t xml:space="preserve">Say total</t>
  </si>
  <si>
    <t xml:space="preserve">Label</t>
  </si>
  <si>
    <t xml:space="preserve">Distinct answers</t>
  </si>
  <si>
    <t xml:space="preserve">Type</t>
  </si>
  <si>
    <t xml:space="preserve">Spread</t>
  </si>
  <si>
    <t xml:space="preserve">Mum≠Dad</t>
  </si>
  <si>
    <t xml:space="preserve">Q3 Budget</t>
  </si>
  <si>
    <t xml:space="preserve">ordered</t>
  </si>
  <si>
    <t xml:space="preserve">Q4 Glen Waverley drive</t>
  </si>
  <si>
    <t xml:space="preserve">Q5 Hospital drive</t>
  </si>
  <si>
    <t xml:space="preserve">Q6 Stairs</t>
  </si>
  <si>
    <t xml:space="preserve">Q7 Garden</t>
  </si>
  <si>
    <t xml:space="preserve">pair</t>
  </si>
  <si>
    <t xml:space="preserve">Q7b Home size</t>
  </si>
  <si>
    <t xml:space="preserve">Q8 What nature means</t>
  </si>
  <si>
    <t xml:space="preserve">info</t>
  </si>
  <si>
    <t xml:space="preserve">Q9 What community means</t>
  </si>
  <si>
    <t xml:space="preserve">Q10 Forest vs near family</t>
  </si>
  <si>
    <t xml:space="preserve">Q11 Beach vs hills</t>
  </si>
  <si>
    <t xml:space="preserve">Q12 Quiet vs walkable</t>
  </si>
  <si>
    <t xml:space="preserve">Q13 Community vs greenery</t>
  </si>
  <si>
    <t xml:space="preserve">Q14 Later on</t>
  </si>
  <si>
    <t xml:space="preserve">Top mover 1</t>
  </si>
  <si>
    <t xml:space="preserve">Top mover 2</t>
  </si>
  <si>
    <t xml:space="preserve">Lead lens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</si>
</sst>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General"/>
    <numFmt numFmtId="167" formatCode="\$#,##0"/>
    <numFmt numFmtId="168" formatCode="0.0%"/>
    <numFmt numFmtId="169" formatCode="\+0.0%;\-0.0%;\–"/>
    <numFmt numFmtId="170" formatCode="\+0;\-0;0"/>
    <numFmt numFmtId="171" formatCode="\+0.0%;\-0.0%;0.0%"/>
    <numFmt numFmtId="172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5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A6A6A6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1F4E5A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EDEDED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7F7F7"/>
      </patternFill>
    </fill>
    <fill>
      <patternFill patternType="solid">
        <fgColor rgb="FFEDEDED"/>
        <bgColor rgb="FFDCE9EC"/>
      </patternFill>
    </fill>
    <fill>
      <patternFill patternType="solid">
        <fgColor rgb="FFDCE9E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1F4E5A"/>
      </font>
    </dxf>
    <dxf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9EC"/>
      <rgbColor rgb="FF660066"/>
      <rgbColor rgb="FFFF8080"/>
      <rgbColor rgb="FF0066CC"/>
      <rgbColor rgb="FFF7F7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5" t="s">
        <v>10</v>
      </c>
      <c r="B13" s="5" t="s">
        <v>11</v>
      </c>
      <c r="C13" s="5" t="s">
        <v>12</v>
      </c>
    </row>
    <row r="14" customFormat="false" ht="15" hidden="false" customHeight="false" outlineLevel="0" collapsed="false">
      <c r="A14" s="4" t="s">
        <v>13</v>
      </c>
      <c r="B14" s="6" t="n">
        <v>1</v>
      </c>
      <c r="C14" s="7" t="s">
        <v>14</v>
      </c>
    </row>
    <row r="15" customFormat="false" ht="15" hidden="false" customHeight="false" outlineLevel="0" collapsed="false">
      <c r="A15" s="4" t="s">
        <v>15</v>
      </c>
      <c r="B15" s="6" t="n">
        <v>1</v>
      </c>
      <c r="C15" s="7"/>
    </row>
    <row r="16" customFormat="false" ht="15" hidden="false" customHeight="false" outlineLevel="0" collapsed="false">
      <c r="A16" s="4" t="s">
        <v>16</v>
      </c>
      <c r="B16" s="6" t="n">
        <v>1</v>
      </c>
      <c r="C16" s="7"/>
    </row>
    <row r="18" customFormat="false" ht="15" hidden="false" customHeight="false" outlineLevel="0" collapsed="false">
      <c r="A18" s="5" t="s">
        <v>17</v>
      </c>
      <c r="B18" s="5" t="s">
        <v>18</v>
      </c>
      <c r="C18" s="5" t="s">
        <v>19</v>
      </c>
    </row>
    <row r="19" customFormat="false" ht="15" hidden="false" customHeight="false" outlineLevel="0" collapsed="false">
      <c r="A19" s="8" t="s">
        <v>20</v>
      </c>
      <c r="B19" s="4" t="s">
        <v>21</v>
      </c>
      <c r="C19" s="6" t="n">
        <v>0</v>
      </c>
    </row>
    <row r="20" customFormat="false" ht="15" hidden="false" customHeight="false" outlineLevel="0" collapsed="false">
      <c r="A20" s="8" t="s">
        <v>22</v>
      </c>
      <c r="B20" s="4" t="s">
        <v>23</v>
      </c>
      <c r="C20" s="6" t="n">
        <v>1</v>
      </c>
    </row>
    <row r="21" customFormat="false" ht="15" hidden="false" customHeight="false" outlineLevel="0" collapsed="false">
      <c r="A21" s="8" t="s">
        <v>24</v>
      </c>
      <c r="B21" s="4" t="s">
        <v>25</v>
      </c>
      <c r="C21" s="6" t="n">
        <v>2</v>
      </c>
    </row>
    <row r="22" customFormat="false" ht="15" hidden="false" customHeight="false" outlineLevel="0" collapsed="false">
      <c r="A22" s="8" t="s">
        <v>26</v>
      </c>
      <c r="B22" s="4" t="s">
        <v>27</v>
      </c>
      <c r="C22" s="6" t="n">
        <v>4</v>
      </c>
      <c r="D22" s="7" t="s">
        <v>28</v>
      </c>
    </row>
    <row r="23" customFormat="false" ht="15" hidden="false" customHeight="false" outlineLevel="0" collapsed="false">
      <c r="A23" s="4" t="s">
        <v>29</v>
      </c>
      <c r="B23" s="6" t="n">
        <v>2</v>
      </c>
    </row>
    <row r="25" customFormat="false" ht="15" hidden="false" customHeight="false" outlineLevel="0" collapsed="false">
      <c r="A25" s="4" t="s">
        <v>30</v>
      </c>
      <c r="B25" s="9" t="n">
        <v>0.06</v>
      </c>
      <c r="C25" s="7" t="s">
        <v>31</v>
      </c>
    </row>
    <row r="26" customFormat="false" ht="15" hidden="false" customHeight="false" outlineLevel="0" collapsed="false">
      <c r="A26" s="4" t="s">
        <v>32</v>
      </c>
      <c r="B26" s="9" t="n">
        <v>0.02</v>
      </c>
      <c r="C26" s="7" t="s">
        <v>33</v>
      </c>
    </row>
    <row r="28" customFormat="false" ht="15" hidden="false" customHeight="false" outlineLevel="0" collapsed="false">
      <c r="A28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7" min="4" style="0" width="20"/>
    <col collapsed="false" customWidth="true" hidden="false" outlineLevel="0" max="10" min="8" style="0" width="7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5" t="s">
        <v>37</v>
      </c>
      <c r="B4" s="5" t="s">
        <v>38</v>
      </c>
      <c r="C4" s="5" t="s">
        <v>39</v>
      </c>
      <c r="D4" s="5" t="s">
        <v>20</v>
      </c>
      <c r="E4" s="5" t="s">
        <v>22</v>
      </c>
      <c r="F4" s="5" t="s">
        <v>24</v>
      </c>
      <c r="G4" s="5" t="s">
        <v>26</v>
      </c>
      <c r="H4" s="5" t="s">
        <v>40</v>
      </c>
      <c r="I4" s="5" t="s">
        <v>41</v>
      </c>
      <c r="J4" s="5" t="s">
        <v>42</v>
      </c>
      <c r="K4" s="5" t="s">
        <v>43</v>
      </c>
    </row>
    <row r="5" customFormat="false" ht="39.75" hidden="false" customHeight="true" outlineLevel="0" collapsed="false">
      <c r="A5" s="11" t="s">
        <v>44</v>
      </c>
      <c r="B5" s="12" t="s">
        <v>45</v>
      </c>
      <c r="C5" s="13" t="s">
        <v>46</v>
      </c>
      <c r="D5" s="13" t="s">
        <v>47</v>
      </c>
      <c r="E5" s="13" t="s">
        <v>48</v>
      </c>
      <c r="F5" s="13" t="s">
        <v>49</v>
      </c>
      <c r="G5" s="13" t="s">
        <v>50</v>
      </c>
      <c r="H5" s="14"/>
      <c r="I5" s="14"/>
      <c r="J5" s="14"/>
      <c r="K5" s="15"/>
    </row>
    <row r="6" customFormat="false" ht="39.75" hidden="false" customHeight="true" outlineLevel="0" collapsed="false">
      <c r="A6" s="11" t="s">
        <v>51</v>
      </c>
      <c r="B6" s="12" t="s">
        <v>45</v>
      </c>
      <c r="C6" s="13" t="s">
        <v>52</v>
      </c>
      <c r="D6" s="13" t="s">
        <v>53</v>
      </c>
      <c r="E6" s="13" t="s">
        <v>54</v>
      </c>
      <c r="F6" s="13" t="s">
        <v>55</v>
      </c>
      <c r="G6" s="13" t="s">
        <v>56</v>
      </c>
      <c r="H6" s="14"/>
      <c r="I6" s="14"/>
      <c r="J6" s="14"/>
      <c r="K6" s="15"/>
    </row>
    <row r="7" customFormat="false" ht="39.75" hidden="false" customHeight="true" outlineLevel="0" collapsed="false">
      <c r="A7" s="16" t="s">
        <v>57</v>
      </c>
      <c r="B7" s="17" t="s">
        <v>58</v>
      </c>
      <c r="C7" s="18" t="s">
        <v>59</v>
      </c>
      <c r="D7" s="18" t="s">
        <v>60</v>
      </c>
      <c r="E7" s="18" t="s">
        <v>61</v>
      </c>
      <c r="F7" s="18" t="s">
        <v>62</v>
      </c>
      <c r="G7" s="18" t="s">
        <v>63</v>
      </c>
      <c r="H7" s="14"/>
      <c r="I7" s="14"/>
      <c r="J7" s="14"/>
      <c r="K7" s="15"/>
    </row>
    <row r="8" customFormat="false" ht="39.75" hidden="false" customHeight="true" outlineLevel="0" collapsed="false">
      <c r="A8" s="16" t="s">
        <v>64</v>
      </c>
      <c r="B8" s="17" t="s">
        <v>58</v>
      </c>
      <c r="C8" s="18" t="s">
        <v>65</v>
      </c>
      <c r="D8" s="18" t="s">
        <v>66</v>
      </c>
      <c r="E8" s="18" t="s">
        <v>67</v>
      </c>
      <c r="F8" s="18" t="s">
        <v>68</v>
      </c>
      <c r="G8" s="18" t="s">
        <v>69</v>
      </c>
      <c r="H8" s="14"/>
      <c r="I8" s="14"/>
      <c r="J8" s="14"/>
      <c r="K8" s="15"/>
    </row>
    <row r="9" customFormat="false" ht="39.75" hidden="false" customHeight="true" outlineLevel="0" collapsed="false">
      <c r="A9" s="16" t="s">
        <v>70</v>
      </c>
      <c r="B9" s="17" t="s">
        <v>58</v>
      </c>
      <c r="C9" s="18" t="s">
        <v>71</v>
      </c>
      <c r="D9" s="18" t="s">
        <v>72</v>
      </c>
      <c r="E9" s="18" t="s">
        <v>73</v>
      </c>
      <c r="F9" s="18" t="s">
        <v>74</v>
      </c>
      <c r="G9" s="18" t="s">
        <v>75</v>
      </c>
      <c r="H9" s="14"/>
      <c r="I9" s="14"/>
      <c r="J9" s="14"/>
      <c r="K9" s="15"/>
    </row>
    <row r="10" customFormat="false" ht="39.75" hidden="false" customHeight="true" outlineLevel="0" collapsed="false">
      <c r="A10" s="16" t="s">
        <v>76</v>
      </c>
      <c r="B10" s="17" t="s">
        <v>58</v>
      </c>
      <c r="C10" s="18" t="s">
        <v>77</v>
      </c>
      <c r="D10" s="18" t="s">
        <v>78</v>
      </c>
      <c r="E10" s="18" t="s">
        <v>79</v>
      </c>
      <c r="F10" s="18" t="s">
        <v>80</v>
      </c>
      <c r="G10" s="19" t="s">
        <v>81</v>
      </c>
      <c r="H10" s="14"/>
      <c r="I10" s="14"/>
      <c r="J10" s="14"/>
      <c r="K10" s="15"/>
    </row>
    <row r="11" customFormat="false" ht="39.75" hidden="false" customHeight="true" outlineLevel="0" collapsed="false">
      <c r="A11" s="16" t="s">
        <v>82</v>
      </c>
      <c r="B11" s="17" t="s">
        <v>58</v>
      </c>
      <c r="C11" s="18" t="s">
        <v>83</v>
      </c>
      <c r="D11" s="18" t="s">
        <v>84</v>
      </c>
      <c r="E11" s="18" t="s">
        <v>85</v>
      </c>
      <c r="F11" s="18" t="s">
        <v>86</v>
      </c>
      <c r="G11" s="18" t="s">
        <v>87</v>
      </c>
      <c r="H11" s="14"/>
      <c r="I11" s="14"/>
      <c r="J11" s="14"/>
      <c r="K11" s="15"/>
    </row>
    <row r="12" customFormat="false" ht="39.75" hidden="false" customHeight="true" outlineLevel="0" collapsed="false">
      <c r="A12" s="16" t="s">
        <v>88</v>
      </c>
      <c r="B12" s="17" t="s">
        <v>89</v>
      </c>
      <c r="C12" s="18" t="s">
        <v>90</v>
      </c>
      <c r="D12" s="18" t="s">
        <v>91</v>
      </c>
      <c r="E12" s="18" t="s">
        <v>92</v>
      </c>
      <c r="F12" s="18" t="s">
        <v>93</v>
      </c>
      <c r="G12" s="18" t="s">
        <v>94</v>
      </c>
      <c r="H12" s="14"/>
      <c r="I12" s="14"/>
      <c r="J12" s="14"/>
      <c r="K12" s="15"/>
    </row>
    <row r="13" customFormat="false" ht="39.75" hidden="false" customHeight="true" outlineLevel="0" collapsed="false">
      <c r="A13" s="11" t="s">
        <v>95</v>
      </c>
      <c r="B13" s="12" t="s">
        <v>96</v>
      </c>
      <c r="C13" s="13" t="s">
        <v>97</v>
      </c>
      <c r="D13" s="13" t="s">
        <v>98</v>
      </c>
      <c r="E13" s="13" t="s">
        <v>99</v>
      </c>
      <c r="F13" s="13" t="s">
        <v>100</v>
      </c>
      <c r="G13" s="13" t="s">
        <v>101</v>
      </c>
      <c r="H13" s="14"/>
      <c r="I13" s="14"/>
      <c r="J13" s="14"/>
      <c r="K13" s="15"/>
    </row>
    <row r="14" customFormat="false" ht="39.75" hidden="false" customHeight="true" outlineLevel="0" collapsed="false">
      <c r="A14" s="11" t="s">
        <v>102</v>
      </c>
      <c r="B14" s="12" t="s">
        <v>96</v>
      </c>
      <c r="C14" s="13" t="s">
        <v>103</v>
      </c>
      <c r="D14" s="13" t="s">
        <v>104</v>
      </c>
      <c r="E14" s="13" t="s">
        <v>105</v>
      </c>
      <c r="F14" s="13" t="s">
        <v>106</v>
      </c>
      <c r="G14" s="13" t="s">
        <v>107</v>
      </c>
      <c r="H14" s="14"/>
      <c r="I14" s="14"/>
      <c r="J14" s="14"/>
      <c r="K14" s="15"/>
    </row>
    <row r="15" customFormat="false" ht="39.75" hidden="false" customHeight="true" outlineLevel="0" collapsed="false">
      <c r="A15" s="16" t="s">
        <v>108</v>
      </c>
      <c r="B15" s="17" t="s">
        <v>109</v>
      </c>
      <c r="C15" s="18" t="s">
        <v>110</v>
      </c>
      <c r="D15" s="18" t="s">
        <v>111</v>
      </c>
      <c r="E15" s="18" t="s">
        <v>112</v>
      </c>
      <c r="F15" s="19" t="s">
        <v>81</v>
      </c>
      <c r="G15" s="19" t="s">
        <v>81</v>
      </c>
      <c r="H15" s="14"/>
      <c r="I15" s="14"/>
      <c r="J15" s="14"/>
      <c r="K15" s="15"/>
    </row>
    <row r="16" customFormat="false" ht="39.75" hidden="false" customHeight="true" outlineLevel="0" collapsed="false">
      <c r="A16" s="16" t="s">
        <v>113</v>
      </c>
      <c r="B16" s="17" t="s">
        <v>109</v>
      </c>
      <c r="C16" s="18" t="s">
        <v>110</v>
      </c>
      <c r="D16" s="18" t="s">
        <v>114</v>
      </c>
      <c r="E16" s="18" t="s">
        <v>115</v>
      </c>
      <c r="F16" s="19" t="s">
        <v>81</v>
      </c>
      <c r="G16" s="19" t="s">
        <v>81</v>
      </c>
      <c r="H16" s="14"/>
      <c r="I16" s="14"/>
      <c r="J16" s="14"/>
      <c r="K16" s="15"/>
    </row>
    <row r="17" customFormat="false" ht="39.75" hidden="false" customHeight="true" outlineLevel="0" collapsed="false">
      <c r="A17" s="16" t="s">
        <v>116</v>
      </c>
      <c r="B17" s="17" t="s">
        <v>109</v>
      </c>
      <c r="C17" s="18" t="s">
        <v>110</v>
      </c>
      <c r="D17" s="18" t="s">
        <v>117</v>
      </c>
      <c r="E17" s="18" t="s">
        <v>118</v>
      </c>
      <c r="F17" s="19" t="s">
        <v>81</v>
      </c>
      <c r="G17" s="19" t="s">
        <v>81</v>
      </c>
      <c r="H17" s="14"/>
      <c r="I17" s="14"/>
      <c r="J17" s="14"/>
      <c r="K17" s="15"/>
    </row>
    <row r="18" customFormat="false" ht="39.75" hidden="false" customHeight="true" outlineLevel="0" collapsed="false">
      <c r="A18" s="16" t="s">
        <v>119</v>
      </c>
      <c r="B18" s="17" t="s">
        <v>109</v>
      </c>
      <c r="C18" s="18" t="s">
        <v>110</v>
      </c>
      <c r="D18" s="18" t="s">
        <v>120</v>
      </c>
      <c r="E18" s="18" t="s">
        <v>121</v>
      </c>
      <c r="F18" s="19" t="s">
        <v>81</v>
      </c>
      <c r="G18" s="19" t="s">
        <v>81</v>
      </c>
      <c r="H18" s="14"/>
      <c r="I18" s="14"/>
      <c r="J18" s="14"/>
      <c r="K18" s="15"/>
    </row>
    <row r="19" customFormat="false" ht="39.75" hidden="false" customHeight="true" outlineLevel="0" collapsed="false">
      <c r="A19" s="11" t="s">
        <v>122</v>
      </c>
      <c r="B19" s="12" t="s">
        <v>123</v>
      </c>
      <c r="C19" s="13" t="s">
        <v>124</v>
      </c>
      <c r="D19" s="13" t="s">
        <v>125</v>
      </c>
      <c r="E19" s="13" t="s">
        <v>126</v>
      </c>
      <c r="F19" s="13" t="s">
        <v>127</v>
      </c>
      <c r="G19" s="13" t="s">
        <v>128</v>
      </c>
      <c r="H19" s="14"/>
      <c r="I19" s="14"/>
      <c r="J19" s="14"/>
      <c r="K19" s="15"/>
    </row>
    <row r="20" customFormat="false" ht="39.75" hidden="false" customHeight="true" outlineLevel="0" collapsed="false">
      <c r="A20" s="20" t="s">
        <v>129</v>
      </c>
      <c r="B20" s="21" t="s">
        <v>130</v>
      </c>
      <c r="C20" s="20" t="s">
        <v>131</v>
      </c>
      <c r="D20" s="20" t="s">
        <v>21</v>
      </c>
      <c r="E20" s="20" t="s">
        <v>23</v>
      </c>
      <c r="F20" s="20" t="s">
        <v>25</v>
      </c>
      <c r="G20" s="20" t="s">
        <v>27</v>
      </c>
      <c r="H20" s="22"/>
      <c r="I20" s="22"/>
      <c r="J20" s="22"/>
      <c r="K20" s="22"/>
    </row>
    <row r="21" customFormat="false" ht="18" hidden="false" customHeight="true" outlineLevel="0" collapsed="false">
      <c r="A21" s="23" t="s">
        <v>132</v>
      </c>
      <c r="B21" s="21" t="s">
        <v>130</v>
      </c>
      <c r="C21" s="23" t="s">
        <v>133</v>
      </c>
      <c r="D21" s="24" t="s">
        <v>21</v>
      </c>
      <c r="E21" s="24" t="s">
        <v>23</v>
      </c>
      <c r="F21" s="24" t="s">
        <v>25</v>
      </c>
      <c r="G21" s="24" t="s">
        <v>27</v>
      </c>
      <c r="H21" s="14"/>
      <c r="I21" s="14"/>
      <c r="J21" s="14"/>
      <c r="K21" s="15"/>
    </row>
    <row r="22" customFormat="false" ht="18" hidden="false" customHeight="true" outlineLevel="0" collapsed="false">
      <c r="A22" s="23" t="s">
        <v>134</v>
      </c>
      <c r="B22" s="21" t="s">
        <v>130</v>
      </c>
      <c r="C22" s="23" t="s">
        <v>135</v>
      </c>
      <c r="D22" s="24" t="s">
        <v>21</v>
      </c>
      <c r="E22" s="24" t="s">
        <v>23</v>
      </c>
      <c r="F22" s="24" t="s">
        <v>25</v>
      </c>
      <c r="G22" s="24" t="s">
        <v>27</v>
      </c>
      <c r="H22" s="14"/>
      <c r="I22" s="14"/>
      <c r="J22" s="14"/>
      <c r="K22" s="15"/>
    </row>
    <row r="23" customFormat="false" ht="18" hidden="false" customHeight="true" outlineLevel="0" collapsed="false">
      <c r="A23" s="23" t="s">
        <v>136</v>
      </c>
      <c r="B23" s="21" t="s">
        <v>130</v>
      </c>
      <c r="C23" s="23" t="s">
        <v>137</v>
      </c>
      <c r="D23" s="24" t="s">
        <v>21</v>
      </c>
      <c r="E23" s="24" t="s">
        <v>23</v>
      </c>
      <c r="F23" s="24" t="s">
        <v>25</v>
      </c>
      <c r="G23" s="24" t="s">
        <v>27</v>
      </c>
      <c r="H23" s="14"/>
      <c r="I23" s="14"/>
      <c r="J23" s="14"/>
      <c r="K23" s="15"/>
    </row>
    <row r="24" customFormat="false" ht="18" hidden="false" customHeight="true" outlineLevel="0" collapsed="false">
      <c r="A24" s="23" t="s">
        <v>138</v>
      </c>
      <c r="B24" s="21" t="s">
        <v>130</v>
      </c>
      <c r="C24" s="23" t="s">
        <v>139</v>
      </c>
      <c r="D24" s="24" t="s">
        <v>21</v>
      </c>
      <c r="E24" s="24" t="s">
        <v>23</v>
      </c>
      <c r="F24" s="24" t="s">
        <v>25</v>
      </c>
      <c r="G24" s="24" t="s">
        <v>27</v>
      </c>
      <c r="H24" s="14"/>
      <c r="I24" s="14"/>
      <c r="J24" s="14"/>
      <c r="K24" s="15"/>
    </row>
    <row r="25" customFormat="false" ht="18" hidden="false" customHeight="true" outlineLevel="0" collapsed="false">
      <c r="A25" s="23" t="s">
        <v>140</v>
      </c>
      <c r="B25" s="21" t="s">
        <v>130</v>
      </c>
      <c r="C25" s="23" t="s">
        <v>141</v>
      </c>
      <c r="D25" s="24" t="s">
        <v>21</v>
      </c>
      <c r="E25" s="24" t="s">
        <v>23</v>
      </c>
      <c r="F25" s="24" t="s">
        <v>25</v>
      </c>
      <c r="G25" s="24" t="s">
        <v>27</v>
      </c>
      <c r="H25" s="14"/>
      <c r="I25" s="14"/>
      <c r="J25" s="14"/>
      <c r="K25" s="15"/>
    </row>
    <row r="26" customFormat="false" ht="18" hidden="false" customHeight="true" outlineLevel="0" collapsed="false">
      <c r="A26" s="23" t="s">
        <v>142</v>
      </c>
      <c r="B26" s="21" t="s">
        <v>130</v>
      </c>
      <c r="C26" s="23" t="s">
        <v>143</v>
      </c>
      <c r="D26" s="24" t="s">
        <v>21</v>
      </c>
      <c r="E26" s="24" t="s">
        <v>23</v>
      </c>
      <c r="F26" s="24" t="s">
        <v>25</v>
      </c>
      <c r="G26" s="24" t="s">
        <v>27</v>
      </c>
      <c r="H26" s="14"/>
      <c r="I26" s="14"/>
      <c r="J26" s="14"/>
      <c r="K26" s="15"/>
    </row>
    <row r="27" customFormat="false" ht="18" hidden="false" customHeight="true" outlineLevel="0" collapsed="false">
      <c r="A27" s="23" t="s">
        <v>144</v>
      </c>
      <c r="B27" s="21" t="s">
        <v>130</v>
      </c>
      <c r="C27" s="23" t="s">
        <v>145</v>
      </c>
      <c r="D27" s="24" t="s">
        <v>21</v>
      </c>
      <c r="E27" s="24" t="s">
        <v>23</v>
      </c>
      <c r="F27" s="24" t="s">
        <v>25</v>
      </c>
      <c r="G27" s="24" t="s">
        <v>27</v>
      </c>
      <c r="H27" s="14"/>
      <c r="I27" s="14"/>
      <c r="J27" s="14"/>
      <c r="K27" s="15"/>
    </row>
    <row r="28" customFormat="false" ht="18" hidden="false" customHeight="true" outlineLevel="0" collapsed="false">
      <c r="A28" s="23" t="s">
        <v>146</v>
      </c>
      <c r="B28" s="21" t="s">
        <v>130</v>
      </c>
      <c r="C28" s="23" t="s">
        <v>147</v>
      </c>
      <c r="D28" s="24" t="s">
        <v>21</v>
      </c>
      <c r="E28" s="24" t="s">
        <v>23</v>
      </c>
      <c r="F28" s="24" t="s">
        <v>25</v>
      </c>
      <c r="G28" s="24" t="s">
        <v>27</v>
      </c>
      <c r="H28" s="14"/>
      <c r="I28" s="14"/>
      <c r="J28" s="14"/>
      <c r="K28" s="15"/>
    </row>
    <row r="29" customFormat="false" ht="18" hidden="false" customHeight="true" outlineLevel="0" collapsed="false">
      <c r="A29" s="23" t="s">
        <v>148</v>
      </c>
      <c r="B29" s="21" t="s">
        <v>130</v>
      </c>
      <c r="C29" s="23" t="s">
        <v>149</v>
      </c>
      <c r="D29" s="24" t="s">
        <v>21</v>
      </c>
      <c r="E29" s="24" t="s">
        <v>23</v>
      </c>
      <c r="F29" s="24" t="s">
        <v>25</v>
      </c>
      <c r="G29" s="24" t="s">
        <v>27</v>
      </c>
      <c r="H29" s="14"/>
      <c r="I29" s="14"/>
      <c r="J29" s="14"/>
      <c r="K29" s="15"/>
    </row>
    <row r="30" customFormat="false" ht="18" hidden="false" customHeight="true" outlineLevel="0" collapsed="false">
      <c r="A30" s="23" t="s">
        <v>150</v>
      </c>
      <c r="B30" s="21" t="s">
        <v>151</v>
      </c>
      <c r="C30" s="23" t="s">
        <v>152</v>
      </c>
      <c r="D30" s="24" t="s">
        <v>21</v>
      </c>
      <c r="E30" s="24" t="s">
        <v>23</v>
      </c>
      <c r="F30" s="24" t="s">
        <v>25</v>
      </c>
      <c r="G30" s="24" t="s">
        <v>27</v>
      </c>
      <c r="H30" s="14"/>
      <c r="I30" s="14"/>
      <c r="J30" s="14"/>
      <c r="K30" s="15"/>
    </row>
    <row r="32" customFormat="false" ht="15" hidden="false" customHeight="false" outlineLevel="0" collapsed="false">
      <c r="C32" s="25" t="s">
        <v>153</v>
      </c>
      <c r="H32" s="26" t="n">
        <f aca="false">COUNTIF(H21:H30,"D")</f>
        <v>0</v>
      </c>
      <c r="I32" s="26" t="n">
        <f aca="false">COUNTIF(I21:I30,"D")</f>
        <v>0</v>
      </c>
      <c r="J32" s="26" t="n">
        <f aca="false">COUNTIF(J21:J30,"D")</f>
        <v>0</v>
      </c>
    </row>
    <row r="33" customFormat="false" ht="15" hidden="false" customHeight="false" outlineLevel="0" collapsed="false">
      <c r="C33" s="25" t="s">
        <v>154</v>
      </c>
      <c r="H33" s="26" t="n">
        <f aca="false">COUNTA(H21:H30)</f>
        <v>0</v>
      </c>
      <c r="I33" s="26" t="n">
        <f aca="false">COUNTA(I21:I30)</f>
        <v>0</v>
      </c>
      <c r="J33" s="26" t="n">
        <f aca="false">COUNTA(J21:J30)</f>
        <v>0</v>
      </c>
    </row>
    <row r="34" customFormat="false" ht="27.75" hidden="false" customHeight="true" outlineLevel="0" collapsed="false">
      <c r="C34" s="25" t="s">
        <v>155</v>
      </c>
      <c r="H34" s="27" t="str">
        <f aca="false">IF(H33=0,"Not started",IF(H32&gt;'Start here'!$B$23,"Too many D's",IF(H33&lt;10,"Incomplete","OK")))</f>
        <v>Not started</v>
      </c>
      <c r="I34" s="27" t="str">
        <f aca="false">IF(I33=0,"Not started",IF(I32&gt;'Start here'!$B$23,"Too many D's",IF(I33&lt;10,"Incomplete","OK")))</f>
        <v>Not started</v>
      </c>
      <c r="J34" s="27" t="str">
        <f aca="false">IF(J33=0,"Not started",IF(J32&gt;'Start here'!$B$23,"Too many D's",IF(J33&lt;10,"Incomplete","OK")))</f>
        <v>Not started</v>
      </c>
    </row>
    <row r="35" customFormat="false" ht="15" hidden="false" customHeight="false" outlineLevel="0" collapsed="false">
      <c r="C35" s="25" t="s">
        <v>156</v>
      </c>
      <c r="H35" s="26" t="n">
        <f aca="false">COUNTA(H5:H19)</f>
        <v>0</v>
      </c>
      <c r="I35" s="26" t="n">
        <f aca="false">COUNTA(I5:I19)</f>
        <v>0</v>
      </c>
      <c r="J35" s="26" t="n">
        <f aca="false">COUNTA(J5:J19)</f>
        <v>0</v>
      </c>
    </row>
  </sheetData>
  <conditionalFormatting sqref="H34:J34">
    <cfRule type="expression" priority="2" aboveAverage="0" equalAverage="0" bottom="0" percent="0" rank="0" text="" dxfId="0">
      <formula>H34="OK"</formula>
    </cfRule>
    <cfRule type="expression" priority="3" aboveAverage="0" equalAverage="0" bottom="0" percent="0" rank="0" text="" dxfId="1">
      <formula>H34&lt;&gt;"OK"</formula>
    </cfRule>
  </conditionalFormatting>
  <dataValidations count="4">
    <dataValidation allowBlank="true" error="Type one letter: A, B, C, D, E" errorStyle="stop" errorTitle="One letter only" operator="between" showDropDown="false" showErrorMessage="true" showInputMessage="false" sqref="H5:J9 H11:J14 H19:J19" type="list">
      <formula1>"A,B,C,D,E"</formula1>
      <formula2>0</formula2>
    </dataValidation>
    <dataValidation allowBlank="true" error="Type one letter: A, B, C, E" errorStyle="stop" errorTitle="One letter only" operator="between" showDropDown="false" showErrorMessage="true" showInputMessage="false" sqref="H10:J10" type="list">
      <formula1>"A,B,C,E"</formula1>
      <formula2>0</formula2>
    </dataValidation>
    <dataValidation allowBlank="true" error="Type one letter: A, B, E" errorStyle="stop" errorTitle="One letter only" operator="between" showDropDown="false" showErrorMessage="true" showInputMessage="false" sqref="H15:J18" type="list">
      <formula1>"A,B,E"</formula1>
      <formula2>0</formula2>
    </dataValidation>
    <dataValidation allowBlank="true" error="Type one letter: A, B, C, D" errorStyle="stop" errorTitle="One letter only" operator="between" showDropDown="false" showErrorMessage="true" showInputMessage="false" sqref="H21:J30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7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34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30" hidden="false" customHeight="true" outlineLevel="0" collapsed="false">
      <c r="A4" s="20" t="str">
        <f aca="false">"Answered (of 25):  Mum "&amp;(COUNTA(Survey!H5:H19)+COUNTA(Survey!H21:H30))&amp;"  ·  Dad "&amp;(COUNTA(Survey!I5:I19)+COUNTA(Survey!I21:I30))&amp;"  ·  Me "&amp;(COUNTA(Survey!J5:J19)+COUNTA(Survey!J21:J30))&amp;"      Q15 check:  Mum "&amp;Survey!H34&amp;"  ·  Dad "&amp;Survey!I34&amp;"  ·  Me "&amp;Survey!J34</f>
        <v>Answered (of 25):  Mum 0  ·  Dad 0  ·  Me 0      Q15 check:  Mum Not started  ·  Dad Not started  ·  Me Not started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6" customFormat="false" ht="15" hidden="false" customHeight="false" outlineLevel="0" collapsed="false">
      <c r="A6" s="28" t="s">
        <v>159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customFormat="false" ht="15" hidden="false" customHeight="true" outlineLevel="0" collapsed="false">
      <c r="A7" s="30" t="s">
        <v>160</v>
      </c>
      <c r="B7" s="31" t="s">
        <v>161</v>
      </c>
      <c r="C7" s="31"/>
      <c r="D7" s="31"/>
      <c r="E7" s="31" t="s">
        <v>162</v>
      </c>
      <c r="F7" s="31"/>
      <c r="G7" s="31"/>
      <c r="H7" s="31" t="s">
        <v>43</v>
      </c>
      <c r="I7" s="31"/>
      <c r="J7" s="31"/>
      <c r="K7" s="31"/>
      <c r="L7" s="31"/>
    </row>
    <row r="8" customFormat="false" ht="39.75" hidden="false" customHeight="true" outlineLevel="0" collapsed="false">
      <c r="A8" s="20" t="s">
        <v>163</v>
      </c>
      <c r="B8" s="32" t="str">
        <f aca="false">Calc!E3</f>
        <v>Not answered</v>
      </c>
      <c r="C8" s="32"/>
      <c r="D8" s="32"/>
      <c r="E8" s="23" t="str">
        <f aca="false">"Mum "&amp;IF(Survey!H7="","–",UPPER(Survey!H7))&amp;" · Dad "&amp;IF(Survey!I7="","–",UPPER(Survey!I7))&amp;" · Me "&amp;IF(Survey!J7="","–",UPPER(Survey!J7))</f>
        <v>Mum – · Dad – · Me –</v>
      </c>
      <c r="F8" s="23"/>
      <c r="G8" s="23"/>
      <c r="H8" s="21" t="str">
        <f aca="false">"Max purchase price ≈ "&amp;IF(ISNUMBER(B8),TEXT(B8/(1+'Start here'!$B$25),"$#,##0"),"—")&amp;" after est. "&amp;TEXT('Start here'!$B$25,"0%")&amp;" costs. Leave your column blank if you're not contributing."</f>
        <v>Max purchase price ≈ — after est. 6% costs. Leave your column blank if you're not contributing.</v>
      </c>
      <c r="I8" s="21"/>
      <c r="J8" s="21"/>
      <c r="K8" s="21"/>
      <c r="L8" s="21"/>
    </row>
    <row r="9" customFormat="false" ht="39.75" hidden="false" customHeight="true" outlineLevel="0" collapsed="false">
      <c r="A9" s="20" t="s">
        <v>164</v>
      </c>
      <c r="B9" s="20" t="str">
        <f aca="false">Calc!E4</f>
        <v>Not answered</v>
      </c>
      <c r="C9" s="20"/>
      <c r="D9" s="20"/>
      <c r="E9" s="23" t="str">
        <f aca="false">"Mum "&amp;IF(Survey!H8="","–",UPPER(Survey!H8))&amp;" · Dad "&amp;IF(Survey!I8="","–",UPPER(Survey!I8))&amp;" · Me "&amp;IF(Survey!J8="","–",UPPER(Survey!J8))</f>
        <v>Mum – · Dad – · Me –</v>
      </c>
      <c r="F9" s="23"/>
      <c r="G9" s="23"/>
      <c r="H9" s="21" t="str">
        <f aca="false">"Rule out suburbs beyond this; it is also weighted in Q15."&amp;IF(COUNTIF(Survey!H8:J8,"D")&gt;0," 45 means '45 min or more'.","")</f>
        <v>Rule out suburbs beyond this; it is also weighted in Q15.</v>
      </c>
      <c r="I9" s="21"/>
      <c r="J9" s="21"/>
      <c r="K9" s="21"/>
      <c r="L9" s="21"/>
    </row>
    <row r="10" customFormat="false" ht="39.75" hidden="false" customHeight="true" outlineLevel="0" collapsed="false">
      <c r="A10" s="20" t="s">
        <v>165</v>
      </c>
      <c r="B10" s="20" t="str">
        <f aca="false">Calc!E5</f>
        <v>Not answered</v>
      </c>
      <c r="C10" s="20"/>
      <c r="D10" s="20"/>
      <c r="E10" s="23" t="str">
        <f aca="false">"Mum "&amp;IF(Survey!H9="","–",UPPER(Survey!H9))&amp;" · Dad "&amp;IF(Survey!I9="","–",UPPER(Survey!I9))&amp;" · Me "&amp;IF(Survey!J9="","–",UPPER(Survey!J9))</f>
        <v>Mum – · Dad – · Me –</v>
      </c>
      <c r="F10" s="23"/>
      <c r="G10" s="23"/>
      <c r="H10" s="21" t="str">
        <f aca="false">"Measure to a public hospital with a 24-hour emergency department, not just the nearest hospital."</f>
        <v>Measure to a public hospital with a 24-hour emergency department, not just the nearest hospital.</v>
      </c>
      <c r="I10" s="21"/>
      <c r="J10" s="21"/>
      <c r="K10" s="21"/>
      <c r="L10" s="21"/>
    </row>
    <row r="11" customFormat="false" ht="39.75" hidden="false" customHeight="true" outlineLevel="0" collapsed="false">
      <c r="A11" s="20" t="s">
        <v>166</v>
      </c>
      <c r="B11" s="20" t="str">
        <f aca="false">IF(ISNUMBER(Calc!E6),INDEX(Survey!$D$10:$F$10,Calc!E6),"Not answered")</f>
        <v>Not answered</v>
      </c>
      <c r="C11" s="20"/>
      <c r="D11" s="20"/>
      <c r="E11" s="23" t="str">
        <f aca="false">"Mum "&amp;IF(Survey!H10="","–",UPPER(Survey!H10))&amp;" · Dad "&amp;IF(Survey!I10="","–",UPPER(Survey!I10))&amp;" · Me "&amp;IF(Survey!J10="","–",UPPER(Survey!J10))</f>
        <v>Mum – · Dad – · Me –</v>
      </c>
      <c r="F11" s="23"/>
      <c r="G11" s="23"/>
      <c r="H11" s="21" t="str">
        <f aca="false">"Applies to homes, not suburbs: check at inspections."</f>
        <v>Applies to homes, not suburbs: check at inspections.</v>
      </c>
      <c r="I11" s="21"/>
      <c r="J11" s="21"/>
      <c r="K11" s="21"/>
      <c r="L11" s="21"/>
    </row>
    <row r="12" customFormat="false" ht="39.75" hidden="false" customHeight="true" outlineLevel="0" collapsed="false">
      <c r="A12" s="20" t="s">
        <v>167</v>
      </c>
      <c r="B12" s="20" t="str">
        <f aca="false">IF(ISNUMBER(Calc!E7),INDEX(Survey!$D$12:$G$12,Calc!E7),"Not answered")</f>
        <v>Not answered</v>
      </c>
      <c r="C12" s="20"/>
      <c r="D12" s="20"/>
      <c r="E12" s="23" t="str">
        <f aca="false">"Mum "&amp;IF(Survey!H12="","–",UPPER(Survey!H12))&amp;" · Dad "&amp;IF(Survey!I12="","–",UPPER(Survey!I12))&amp;" · Me "&amp;IF(Survey!J12="","–",UPPER(Survey!J12))</f>
        <v>Mum – · Dad – · Me –</v>
      </c>
      <c r="F12" s="23"/>
      <c r="G12" s="23"/>
      <c r="H12" s="21" t="str">
        <f aca="false">"Applies to listings. More space pushes the real price above suburb medians — check against the budget."</f>
        <v>Applies to listings. More space pushes the real price above suburb medians — check against the budget.</v>
      </c>
      <c r="I12" s="21"/>
      <c r="J12" s="21"/>
      <c r="K12" s="21"/>
      <c r="L12" s="21"/>
    </row>
    <row r="13" customFormat="false" ht="39.75" hidden="false" customHeight="true" outlineLevel="0" collapsed="false">
      <c r="A13" s="20" t="s">
        <v>168</v>
      </c>
      <c r="B13" s="20" t="str">
        <f aca="false">IF(Calc!C40=0,"Not answered",IF(Calc!C40&gt;1,"Answers differ — see right",IFERROR(INDEX(Survey!$D$11:$G$11,MATCH(IF(Survey!H11&lt;&gt;"",Survey!H11,IF(Survey!I11&lt;&gt;"",Survey!I11,Survey!J11)),'Start here'!$A$19:$A$22,0)),"None of these — see notes")))</f>
        <v>Not answered</v>
      </c>
      <c r="C13" s="20"/>
      <c r="D13" s="20"/>
      <c r="E13" s="23" t="str">
        <f aca="false">"Mum "&amp;IF(Survey!H11="","–",UPPER(Survey!H11))&amp;" · Dad "&amp;IF(Survey!I11="","–",UPPER(Survey!I11))&amp;" · Me "&amp;IF(Survey!J11="","–",UPPER(Survey!J11))</f>
        <v>Mum – · Dad – · Me –</v>
      </c>
      <c r="F13" s="23"/>
      <c r="G13" s="23"/>
      <c r="H13" s="21" t="str">
        <f aca="false">"Applies to homes: check at inspections."</f>
        <v>Applies to homes: check at inspections.</v>
      </c>
      <c r="I13" s="21"/>
      <c r="J13" s="21"/>
      <c r="K13" s="21"/>
      <c r="L13" s="21"/>
    </row>
    <row r="15" customFormat="false" ht="15" hidden="false" customHeight="false" outlineLevel="0" collapsed="false">
      <c r="A15" s="28" t="s">
        <v>169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customFormat="false" ht="15" hidden="false" customHeight="false" outlineLevel="0" collapsed="false">
      <c r="A16" s="2" t="s">
        <v>170</v>
      </c>
    </row>
    <row r="18" customFormat="false" ht="23.85" hidden="false" customHeight="false" outlineLevel="0" collapsed="false">
      <c r="A18" s="5" t="s">
        <v>171</v>
      </c>
      <c r="B18" s="5" t="s">
        <v>40</v>
      </c>
      <c r="C18" s="5" t="s">
        <v>41</v>
      </c>
      <c r="D18" s="5" t="s">
        <v>42</v>
      </c>
      <c r="E18" s="5" t="s">
        <v>172</v>
      </c>
      <c r="F18" s="5" t="s">
        <v>173</v>
      </c>
      <c r="G18" s="5" t="s">
        <v>174</v>
      </c>
      <c r="H18" s="5" t="s">
        <v>175</v>
      </c>
      <c r="I18" s="5" t="s">
        <v>176</v>
      </c>
      <c r="J18" s="5" t="s">
        <v>177</v>
      </c>
      <c r="K18" s="5" t="s">
        <v>178</v>
      </c>
      <c r="L18" s="5" t="s">
        <v>179</v>
      </c>
    </row>
    <row r="19" customFormat="false" ht="15" hidden="false" customHeight="false" outlineLevel="0" collapsed="false">
      <c r="A19" s="33" t="str">
        <f aca="false">Survey!C21</f>
        <v>Nature and scenery</v>
      </c>
      <c r="B19" s="34" t="str">
        <f aca="false">IF(Survey!H21="","–",UPPER(Survey!H21))</f>
        <v>–</v>
      </c>
      <c r="C19" s="34" t="str">
        <f aca="false">IF(Survey!I21="","–",UPPER(Survey!I21))</f>
        <v>–</v>
      </c>
      <c r="D19" s="34" t="str">
        <f aca="false">IF(Survey!J21="","–",UPPER(Survey!J21))</f>
        <v>–</v>
      </c>
      <c r="E19" s="35" t="str">
        <f aca="false">IF(Calc!L20="","",Calc!L20)</f>
        <v/>
      </c>
      <c r="F19" s="36" t="str">
        <f aca="false">IF(Calc!N20="","",Calc!N20)</f>
        <v/>
      </c>
      <c r="G19" s="37"/>
      <c r="H19" s="38" t="str">
        <f aca="false">IF(OR(Calc!O20="",SUM(Calc!$O$20:$O$29)=0),"",Calc!O20/SUM(Calc!$O$20:$O$29))</f>
        <v/>
      </c>
      <c r="I19" s="34" t="str">
        <f aca="false">IF(H19="","",RANK(H19,$H$19:$H$28))</f>
        <v/>
      </c>
      <c r="J19" s="39" t="n">
        <v>0.18</v>
      </c>
      <c r="K19" s="40" t="str">
        <f aca="false">IF(H19="","",H19-J19)</f>
        <v/>
      </c>
      <c r="L19" s="41" t="str">
        <f aca="false">TRIM(IF(N(Calc!M20)&gt;=2,"Discuss together — 2+ levels apart. ","")&amp;IF(COUNTIF(B19:D19,"D")&gt;0,"Ask why it's essential ("&amp;TRIM(IF(B19="D","Mum ","")&amp;IF(C19="D","Dad ","")&amp;IF(D19="D","Me",""))&amp;").",""))</f>
        <v/>
      </c>
    </row>
    <row r="20" customFormat="false" ht="15" hidden="false" customHeight="false" outlineLevel="0" collapsed="false">
      <c r="A20" s="33" t="str">
        <f aca="false">Survey!C22</f>
        <v>Near family in Glen Waverley</v>
      </c>
      <c r="B20" s="34" t="str">
        <f aca="false">IF(Survey!H22="","–",UPPER(Survey!H22))</f>
        <v>–</v>
      </c>
      <c r="C20" s="34" t="str">
        <f aca="false">IF(Survey!I22="","–",UPPER(Survey!I22))</f>
        <v>–</v>
      </c>
      <c r="D20" s="34" t="str">
        <f aca="false">IF(Survey!J22="","–",UPPER(Survey!J22))</f>
        <v>–</v>
      </c>
      <c r="E20" s="35" t="str">
        <f aca="false">IF(Calc!L21="","",Calc!L21)</f>
        <v/>
      </c>
      <c r="F20" s="36" t="str">
        <f aca="false">IF(Calc!N21="","",Calc!N21)</f>
        <v/>
      </c>
      <c r="G20" s="37"/>
      <c r="H20" s="38" t="str">
        <f aca="false">IF(OR(Calc!O21="",SUM(Calc!$O$20:$O$29)=0),"",Calc!O21/SUM(Calc!$O$20:$O$29))</f>
        <v/>
      </c>
      <c r="I20" s="34" t="str">
        <f aca="false">IF(H20="","",RANK(H20,$H$19:$H$28))</f>
        <v/>
      </c>
      <c r="J20" s="39" t="n">
        <v>0</v>
      </c>
      <c r="K20" s="40" t="str">
        <f aca="false">IF(H20="","",H20-J20)</f>
        <v/>
      </c>
      <c r="L20" s="41" t="str">
        <f aca="false">TRIM(IF(N(Calc!M21)&gt;=2,"Discuss together — 2+ levels apart. ","")&amp;IF(COUNTIF(B20:D20,"D")&gt;0,"Ask why it's essential ("&amp;TRIM(IF(B20="D","Mum ","")&amp;IF(C20="D","Dad ","")&amp;IF(D20="D","Me",""))&amp;").",""))</f>
        <v/>
      </c>
    </row>
    <row r="21" customFormat="false" ht="15" hidden="false" customHeight="false" outlineLevel="0" collapsed="false">
      <c r="A21" s="33" t="str">
        <f aca="false">Survey!C23</f>
        <v>Indian/South Asian community</v>
      </c>
      <c r="B21" s="34" t="str">
        <f aca="false">IF(Survey!H23="","–",UPPER(Survey!H23))</f>
        <v>–</v>
      </c>
      <c r="C21" s="34" t="str">
        <f aca="false">IF(Survey!I23="","–",UPPER(Survey!I23))</f>
        <v>–</v>
      </c>
      <c r="D21" s="34" t="str">
        <f aca="false">IF(Survey!J23="","–",UPPER(Survey!J23))</f>
        <v>–</v>
      </c>
      <c r="E21" s="35" t="str">
        <f aca="false">IF(Calc!L22="","",Calc!L22)</f>
        <v/>
      </c>
      <c r="F21" s="36" t="str">
        <f aca="false">IF(Calc!N22="","",Calc!N22)</f>
        <v/>
      </c>
      <c r="G21" s="37"/>
      <c r="H21" s="38" t="str">
        <f aca="false">IF(OR(Calc!O22="",SUM(Calc!$O$20:$O$29)=0),"",Calc!O22/SUM(Calc!$O$20:$O$29))</f>
        <v/>
      </c>
      <c r="I21" s="34" t="str">
        <f aca="false">IF(H21="","",RANK(H21,$H$19:$H$28))</f>
        <v/>
      </c>
      <c r="J21" s="39" t="n">
        <v>0.18</v>
      </c>
      <c r="K21" s="40" t="str">
        <f aca="false">IF(H21="","",H21-J21)</f>
        <v/>
      </c>
      <c r="L21" s="41" t="str">
        <f aca="false">TRIM(IF(N(Calc!M22)&gt;=2,"Discuss together — 2+ levels apart. ","")&amp;IF(COUNTIF(B21:D21,"D")&gt;0,"Ask why it's essential ("&amp;TRIM(IF(B21="D","Mum ","")&amp;IF(C21="D","Dad ","")&amp;IF(D21="D","Me",""))&amp;").",""))</f>
        <v/>
      </c>
    </row>
    <row r="22" customFormat="false" ht="15" hidden="false" customHeight="false" outlineLevel="0" collapsed="false">
      <c r="A22" s="33" t="str">
        <f aca="false">Survey!C24</f>
        <v>Beach</v>
      </c>
      <c r="B22" s="34" t="str">
        <f aca="false">IF(Survey!H24="","–",UPPER(Survey!H24))</f>
        <v>–</v>
      </c>
      <c r="C22" s="34" t="str">
        <f aca="false">IF(Survey!I24="","–",UPPER(Survey!I24))</f>
        <v>–</v>
      </c>
      <c r="D22" s="34" t="str">
        <f aca="false">IF(Survey!J24="","–",UPPER(Survey!J24))</f>
        <v>–</v>
      </c>
      <c r="E22" s="35" t="str">
        <f aca="false">IF(Calc!L23="","",Calc!L23)</f>
        <v/>
      </c>
      <c r="F22" s="36" t="str">
        <f aca="false">IF(Calc!N23="","",Calc!N23)</f>
        <v/>
      </c>
      <c r="G22" s="37"/>
      <c r="H22" s="38" t="str">
        <f aca="false">IF(OR(Calc!O23="",SUM(Calc!$O$20:$O$29)=0),"",Calc!O23/SUM(Calc!$O$20:$O$29))</f>
        <v/>
      </c>
      <c r="I22" s="34" t="str">
        <f aca="false">IF(H22="","",RANK(H22,$H$19:$H$28))</f>
        <v/>
      </c>
      <c r="J22" s="39" t="n">
        <v>0.1</v>
      </c>
      <c r="K22" s="40" t="str">
        <f aca="false">IF(H22="","",H22-J22)</f>
        <v/>
      </c>
      <c r="L22" s="41" t="str">
        <f aca="false">TRIM(IF(N(Calc!M23)&gt;=2,"Discuss together — 2+ levels apart. ","")&amp;IF(COUNTIF(B22:D22,"D")&gt;0,"Ask why it's essential ("&amp;TRIM(IF(B22="D","Mum ","")&amp;IF(C22="D","Dad ","")&amp;IF(D22="D","Me",""))&amp;").",""))</f>
        <v/>
      </c>
    </row>
    <row r="23" customFormat="false" ht="15" hidden="false" customHeight="false" outlineLevel="0" collapsed="false">
      <c r="A23" s="33" t="str">
        <f aca="false">Survey!C25</f>
        <v>Hospital nearby</v>
      </c>
      <c r="B23" s="34" t="str">
        <f aca="false">IF(Survey!H25="","–",UPPER(Survey!H25))</f>
        <v>–</v>
      </c>
      <c r="C23" s="34" t="str">
        <f aca="false">IF(Survey!I25="","–",UPPER(Survey!I25))</f>
        <v>–</v>
      </c>
      <c r="D23" s="34" t="str">
        <f aca="false">IF(Survey!J25="","–",UPPER(Survey!J25))</f>
        <v>–</v>
      </c>
      <c r="E23" s="35" t="str">
        <f aca="false">IF(Calc!L24="","",Calc!L24)</f>
        <v/>
      </c>
      <c r="F23" s="36" t="str">
        <f aca="false">IF(Calc!N24="","",Calc!N24)</f>
        <v/>
      </c>
      <c r="G23" s="37"/>
      <c r="H23" s="38" t="str">
        <f aca="false">IF(OR(Calc!O24="",SUM(Calc!$O$20:$O$29)=0),"",Calc!O24/SUM(Calc!$O$20:$O$29))</f>
        <v/>
      </c>
      <c r="I23" s="34" t="str">
        <f aca="false">IF(H23="","",RANK(H23,$H$19:$H$28))</f>
        <v/>
      </c>
      <c r="J23" s="39" t="n">
        <v>0.15</v>
      </c>
      <c r="K23" s="40" t="str">
        <f aca="false">IF(H23="","",H23-J23)</f>
        <v/>
      </c>
      <c r="L23" s="41" t="str">
        <f aca="false">TRIM(IF(N(Calc!M24)&gt;=2,"Discuss together — 2+ levels apart. ","")&amp;IF(COUNTIF(B23:D23,"D")&gt;0,"Ask why it's essential ("&amp;TRIM(IF(B23="D","Mum ","")&amp;IF(C23="D","Dad ","")&amp;IF(D23="D","Me",""))&amp;").",""))</f>
        <v/>
      </c>
    </row>
    <row r="24" customFormat="false" ht="15" hidden="false" customHeight="false" outlineLevel="0" collapsed="false">
      <c r="A24" s="33" t="str">
        <f aca="false">Survey!C26</f>
        <v>Train or bus</v>
      </c>
      <c r="B24" s="34" t="str">
        <f aca="false">IF(Survey!H26="","–",UPPER(Survey!H26))</f>
        <v>–</v>
      </c>
      <c r="C24" s="34" t="str">
        <f aca="false">IF(Survey!I26="","–",UPPER(Survey!I26))</f>
        <v>–</v>
      </c>
      <c r="D24" s="34" t="str">
        <f aca="false">IF(Survey!J26="","–",UPPER(Survey!J26))</f>
        <v>–</v>
      </c>
      <c r="E24" s="35" t="str">
        <f aca="false">IF(Calc!L25="","",Calc!L25)</f>
        <v/>
      </c>
      <c r="F24" s="36" t="str">
        <f aca="false">IF(Calc!N25="","",Calc!N25)</f>
        <v/>
      </c>
      <c r="G24" s="37"/>
      <c r="H24" s="38" t="str">
        <f aca="false">IF(OR(Calc!O25="",SUM(Calc!$O$20:$O$29)=0),"",Calc!O25/SUM(Calc!$O$20:$O$29))</f>
        <v/>
      </c>
      <c r="I24" s="34" t="str">
        <f aca="false">IF(H24="","",RANK(H24,$H$19:$H$28))</f>
        <v/>
      </c>
      <c r="J24" s="39" t="n">
        <v>0.15</v>
      </c>
      <c r="K24" s="40" t="str">
        <f aca="false">IF(H24="","",H24-J24)</f>
        <v/>
      </c>
      <c r="L24" s="41" t="str">
        <f aca="false">TRIM(IF(N(Calc!M25)&gt;=2,"Discuss together — 2+ levels apart. ","")&amp;IF(COUNTIF(B24:D24,"D")&gt;0,"Ask why it's essential ("&amp;TRIM(IF(B24="D","Mum ","")&amp;IF(C24="D","Dad ","")&amp;IF(D24="D","Me",""))&amp;").",""))</f>
        <v/>
      </c>
    </row>
    <row r="25" customFormat="false" ht="15" hidden="false" customHeight="false" outlineLevel="0" collapsed="false">
      <c r="A25" s="33" t="str">
        <f aca="false">Survey!C27</f>
        <v>Shops and doctor nearby</v>
      </c>
      <c r="B25" s="34" t="str">
        <f aca="false">IF(Survey!H27="","–",UPPER(Survey!H27))</f>
        <v>–</v>
      </c>
      <c r="C25" s="34" t="str">
        <f aca="false">IF(Survey!I27="","–",UPPER(Survey!I27))</f>
        <v>–</v>
      </c>
      <c r="D25" s="34" t="str">
        <f aca="false">IF(Survey!J27="","–",UPPER(Survey!J27))</f>
        <v>–</v>
      </c>
      <c r="E25" s="35" t="str">
        <f aca="false">IF(Calc!L26="","",Calc!L26)</f>
        <v/>
      </c>
      <c r="F25" s="36" t="str">
        <f aca="false">IF(Calc!N26="","",Calc!N26)</f>
        <v/>
      </c>
      <c r="G25" s="37"/>
      <c r="H25" s="38" t="str">
        <f aca="false">IF(OR(Calc!O26="",SUM(Calc!$O$20:$O$29)=0),"",Calc!O26/SUM(Calc!$O$20:$O$29))</f>
        <v/>
      </c>
      <c r="I25" s="34" t="str">
        <f aca="false">IF(H25="","",RANK(H25,$H$19:$H$28))</f>
        <v/>
      </c>
      <c r="J25" s="39" t="n">
        <v>0.09</v>
      </c>
      <c r="K25" s="40" t="str">
        <f aca="false">IF(H25="","",H25-J25)</f>
        <v/>
      </c>
      <c r="L25" s="41" t="str">
        <f aca="false">TRIM(IF(N(Calc!M26)&gt;=2,"Discuss together — 2+ levels apart. ","")&amp;IF(COUNTIF(B25:D25,"D")&gt;0,"Ask why it's essential ("&amp;TRIM(IF(B25="D","Mum ","")&amp;IF(C25="D","Dad ","")&amp;IF(D25="D","Me",""))&amp;").",""))</f>
        <v/>
      </c>
    </row>
    <row r="26" customFormat="false" ht="15" hidden="false" customHeight="false" outlineLevel="0" collapsed="false">
      <c r="A26" s="33" t="str">
        <f aca="false">Survey!C28</f>
        <v>Village character</v>
      </c>
      <c r="B26" s="34" t="str">
        <f aca="false">IF(Survey!H28="","–",UPPER(Survey!H28))</f>
        <v>–</v>
      </c>
      <c r="C26" s="34" t="str">
        <f aca="false">IF(Survey!I28="","–",UPPER(Survey!I28))</f>
        <v>–</v>
      </c>
      <c r="D26" s="34" t="str">
        <f aca="false">IF(Survey!J28="","–",UPPER(Survey!J28))</f>
        <v>–</v>
      </c>
      <c r="E26" s="35" t="str">
        <f aca="false">IF(Calc!L27="","",Calc!L27)</f>
        <v/>
      </c>
      <c r="F26" s="36" t="str">
        <f aca="false">IF(Calc!N27="","",Calc!N27)</f>
        <v/>
      </c>
      <c r="G26" s="37"/>
      <c r="H26" s="38" t="str">
        <f aca="false">IF(OR(Calc!O27="",SUM(Calc!$O$20:$O$29)=0),"",Calc!O27/SUM(Calc!$O$20:$O$29))</f>
        <v/>
      </c>
      <c r="I26" s="34" t="str">
        <f aca="false">IF(H26="","",RANK(H26,$H$19:$H$28))</f>
        <v/>
      </c>
      <c r="J26" s="39" t="n">
        <v>0.07</v>
      </c>
      <c r="K26" s="40" t="str">
        <f aca="false">IF(H26="","",H26-J26)</f>
        <v/>
      </c>
      <c r="L26" s="41" t="str">
        <f aca="false">TRIM(IF(N(Calc!M27)&gt;=2,"Discuss together — 2+ levels apart. ","")&amp;IF(COUNTIF(B26:D26,"D")&gt;0,"Ask why it's essential ("&amp;TRIM(IF(B26="D","Mum ","")&amp;IF(C26="D","Dad ","")&amp;IF(D26="D","Me",""))&amp;").",""))</f>
        <v/>
      </c>
    </row>
    <row r="27" customFormat="false" ht="15" hidden="false" customHeight="false" outlineLevel="0" collapsed="false">
      <c r="A27" s="33" t="str">
        <f aca="false">Survey!C29</f>
        <v>Price</v>
      </c>
      <c r="B27" s="34" t="str">
        <f aca="false">IF(Survey!H29="","–",UPPER(Survey!H29))</f>
        <v>–</v>
      </c>
      <c r="C27" s="34" t="str">
        <f aca="false">IF(Survey!I29="","–",UPPER(Survey!I29))</f>
        <v>–</v>
      </c>
      <c r="D27" s="34" t="str">
        <f aca="false">IF(Survey!J29="","–",UPPER(Survey!J29))</f>
        <v>–</v>
      </c>
      <c r="E27" s="35" t="str">
        <f aca="false">IF(Calc!L28="","",Calc!L28)</f>
        <v/>
      </c>
      <c r="F27" s="36" t="str">
        <f aca="false">IF(Calc!N28="","",Calc!N28)</f>
        <v/>
      </c>
      <c r="G27" s="37"/>
      <c r="H27" s="38" t="str">
        <f aca="false">IF(OR(Calc!O28="",SUM(Calc!$O$20:$O$29)=0),"",Calc!O28/SUM(Calc!$O$20:$O$29))</f>
        <v/>
      </c>
      <c r="I27" s="34" t="str">
        <f aca="false">IF(H27="","",RANK(H27,$H$19:$H$28))</f>
        <v/>
      </c>
      <c r="J27" s="39" t="n">
        <v>0.08</v>
      </c>
      <c r="K27" s="40" t="str">
        <f aca="false">IF(H27="","",H27-J27)</f>
        <v/>
      </c>
      <c r="L27" s="41" t="str">
        <f aca="false">TRIM(IF(N(Calc!M28)&gt;=2,"Discuss together — 2+ levels apart. ","")&amp;IF(COUNTIF(B27:D27,"D")&gt;0,"Ask why it's essential ("&amp;TRIM(IF(B27="D","Mum ","")&amp;IF(C27="D","Dad ","")&amp;IF(D27="D","Me",""))&amp;").",""))</f>
        <v/>
      </c>
    </row>
    <row r="28" customFormat="false" ht="15" hidden="false" customHeight="false" outlineLevel="0" collapsed="false">
      <c r="A28" s="33" t="str">
        <f aca="false">Survey!C30</f>
        <v>Easy trip to the city (work, outings)</v>
      </c>
      <c r="B28" s="34" t="str">
        <f aca="false">IF(Survey!H30="","–",UPPER(Survey!H30))</f>
        <v>–</v>
      </c>
      <c r="C28" s="34" t="str">
        <f aca="false">IF(Survey!I30="","–",UPPER(Survey!I30))</f>
        <v>–</v>
      </c>
      <c r="D28" s="34" t="str">
        <f aca="false">IF(Survey!J30="","–",UPPER(Survey!J30))</f>
        <v>–</v>
      </c>
      <c r="E28" s="35" t="str">
        <f aca="false">IF(Calc!L29="","",Calc!L29)</f>
        <v/>
      </c>
      <c r="F28" s="36" t="str">
        <f aca="false">IF(Calc!N29="","",Calc!N29)</f>
        <v/>
      </c>
      <c r="G28" s="37"/>
      <c r="H28" s="38" t="str">
        <f aca="false">IF(OR(Calc!O29="",SUM(Calc!$O$20:$O$29)=0),"",Calc!O29/SUM(Calc!$O$20:$O$29))</f>
        <v/>
      </c>
      <c r="I28" s="34" t="str">
        <f aca="false">IF(H28="","",RANK(H28,$H$19:$H$28))</f>
        <v/>
      </c>
      <c r="J28" s="39" t="n">
        <v>0</v>
      </c>
      <c r="K28" s="40" t="str">
        <f aca="false">IF(H28="","",H28-J28)</f>
        <v/>
      </c>
      <c r="L28" s="41" t="str">
        <f aca="false">TRIM(IF(N(Calc!M29)&gt;=2,"Discuss together — 2+ levels apart. ","")&amp;IF(COUNTIF(B28:D28,"D")&gt;0,"Ask why it's essential ("&amp;TRIM(IF(B28="D","Mum ","")&amp;IF(C28="D","Dad ","")&amp;IF(D28="D","Me",""))&amp;").",""))</f>
        <v/>
      </c>
    </row>
    <row r="29" customFormat="false" ht="15" hidden="false" customHeight="false" outlineLevel="0" collapsed="false">
      <c r="A29" s="8" t="s">
        <v>180</v>
      </c>
      <c r="E29" s="42" t="n">
        <f aca="false">SUM(E19:E28)</f>
        <v>0</v>
      </c>
      <c r="F29" s="43" t="n">
        <f aca="false">SUM(F19:F28)</f>
        <v>0</v>
      </c>
      <c r="H29" s="42" t="n">
        <f aca="false">SUM(H19:H28)</f>
        <v>0</v>
      </c>
      <c r="J29" s="44" t="n">
        <f aca="false">SUM(J19:J28)</f>
        <v>1</v>
      </c>
    </row>
    <row r="30" customFormat="false" ht="15" hidden="false" customHeight="false" outlineLevel="0" collapsed="false">
      <c r="A30" s="2" t="s">
        <v>181</v>
      </c>
    </row>
    <row r="32" customFormat="false" ht="15" hidden="false" customHeight="false" outlineLevel="0" collapsed="false">
      <c r="A32" s="28" t="s">
        <v>182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customFormat="false" ht="15" hidden="false" customHeight="true" outlineLevel="0" collapsed="false">
      <c r="A33" s="30" t="s">
        <v>183</v>
      </c>
      <c r="B33" s="31" t="s">
        <v>184</v>
      </c>
      <c r="C33" s="31"/>
      <c r="D33" s="31"/>
      <c r="E33" s="31" t="s">
        <v>162</v>
      </c>
      <c r="F33" s="31"/>
      <c r="G33" s="31"/>
      <c r="H33" s="31" t="s">
        <v>96</v>
      </c>
      <c r="I33" s="31"/>
      <c r="J33" s="31"/>
      <c r="K33" s="31" t="s">
        <v>185</v>
      </c>
      <c r="L33" s="31"/>
    </row>
    <row r="34" customFormat="false" ht="30" hidden="false" customHeight="true" outlineLevel="0" collapsed="false">
      <c r="A34" s="33" t="s">
        <v>108</v>
      </c>
      <c r="B34" s="23" t="str">
        <f aca="false">IF(Calc!E11="","Not answered",IF(Calc!E11="Split","Split — discuss",IF(Calc!E11="A",Survey!D15,Survey!E15)))</f>
        <v>Not answered</v>
      </c>
      <c r="C34" s="23"/>
      <c r="D34" s="23"/>
      <c r="E34" s="23" t="str">
        <f aca="false">"Mum "&amp;IF(Survey!H15="","–",UPPER(Survey!H15))&amp;" · Dad "&amp;IF(Survey!I15="","–",UPPER(Survey!I15))&amp;" · Me "&amp;IF(Survey!J15="","–",UPPER(Survey!J15))</f>
        <v>Mum – · Dad – · Me –</v>
      </c>
      <c r="F34" s="23"/>
      <c r="G34" s="23"/>
      <c r="H34" s="23" t="str">
        <f aca="false">IF(Calc!E11="A","Nature outweighs being close to Glen Waverley.",IF(Calc!E11="B","Being close to Glen Waverley outweighs nature.",IF(Calc!E11="Split","Raise it together.","—")))</f>
        <v>—</v>
      </c>
      <c r="I34" s="23"/>
      <c r="J34" s="23"/>
      <c r="K34" s="23" t="str">
        <f aca="false">IF(OR(Calc!E11="",Calc!E11="Split"),"—",IF(Calc!L11&gt;0,TEXT(Calc!L11*100,"0.0")&amp;" pts to "&amp;INDEX(Calc!$B$20:$B$29,Calc!H11),"None — Q15 already agrees"))</f>
        <v>—</v>
      </c>
      <c r="L34" s="23"/>
    </row>
    <row r="35" customFormat="false" ht="30" hidden="false" customHeight="true" outlineLevel="0" collapsed="false">
      <c r="A35" s="33" t="s">
        <v>113</v>
      </c>
      <c r="B35" s="23" t="str">
        <f aca="false">IF(Calc!E12="","Not answered",IF(Calc!E12="Split","Split — discuss",IF(Calc!E12="A",Survey!D16,Survey!E16)))</f>
        <v>Not answered</v>
      </c>
      <c r="C35" s="23"/>
      <c r="D35" s="23"/>
      <c r="E35" s="23" t="str">
        <f aca="false">"Mum "&amp;IF(Survey!H16="","–",UPPER(Survey!H16))&amp;" · Dad "&amp;IF(Survey!I16="","–",UPPER(Survey!I16))&amp;" · Me "&amp;IF(Survey!J16="","–",UPPER(Survey!J16))</f>
        <v>Mum – · Dad – · Me –</v>
      </c>
      <c r="F35" s="23"/>
      <c r="G35" s="23"/>
      <c r="H35" s="23" t="str">
        <f aca="false">IF(Calc!E12="A","Beach outweighs hills and bush.",IF(Calc!E12="B","Hills and bush outweigh the beach; beach can go near zero.",IF(Calc!E12="Split","Raise it together.","—")))</f>
        <v>—</v>
      </c>
      <c r="I35" s="23"/>
      <c r="J35" s="23"/>
      <c r="K35" s="23" t="str">
        <f aca="false">IF(OR(Calc!E12="",Calc!E12="Split"),"—",IF(Calc!L12&gt;0,TEXT(Calc!L12*100,"0.0")&amp;" pts to "&amp;INDEX(Calc!$B$20:$B$29,Calc!H12),"None — Q15 already agrees"))</f>
        <v>—</v>
      </c>
      <c r="L35" s="23"/>
    </row>
    <row r="36" customFormat="false" ht="30" hidden="false" customHeight="true" outlineLevel="0" collapsed="false">
      <c r="A36" s="33" t="s">
        <v>116</v>
      </c>
      <c r="B36" s="23" t="str">
        <f aca="false">IF(Calc!E13="","Not answered",IF(Calc!E13="Split","Split — discuss",IF(Calc!E13="A",Survey!D17,Survey!E17)))</f>
        <v>Not answered</v>
      </c>
      <c r="C36" s="23"/>
      <c r="D36" s="23"/>
      <c r="E36" s="23" t="str">
        <f aca="false">"Mum "&amp;IF(Survey!H17="","–",UPPER(Survey!H17))&amp;" · Dad "&amp;IF(Survey!I17="","–",UPPER(Survey!I17))&amp;" · Me "&amp;IF(Survey!J17="","–",UPPER(Survey!J17))</f>
        <v>Mum – · Dad – · Me –</v>
      </c>
      <c r="F36" s="23"/>
      <c r="G36" s="23"/>
      <c r="H36" s="23" t="str">
        <f aca="false">IF(Calc!E13="A","A quiet street outweighs walking to shops.",IF(Calc!E13="B","Walking to shops, doctor and station outweighs a quiet street.",IF(Calc!E13="Split","Raise it together.","—")))</f>
        <v>—</v>
      </c>
      <c r="I36" s="23"/>
      <c r="J36" s="23"/>
      <c r="K36" s="23" t="str">
        <f aca="false">IF(OR(Calc!E13="",Calc!E13="Split"),"—",IF(Calc!L13&gt;0,TEXT(Calc!L13*100,"0.0")&amp;" pts to "&amp;INDEX(Calc!$B$20:$B$29,Calc!H13),"None — Q15 already agrees"))</f>
        <v>—</v>
      </c>
      <c r="L36" s="23"/>
    </row>
    <row r="37" customFormat="false" ht="30" hidden="false" customHeight="true" outlineLevel="0" collapsed="false">
      <c r="A37" s="33" t="s">
        <v>119</v>
      </c>
      <c r="B37" s="23" t="str">
        <f aca="false">IF(Calc!E14="","Not answered",IF(Calc!E14="Split","Split — discuss",IF(Calc!E14="A",Survey!D18,Survey!E18)))</f>
        <v>Not answered</v>
      </c>
      <c r="C37" s="23"/>
      <c r="D37" s="23"/>
      <c r="E37" s="23" t="str">
        <f aca="false">"Mum "&amp;IF(Survey!H18="","–",UPPER(Survey!H18))&amp;" · Dad "&amp;IF(Survey!I18="","–",UPPER(Survey!I18))&amp;" · Me "&amp;IF(Survey!J18="","–",UPPER(Survey!J18))</f>
        <v>Mum – · Dad – · Me –</v>
      </c>
      <c r="F37" s="23"/>
      <c r="G37" s="23"/>
      <c r="H37" s="23" t="str">
        <f aca="false">IF(Calc!E14="A","Community in the suburb outweighs greenery: score community by suburb.",IF(Calc!E14="B","Greenery outweighs community in the suburb: score community by drive time.",IF(Calc!E14="Split","Raise it together.","—")))</f>
        <v>—</v>
      </c>
      <c r="I37" s="23"/>
      <c r="J37" s="23"/>
      <c r="K37" s="23" t="str">
        <f aca="false">IF(OR(Calc!E14="",Calc!E14="Split"),"—",IF(Calc!L14&gt;0,TEXT(Calc!L14*100,"0.0")&amp;" pts to "&amp;INDEX(Calc!$B$20:$B$29,Calc!H14),"None — Q15 already agrees"))</f>
        <v>—</v>
      </c>
      <c r="L37" s="23"/>
    </row>
    <row r="39" customFormat="false" ht="15" hidden="false" customHeight="false" outlineLevel="0" collapsed="false">
      <c r="A39" s="28" t="s">
        <v>186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customFormat="false" ht="30" hidden="false" customHeight="true" outlineLevel="0" collapsed="false">
      <c r="A40" s="20" t="s">
        <v>187</v>
      </c>
      <c r="B40" s="23" t="str">
        <f aca="false">IF((COUNTIF(Survey!H13:J13,"A")+COUNTIF(Survey!H13:J13,"D"))+(COUNTIF(Survey!H13:J13,"B")+COUNTIF(Survey!H13:J13,"C"))=0,"Not answered",IF((COUNTIF(Survey!H13:J13,"B")+COUNTIF(Survey!H13:J13,"C"))&gt;(COUNTIF(Survey!H13:J13,"A")+COUNTIF(Survey!H13:J13,"D")),"Real bush and forest access: reserves, trails and hills within a short drive.",IF((COUNTIF(Survey!H13:J13,"A")+COUNTIF(Survey!H13:J13,"D"))&gt;(COUNTIF(Survey!H13:J13,"B")+COUNTIF(Survey!H13:J13,"C")),"Treed streets, a green outlook and their own garden count as nature.","Mixed — measure both street greenery and bush/trail access.")))</f>
        <v>Not answered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customFormat="false" ht="30" hidden="false" customHeight="true" outlineLevel="0" collapsed="false">
      <c r="A41" s="20" t="s">
        <v>188</v>
      </c>
      <c r="B41" s="23" t="str">
        <f aca="false">"Mum: "&amp;IF(Survey!H14="","–",IFERROR(INDEX(Survey!$D$14:$G$14,MATCH(Survey!H14,'Start here'!$A$19:$A$22,0)),"Other — see notes"))&amp;" · Dad: "&amp;IF(Survey!I14="","–",IFERROR(INDEX(Survey!$D$14:$G$14,MATCH(Survey!I14,'Start here'!$A$19:$A$22,0)),"Other — see notes"))&amp;" · Me: "&amp;IF(Survey!J14="","–",IFERROR(INDEX(Survey!$D$14:$G$14,MATCH(Survey!J14,'Start here'!$A$19:$A$22,0)),"Other — see notes"))</f>
        <v>Mum: – · Dad: – · Me: –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customFormat="false" ht="30" hidden="false" customHeight="true" outlineLevel="0" collapsed="false">
      <c r="A42" s="20" t="s">
        <v>189</v>
      </c>
      <c r="B42" s="23" t="str">
        <f aca="false">IF(COUNTA(Survey!H14:J14)=0,"Not answered",TRIM(IF(COUNTIF(Survey!H14:J14,"A")&gt;0,"Drive time to their place of worship. ","")&amp;IF(COUNTIF(Survey!H14:J14,"B")&gt;0,"Distance to Indian grocers and restaurants. ","")&amp;IF(COUNTIF(Survey!H14:J14,"C")&gt;0,"Drive time to language or cultural groups and friends. ","")&amp;IF(COUNTIF(Survey!H14:J14,"D")&gt;0,"Overseas-born share (ABS) is a fair proxy. ","")&amp;IF(Calc!E14="A","Score it by what is inside the suburb (Q13).",IF(Calc!E14="B","Score it by drive time; 20–35 min is fine (Q13).",""))))</f>
        <v>Not answered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customFormat="false" ht="30" hidden="false" customHeight="true" outlineLevel="0" collapsed="false">
      <c r="A43" s="20" t="s">
        <v>190</v>
      </c>
      <c r="B43" s="23" t="str">
        <f aca="false">IF((COUNTIF(Survey!H19:J19,"B")+COUNTIF(Survey!H19:J19,"C"))+(COUNTIF(Survey!H19:J19,"A")+COUNTIF(Survey!H19:J19,"D"))=0,"Not answered (optional).",IF((COUNTIF(Survey!H19:J19,"B")+COUNTIF(Survey!H19:J19,"C"))&gt;(COUNTIF(Survey!H19:J19,"A")+COUNTIF(Survey!H19:J19,"D")),"They'd rely on walking or transit later: keep train/bus and walkable shops meaningful even though they drive now."&amp;IF(AND(ISNUMBER(H24),H24&lt;0.05)," Warning: train/bus is only "&amp;TEXT(H24,"0%")&amp;" — consider a tweak upward.",""),IF((COUNTIF(Survey!H19:J19,"A")+COUNTIF(Survey!H19:J19,"D"))&gt;(COUNTIF(Survey!H19:J19,"B")+COUNTIF(Survey!H19:J19,"C")),"They'd stay car-based or move again: train/bus can stay low.","Mixed — discuss.")))</f>
        <v>Not answered (optional).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customFormat="false" ht="30" hidden="false" customHeight="true" outlineLevel="0" collapsed="false">
      <c r="A44" s="20" t="s">
        <v>191</v>
      </c>
      <c r="B44" s="23" t="str">
        <f aca="false">"Mum: "&amp;IF(Survey!H5="","–",IFERROR(INDEX(Survey!$D$5:$G$5,MATCH(Survey!H5,'Start here'!$A$19:$A$22,0)),"Other — see notes"))&amp;" · Dad: "&amp;IF(Survey!I5="","–",IFERROR(INDEX(Survey!$D$5:$G$5,MATCH(Survey!I5,'Start here'!$A$19:$A$22,0)),"Other — see notes"))&amp;" · Me: "&amp;IF(Survey!J5="","–",IFERROR(INDEX(Survey!$D$5:$G$5,MATCH(Survey!J5,'Start here'!$A$19:$A$22,0)),"Other — see notes"))</f>
        <v>Mum: – · Dad: – · Me: –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customFormat="false" ht="30" hidden="false" customHeight="true" outlineLevel="0" collapsed="false">
      <c r="A45" s="20" t="s">
        <v>192</v>
      </c>
      <c r="B45" s="23" t="str">
        <f aca="false">"Mum: "&amp;IF(Survey!H6="","–",IFERROR(INDEX(Survey!$D$6:$G$6,MATCH(Survey!H6,'Start here'!$A$19:$A$22,0)),"Other — see notes"))&amp;" · Dad: "&amp;IF(Survey!I6="","–",IFERROR(INDEX(Survey!$D$6:$G$6,MATCH(Survey!I6,'Start here'!$A$19:$A$22,0)),"Other — see notes"))&amp;" · Me: "&amp;IF(Survey!J6="","–",IFERROR(INDEX(Survey!$D$6:$G$6,MATCH(Survey!J6,'Start here'!$A$19:$A$22,0)),"Other — see notes"))</f>
        <v>Mum: – · Dad: – · Me: –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30" hidden="false" customHeight="true" outlineLevel="0" collapsed="false">
      <c r="A46" s="20" t="s">
        <v>193</v>
      </c>
      <c r="B46" s="23" t="str">
        <f aca="false">IF(COUNTA(Survey!H6:J6)=0,"Not answered",IF(TRIM(IF(COUNTIF(Survey!H6:J6,"A")+COUNTIF(Survey!H6:J6,"C")&gt;0,"Driving or distance to care was hard: lean towards train and hospital access. ","")&amp;IF(COUNTIF(Survey!H6:J6,"B")&gt;0,"Distance from family was hard: supports a firm Glen Waverley limit. ","")&amp;IF(COUNTIF(Survey!H6:J6,"D")&gt;0,"Upkeep was hard: keep the house and garden manageable. ",""))="","See notes.",TRIM(IF(COUNTIF(Survey!H6:J6,"A")+COUNTIF(Survey!H6:J6,"C")&gt;0,"Driving or distance to care was hard: lean towards train and hospital access. ","")&amp;IF(COUNTIF(Survey!H6:J6,"B")&gt;0,"Distance from family was hard: supports a firm Glen Waverley limit. ","")&amp;IF(COUNTIF(Survey!H6:J6,"D")&gt;0,"Upkeep was hard: keep the house and garden manageable. ",""))))</f>
        <v>Not answered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8" customFormat="false" ht="15" hidden="false" customHeight="false" outlineLevel="0" collapsed="false">
      <c r="A48" s="28" t="s">
        <v>194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customFormat="false" ht="60" hidden="false" customHeight="true" outlineLevel="0" collapsed="false">
      <c r="A49" s="23" t="str">
        <f aca="false">IF(_xlfn.TEXTJOIN(";  ",TRUE(),Calc!J36:J48,Calc!Q20:Q29)="","Nothing major — answers line up.",_xlfn.TEXTJOIN(";  ",TRUE(),Calc!J36:J48,Calc!Q20:Q29))</f>
        <v>Nothing major — answers line up.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customFormat="false" ht="15" hidden="false" customHeight="false" outlineLevel="0" collapsed="false">
      <c r="A50" s="2" t="s">
        <v>195</v>
      </c>
    </row>
    <row r="51" customFormat="false" ht="15" hidden="false" customHeight="false" outlineLevel="0" collapsed="false">
      <c r="A51" s="28" t="s">
        <v>196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customFormat="false" ht="36" hidden="false" customHeight="true" outlineLevel="0" collapsed="false">
      <c r="A52" s="45" t="n">
        <v>1</v>
      </c>
      <c r="B52" s="23" t="str">
        <f aca="false">IF(OR(Survey!H34&lt;&gt;"OK",Survey!I34&lt;&gt;"OK",Survey!J34&lt;&gt;"OK"),"First, finish or fix Q15 (Mum "&amp;Survey!H34&amp;", Dad "&amp;Survey!I34&amp;", Me "&amp;Survey!J34&amp;"). ","")&amp;"Rule suburbs out on the Suburb scorecard: total budget "&amp;IF(ISNUMBER(B8),TEXT(B8,"$#,##0"),LOWER(B8))&amp;"; max "&amp;IF(ISNUMBER(B9),B9&amp;" min","(not answered)")&amp;" to Glen Waverley; max "&amp;IF(ISNUMBER(B10),B10&amp;" min","(not answered)")&amp;" to an emergency department. Enter each suburb's drive times there."</f>
        <v>First, finish or fix Q15 (Mum Not started, Dad Not started, Me Not started). Rule suburbs out on the Suburb scorecard: total budget not answered; max (not answered) to Glen Waverley; max (not answered) to an emergency department. Enter each suburb's drive times there.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customFormat="false" ht="36" hidden="false" customHeight="true" outlineLevel="0" collapsed="false">
      <c r="A53" s="45" t="n">
        <v>2</v>
      </c>
      <c r="B53" s="23" t="str">
        <f aca="false">IF((SUMPRODUCT(--(LEN(Calc!J36:J48)&gt;0))+SUMPRODUCT(--(LEN(Calc!Q20:Q29)&gt;0)))=0,"No joint discussion needed before scoring.","Talk through the "&amp;(SUMPRODUCT(--(LEN(Calc!J36:J48)&gt;0))+SUMPRODUCT(--(LEN(Calc!Q20:Q29)&gt;0)))&amp;" flagged item(s) in section 5 with Mum and Dad together, then set the answer (or use Your tweak) before scoring.")</f>
        <v>No joint discussion needed before scoring.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customFormat="false" ht="36" hidden="false" customHeight="true" outlineLevel="0" collapsed="false">
      <c r="A54" s="45" t="n">
        <v>3</v>
      </c>
      <c r="B54" s="23" t="str">
        <f aca="false">"Measure nature as: "&amp;B40&amp;"  Measure community by: "&amp;B42</f>
        <v>Measure nature as: Not answered  Measure community by: Not answered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customFormat="false" ht="36" hidden="false" customHeight="true" outlineLevel="0" collapsed="false">
      <c r="A55" s="45" t="n">
        <v>4</v>
      </c>
      <c r="B55" s="23" t="str">
        <f aca="false">IF(Calc!B54="","Finish Q15 to see which lens leads.",IF(Calc!B54="nature","Lead with the greenery lens: visit Upper Ferntree Gully and Eltham first; compare Upwey and Belgrave.",IF(Calc!B54="community","Lead with the multicultural-convenience lens: Glen Waverley, Ringwood and Blackburn first; compare Box Hill.","Lead with the coastal lens: Mentone, Altona and Williamstown first; keep Frankston as a price comparison.")))</f>
        <v>Finish Q15 to see which lens leads.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customFormat="false" ht="36" hidden="false" customHeight="true" outlineLevel="0" collapsed="false">
      <c r="A56" s="45" t="n">
        <v>5</v>
      </c>
      <c r="B56" s="23" t="str">
        <f aca="false">IF(Calc!B51="","Finish Q15 to compare against your draft weights.","Biggest changes from your draft: "&amp;Calc!B51&amp;" ("&amp;TEXT(Calc!C51*100,"+0;-0")&amp;" pts)"&amp;IF(Calc!B52="","",", "&amp;Calc!B52&amp;" ("&amp;TEXT(Calc!C52*100,"+0;-0")&amp;" pts)")&amp;". Score each suburb 0–10 per priority on the scorecard; the ranking updates.")</f>
        <v>Finish Q15 to compare against your draft weights.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customFormat="false" ht="36" hidden="false" customHeight="true" outlineLevel="0" collapsed="false">
      <c r="A57" s="45" t="n">
        <v>6</v>
      </c>
      <c r="B57" s="23" t="str">
        <f aca="false">"Visit the top three passing suburbs on an ordinary weekday: walk from a real listing to shops, pharmacy and station, and time the routine drive to hospital."</f>
        <v>Visit the top three passing suburbs on an ordinary weekday: walk from a real listing to shops, pharmacy and station, and time the routine drive to hospital.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</row>
  </sheetData>
  <mergeCells count="56">
    <mergeCell ref="A4:L4"/>
    <mergeCell ref="B7:D7"/>
    <mergeCell ref="E7:G7"/>
    <mergeCell ref="H7:L7"/>
    <mergeCell ref="B8:D8"/>
    <mergeCell ref="E8:G8"/>
    <mergeCell ref="H8:L8"/>
    <mergeCell ref="B9:D9"/>
    <mergeCell ref="E9:G9"/>
    <mergeCell ref="H9:L9"/>
    <mergeCell ref="B10:D10"/>
    <mergeCell ref="E10:G10"/>
    <mergeCell ref="H10:L10"/>
    <mergeCell ref="B11:D11"/>
    <mergeCell ref="E11:G11"/>
    <mergeCell ref="H11:L11"/>
    <mergeCell ref="B12:D12"/>
    <mergeCell ref="E12:G12"/>
    <mergeCell ref="H12:L12"/>
    <mergeCell ref="B13:D13"/>
    <mergeCell ref="E13:G13"/>
    <mergeCell ref="H13:L13"/>
    <mergeCell ref="B33:D33"/>
    <mergeCell ref="E33:G33"/>
    <mergeCell ref="H33:J33"/>
    <mergeCell ref="K33:L33"/>
    <mergeCell ref="B34:D34"/>
    <mergeCell ref="E34:G34"/>
    <mergeCell ref="H34:J34"/>
    <mergeCell ref="K34:L34"/>
    <mergeCell ref="B35:D35"/>
    <mergeCell ref="E35:G35"/>
    <mergeCell ref="H35:J35"/>
    <mergeCell ref="K35:L35"/>
    <mergeCell ref="B36:D36"/>
    <mergeCell ref="E36:G36"/>
    <mergeCell ref="H36:J36"/>
    <mergeCell ref="K36:L36"/>
    <mergeCell ref="B37:D37"/>
    <mergeCell ref="E37:G37"/>
    <mergeCell ref="H37:J37"/>
    <mergeCell ref="K37:L37"/>
    <mergeCell ref="B40:L40"/>
    <mergeCell ref="B41:L41"/>
    <mergeCell ref="B42:L42"/>
    <mergeCell ref="B43:L43"/>
    <mergeCell ref="B44:L44"/>
    <mergeCell ref="B45:L45"/>
    <mergeCell ref="B46:L46"/>
    <mergeCell ref="A49:L49"/>
    <mergeCell ref="B52:L52"/>
    <mergeCell ref="B53:L53"/>
    <mergeCell ref="B54:L54"/>
    <mergeCell ref="B55:L55"/>
    <mergeCell ref="B56:L56"/>
    <mergeCell ref="B57:L57"/>
  </mergeCells>
  <conditionalFormatting sqref="L19:L28">
    <cfRule type="expression" priority="2" aboveAverage="0" equalAverage="0" bottom="0" percent="0" rank="0" text="" dxfId="1">
      <formula>LEN(L19)&gt;0</formula>
    </cfRule>
  </conditionalFormatting>
  <conditionalFormatting sqref="A19:L28">
    <cfRule type="expression" priority="3" aboveAverage="0" equalAverage="0" bottom="0" percent="0" rank="0" text="" dxfId="2">
      <formula>AND(ISNUMBER($I19),$I19&lt;=3)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8"/>
    <col collapsed="false" customWidth="true" hidden="false" outlineLevel="0" max="17" min="8" style="0" width="10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1" min="21" style="0" width="11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25" t="s">
        <v>199</v>
      </c>
      <c r="B4" s="46" t="str">
        <f aca="false">Results!B8</f>
        <v>Not answered</v>
      </c>
      <c r="C4" s="25" t="s">
        <v>200</v>
      </c>
      <c r="D4" s="47" t="str">
        <f aca="false">Results!B9</f>
        <v>Not answered</v>
      </c>
      <c r="E4" s="25" t="s">
        <v>201</v>
      </c>
      <c r="F4" s="47" t="str">
        <f aca="false">Results!B10</f>
        <v>Not answered</v>
      </c>
      <c r="G4" s="25" t="s">
        <v>202</v>
      </c>
      <c r="H4" s="48" t="n">
        <f aca="false">'Start here'!$B$25</f>
        <v>0.06</v>
      </c>
    </row>
    <row r="6" customFormat="false" ht="15" hidden="false" customHeight="false" outlineLevel="0" collapsed="false">
      <c r="G6" s="25" t="s">
        <v>203</v>
      </c>
      <c r="H6" s="49" t="str">
        <f aca="false">Results!H19</f>
        <v/>
      </c>
      <c r="I6" s="49" t="str">
        <f aca="false">Results!H20</f>
        <v/>
      </c>
      <c r="J6" s="49" t="str">
        <f aca="false">Results!H21</f>
        <v/>
      </c>
      <c r="K6" s="49" t="str">
        <f aca="false">Results!H22</f>
        <v/>
      </c>
      <c r="L6" s="49" t="str">
        <f aca="false">Results!H23</f>
        <v/>
      </c>
      <c r="M6" s="49" t="str">
        <f aca="false">Results!H24</f>
        <v/>
      </c>
      <c r="N6" s="49" t="str">
        <f aca="false">Results!H25</f>
        <v/>
      </c>
      <c r="O6" s="49" t="str">
        <f aca="false">Results!H26</f>
        <v/>
      </c>
      <c r="P6" s="49" t="str">
        <f aca="false">Results!H27</f>
        <v/>
      </c>
      <c r="Q6" s="49" t="str">
        <f aca="false">Results!H28</f>
        <v/>
      </c>
    </row>
    <row r="7" customFormat="false" ht="45" hidden="false" customHeight="true" outlineLevel="0" collapsed="false">
      <c r="A7" s="5" t="s">
        <v>204</v>
      </c>
      <c r="B7" s="5" t="s">
        <v>205</v>
      </c>
      <c r="C7" s="5" t="s">
        <v>206</v>
      </c>
      <c r="D7" s="5" t="s">
        <v>207</v>
      </c>
      <c r="E7" s="5" t="s">
        <v>208</v>
      </c>
      <c r="F7" s="5" t="s">
        <v>209</v>
      </c>
      <c r="G7" s="5" t="s">
        <v>210</v>
      </c>
      <c r="H7" s="5" t="str">
        <f aca="false">Results!A19</f>
        <v>Nature and scenery</v>
      </c>
      <c r="I7" s="5" t="str">
        <f aca="false">Results!A20</f>
        <v>Near family in Glen Waverley</v>
      </c>
      <c r="J7" s="5" t="str">
        <f aca="false">Results!A21</f>
        <v>Indian/South Asian community</v>
      </c>
      <c r="K7" s="5" t="str">
        <f aca="false">Results!A22</f>
        <v>Beach</v>
      </c>
      <c r="L7" s="5" t="str">
        <f aca="false">Results!A23</f>
        <v>Hospital nearby</v>
      </c>
      <c r="M7" s="5" t="str">
        <f aca="false">Results!A24</f>
        <v>Train or bus</v>
      </c>
      <c r="N7" s="5" t="str">
        <f aca="false">Results!A25</f>
        <v>Shops and doctor nearby</v>
      </c>
      <c r="O7" s="5" t="str">
        <f aca="false">Results!A26</f>
        <v>Village character</v>
      </c>
      <c r="P7" s="5" t="str">
        <f aca="false">Results!A27</f>
        <v>Price</v>
      </c>
      <c r="Q7" s="5" t="str">
        <f aca="false">Results!A28</f>
        <v>Easy trip to the city (work, outings)</v>
      </c>
      <c r="R7" s="5" t="s">
        <v>211</v>
      </c>
      <c r="S7" s="5" t="s">
        <v>212</v>
      </c>
      <c r="T7" s="5" t="s">
        <v>213</v>
      </c>
      <c r="U7" s="5" t="s">
        <v>214</v>
      </c>
    </row>
    <row r="8" customFormat="false" ht="15" hidden="false" customHeight="false" outlineLevel="0" collapsed="false">
      <c r="A8" s="33" t="s">
        <v>215</v>
      </c>
      <c r="B8" s="50" t="n">
        <v>1600000</v>
      </c>
      <c r="C8" s="51" t="s">
        <v>216</v>
      </c>
      <c r="D8" s="52" t="n">
        <f aca="false">IF(B8="","",B8*(1+$H$4))</f>
        <v>1696000</v>
      </c>
      <c r="E8" s="53"/>
      <c r="F8" s="53"/>
      <c r="G8" s="54" t="str">
        <f aca="false">IF(A8="","",IF(OR(AND(ISNUMBER($B$4),ISNUMBER(D8),D8&gt;$B$4),AND(ISNUMBER($D$4),ISNUMBER(E8),E8&gt;$D$4),AND(ISNUMBER($F$4),ISNUMBER(F8),F8&gt;$F$4)),"Fails: "&amp;_xlfn.TEXTJOIN(", ",TRUE(),IF(AND(ISNUMBER($B$4),ISNUMBER(D8),D8&gt;$B$4),"budget",""),IF(AND(ISNUMBER($D$4),ISNUMBER(E8),E8&gt;$D$4),"Glen Waverley drive",""),IF(AND(ISNUMBER($F$4),ISNUMBER(F8),F8&gt;$F$4),"hospital drive","")),IF(OR(B8="",E8="",F8=""),"Need data","Pass")))</f>
        <v>Need data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34" t="str">
        <f aca="false">IF(A8="","",COUNT(H8:Q8)&amp;"/10")</f>
        <v>0/10</v>
      </c>
      <c r="S8" s="55" t="str">
        <f aca="false">IF(OR(A8="",COUNT(H8:Q8)&lt;10,COUNT($H$6:$Q$6)&lt;10),"",SUMPRODUCT(H8:Q8,$H$6:$Q$6))</f>
        <v/>
      </c>
      <c r="T8" s="34" t="str">
        <f aca="false">IF(AND(G8="Pass",ISNUMBER(S8)),SUMPRODUCT(($G$8:$G$21="Pass")*ISNUMBER($S$8:$S$21)*($S$8:$S$21&gt;S8))+1,"")</f>
        <v/>
      </c>
      <c r="U8" s="56" t="n">
        <v>0.324</v>
      </c>
    </row>
    <row r="9" customFormat="false" ht="15" hidden="false" customHeight="false" outlineLevel="0" collapsed="false">
      <c r="A9" s="33" t="s">
        <v>217</v>
      </c>
      <c r="B9" s="50" t="n">
        <v>1045000</v>
      </c>
      <c r="C9" s="51" t="s">
        <v>216</v>
      </c>
      <c r="D9" s="52" t="n">
        <f aca="false">IF(B9="","",B9*(1+$H$4))</f>
        <v>1107700</v>
      </c>
      <c r="E9" s="53"/>
      <c r="F9" s="53"/>
      <c r="G9" s="54" t="str">
        <f aca="false">IF(A9="","",IF(OR(AND(ISNUMBER($B$4),ISNUMBER(D9),D9&gt;$B$4),AND(ISNUMBER($D$4),ISNUMBER(E9),E9&gt;$D$4),AND(ISNUMBER($F$4),ISNUMBER(F9),F9&gt;$F$4)),"Fails: "&amp;_xlfn.TEXTJOIN(", ",TRUE(),IF(AND(ISNUMBER($B$4),ISNUMBER(D9),D9&gt;$B$4),"budget",""),IF(AND(ISNUMBER($D$4),ISNUMBER(E9),E9&gt;$D$4),"Glen Waverley drive",""),IF(AND(ISNUMBER($F$4),ISNUMBER(F9),F9&gt;$F$4),"hospital drive","")),IF(OR(B9="",E9="",F9=""),"Need data","Pass")))</f>
        <v>Need data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34" t="str">
        <f aca="false">IF(A9="","",COUNT(H9:Q9)&amp;"/10")</f>
        <v>0/10</v>
      </c>
      <c r="S9" s="55" t="str">
        <f aca="false">IF(OR(A9="",COUNT(H9:Q9)&lt;10,COUNT($H$6:$Q$6)&lt;10),"",SUMPRODUCT(H9:Q9,$H$6:$Q$6))</f>
        <v/>
      </c>
      <c r="T9" s="34" t="str">
        <f aca="false">IF(AND(G9="Pass",ISNUMBER(S9)),SUMPRODUCT(($G$8:$G$21="Pass")*ISNUMBER($S$8:$S$21)*($S$8:$S$21&gt;S9))+1,"")</f>
        <v/>
      </c>
      <c r="U9" s="56" t="n">
        <v>0.357</v>
      </c>
    </row>
    <row r="10" customFormat="false" ht="15" hidden="false" customHeight="false" outlineLevel="0" collapsed="false">
      <c r="A10" s="33" t="s">
        <v>218</v>
      </c>
      <c r="B10" s="50" t="n">
        <v>1452000</v>
      </c>
      <c r="C10" s="51" t="s">
        <v>219</v>
      </c>
      <c r="D10" s="52" t="n">
        <f aca="false">IF(B10="","",B10*(1+$H$4))</f>
        <v>1539120</v>
      </c>
      <c r="E10" s="53"/>
      <c r="F10" s="53"/>
      <c r="G10" s="54" t="str">
        <f aca="false">IF(A10="","",IF(OR(AND(ISNUMBER($B$4),ISNUMBER(D10),D10&gt;$B$4),AND(ISNUMBER($D$4),ISNUMBER(E10),E10&gt;$D$4),AND(ISNUMBER($F$4),ISNUMBER(F10),F10&gt;$F$4)),"Fails: "&amp;_xlfn.TEXTJOIN(", ",TRUE(),IF(AND(ISNUMBER($B$4),ISNUMBER(D10),D10&gt;$B$4),"budget",""),IF(AND(ISNUMBER($D$4),ISNUMBER(E10),E10&gt;$D$4),"Glen Waverley drive",""),IF(AND(ISNUMBER($F$4),ISNUMBER(F10),F10&gt;$F$4),"hospital drive","")),IF(OR(B10="",E10="",F10=""),"Need data","Pass")))</f>
        <v>Need data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34" t="str">
        <f aca="false">IF(A10="","",COUNT(H10:Q10)&amp;"/10")</f>
        <v>0/10</v>
      </c>
      <c r="S10" s="55" t="str">
        <f aca="false">IF(OR(A10="",COUNT(H10:Q10)&lt;10,COUNT($H$6:$Q$6)&lt;10),"",SUMPRODUCT(H10:Q10,$H$6:$Q$6))</f>
        <v/>
      </c>
      <c r="T10" s="34" t="str">
        <f aca="false">IF(AND(G10="Pass",ISNUMBER(S10)),SUMPRODUCT(($G$8:$G$21="Pass")*ISNUMBER($S$8:$S$21)*($S$8:$S$21&gt;S10))+1,"")</f>
        <v/>
      </c>
      <c r="U10" s="56" t="n">
        <v>0.281</v>
      </c>
    </row>
    <row r="11" customFormat="false" ht="15" hidden="false" customHeight="false" outlineLevel="0" collapsed="false">
      <c r="A11" s="33" t="s">
        <v>220</v>
      </c>
      <c r="B11" s="50" t="n">
        <v>1273000</v>
      </c>
      <c r="C11" s="51" t="s">
        <v>216</v>
      </c>
      <c r="D11" s="52" t="n">
        <f aca="false">IF(B11="","",B11*(1+$H$4))</f>
        <v>1349380</v>
      </c>
      <c r="E11" s="53"/>
      <c r="F11" s="53"/>
      <c r="G11" s="54" t="str">
        <f aca="false">IF(A11="","",IF(OR(AND(ISNUMBER($B$4),ISNUMBER(D11),D11&gt;$B$4),AND(ISNUMBER($D$4),ISNUMBER(E11),E11&gt;$D$4),AND(ISNUMBER($F$4),ISNUMBER(F11),F11&gt;$F$4)),"Fails: "&amp;_xlfn.TEXTJOIN(", ",TRUE(),IF(AND(ISNUMBER($B$4),ISNUMBER(D11),D11&gt;$B$4),"budget",""),IF(AND(ISNUMBER($D$4),ISNUMBER(E11),E11&gt;$D$4),"Glen Waverley drive",""),IF(AND(ISNUMBER($F$4),ISNUMBER(F11),F11&gt;$F$4),"hospital drive","")),IF(OR(B11="",E11="",F11=""),"Need data","Pass")))</f>
        <v>Need data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34" t="str">
        <f aca="false">IF(A11="","",COUNT(H11:Q11)&amp;"/10")</f>
        <v>0/10</v>
      </c>
      <c r="S11" s="55" t="str">
        <f aca="false">IF(OR(A11="",COUNT(H11:Q11)&lt;10,COUNT($H$6:$Q$6)&lt;10),"",SUMPRODUCT(H11:Q11,$H$6:$Q$6))</f>
        <v/>
      </c>
      <c r="T11" s="34" t="str">
        <f aca="false">IF(AND(G11="Pass",ISNUMBER(S11)),SUMPRODUCT(($G$8:$G$21="Pass")*ISNUMBER($S$8:$S$21)*($S$8:$S$21&gt;S11))+1,"")</f>
        <v/>
      </c>
      <c r="U11" s="56" t="n">
        <v>0.185</v>
      </c>
    </row>
    <row r="12" customFormat="false" ht="15" hidden="false" customHeight="false" outlineLevel="0" collapsed="false">
      <c r="A12" s="33" t="s">
        <v>221</v>
      </c>
      <c r="B12" s="50" t="n">
        <v>872133</v>
      </c>
      <c r="C12" s="51" t="s">
        <v>222</v>
      </c>
      <c r="D12" s="52" t="n">
        <f aca="false">IF(B12="","",B12*(1+$H$4))</f>
        <v>924460.98</v>
      </c>
      <c r="E12" s="53"/>
      <c r="F12" s="53"/>
      <c r="G12" s="54" t="str">
        <f aca="false">IF(A12="","",IF(OR(AND(ISNUMBER($B$4),ISNUMBER(D12),D12&gt;$B$4),AND(ISNUMBER($D$4),ISNUMBER(E12),E12&gt;$D$4),AND(ISNUMBER($F$4),ISNUMBER(F12),F12&gt;$F$4)),"Fails: "&amp;_xlfn.TEXTJOIN(", ",TRUE(),IF(AND(ISNUMBER($B$4),ISNUMBER(D12),D12&gt;$B$4),"budget",""),IF(AND(ISNUMBER($D$4),ISNUMBER(E12),E12&gt;$D$4),"Glen Waverley drive",""),IF(AND(ISNUMBER($F$4),ISNUMBER(F12),F12&gt;$F$4),"hospital drive","")),IF(OR(B12="",E12="",F12=""),"Need data","Pass")))</f>
        <v>Need data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34" t="str">
        <f aca="false">IF(A12="","",COUNT(H12:Q12)&amp;"/10")</f>
        <v>0/10</v>
      </c>
      <c r="S12" s="55" t="str">
        <f aca="false">IF(OR(A12="",COUNT(H12:Q12)&lt;10,COUNT($H$6:$Q$6)&lt;10),"",SUMPRODUCT(H12:Q12,$H$6:$Q$6))</f>
        <v/>
      </c>
      <c r="T12" s="34" t="str">
        <f aca="false">IF(AND(G12="Pass",ISNUMBER(S12)),SUMPRODUCT(($G$8:$G$21="Pass")*ISNUMBER($S$8:$S$21)*($S$8:$S$21&gt;S12))+1,"")</f>
        <v/>
      </c>
      <c r="U12" s="56" t="n">
        <v>0.192</v>
      </c>
    </row>
    <row r="13" customFormat="false" ht="15" hidden="false" customHeight="false" outlineLevel="0" collapsed="false">
      <c r="A13" s="33" t="s">
        <v>223</v>
      </c>
      <c r="B13" s="50" t="n">
        <v>1763500</v>
      </c>
      <c r="C13" s="51" t="s">
        <v>216</v>
      </c>
      <c r="D13" s="52" t="n">
        <f aca="false">IF(B13="","",B13*(1+$H$4))</f>
        <v>1869310</v>
      </c>
      <c r="E13" s="53"/>
      <c r="F13" s="53"/>
      <c r="G13" s="54" t="str">
        <f aca="false">IF(A13="","",IF(OR(AND(ISNUMBER($B$4),ISNUMBER(D13),D13&gt;$B$4),AND(ISNUMBER($D$4),ISNUMBER(E13),E13&gt;$D$4),AND(ISNUMBER($F$4),ISNUMBER(F13),F13&gt;$F$4)),"Fails: "&amp;_xlfn.TEXTJOIN(", ",TRUE(),IF(AND(ISNUMBER($B$4),ISNUMBER(D13),D13&gt;$B$4),"budget",""),IF(AND(ISNUMBER($D$4),ISNUMBER(E13),E13&gt;$D$4),"Glen Waverley drive",""),IF(AND(ISNUMBER($F$4),ISNUMBER(F13),F13&gt;$F$4),"hospital drive","")),IF(OR(B13="",E13="",F13=""),"Need data","Pass")))</f>
        <v>Need data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34" t="str">
        <f aca="false">IF(A13="","",COUNT(H13:Q13)&amp;"/10")</f>
        <v>0/10</v>
      </c>
      <c r="S13" s="55" t="str">
        <f aca="false">IF(OR(A13="",COUNT(H13:Q13)&lt;10,COUNT($H$6:$Q$6)&lt;10),"",SUMPRODUCT(H13:Q13,$H$6:$Q$6))</f>
        <v/>
      </c>
      <c r="T13" s="34" t="str">
        <f aca="false">IF(AND(G13="Pass",ISNUMBER(S13)),SUMPRODUCT(($G$8:$G$21="Pass")*ISNUMBER($S$8:$S$21)*($S$8:$S$21&gt;S13))+1,"")</f>
        <v/>
      </c>
      <c r="U13" s="56" t="n">
        <v>0.587</v>
      </c>
    </row>
    <row r="14" customFormat="false" ht="15" hidden="false" customHeight="false" outlineLevel="0" collapsed="false">
      <c r="A14" s="33" t="s">
        <v>224</v>
      </c>
      <c r="B14" s="50" t="n">
        <v>1497099</v>
      </c>
      <c r="C14" s="51" t="s">
        <v>225</v>
      </c>
      <c r="D14" s="52" t="n">
        <f aca="false">IF(B14="","",B14*(1+$H$4))</f>
        <v>1586924.94</v>
      </c>
      <c r="E14" s="53"/>
      <c r="F14" s="53"/>
      <c r="G14" s="54" t="str">
        <f aca="false">IF(A14="","",IF(OR(AND(ISNUMBER($B$4),ISNUMBER(D14),D14&gt;$B$4),AND(ISNUMBER($D$4),ISNUMBER(E14),E14&gt;$D$4),AND(ISNUMBER($F$4),ISNUMBER(F14),F14&gt;$F$4)),"Fails: "&amp;_xlfn.TEXTJOIN(", ",TRUE(),IF(AND(ISNUMBER($B$4),ISNUMBER(D14),D14&gt;$B$4),"budget",""),IF(AND(ISNUMBER($D$4),ISNUMBER(E14),E14&gt;$D$4),"Glen Waverley drive",""),IF(AND(ISNUMBER($F$4),ISNUMBER(F14),F14&gt;$F$4),"hospital drive","")),IF(OR(B14="",E14="",F14=""),"Need data","Pass")))</f>
        <v>Need data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34" t="str">
        <f aca="false">IF(A14="","",COUNT(H14:Q14)&amp;"/10")</f>
        <v>0/10</v>
      </c>
      <c r="S14" s="55" t="str">
        <f aca="false">IF(OR(A14="",COUNT(H14:Q14)&lt;10,COUNT($H$6:$Q$6)&lt;10),"",SUMPRODUCT(H14:Q14,$H$6:$Q$6))</f>
        <v/>
      </c>
      <c r="T14" s="34" t="str">
        <f aca="false">IF(AND(G14="Pass",ISNUMBER(S14)),SUMPRODUCT(($G$8:$G$21="Pass")*ISNUMBER($S$8:$S$21)*($S$8:$S$21&gt;S14))+1,"")</f>
        <v/>
      </c>
      <c r="U14" s="56" t="n">
        <v>0.288</v>
      </c>
    </row>
    <row r="15" customFormat="false" ht="15" hidden="false" customHeight="false" outlineLevel="0" collapsed="false">
      <c r="A15" s="33" t="s">
        <v>226</v>
      </c>
      <c r="B15" s="50" t="n">
        <v>834296</v>
      </c>
      <c r="C15" s="51" t="s">
        <v>216</v>
      </c>
      <c r="D15" s="52" t="n">
        <f aca="false">IF(B15="","",B15*(1+$H$4))</f>
        <v>884353.76</v>
      </c>
      <c r="E15" s="53"/>
      <c r="F15" s="53"/>
      <c r="G15" s="54" t="str">
        <f aca="false">IF(A15="","",IF(OR(AND(ISNUMBER($B$4),ISNUMBER(D15),D15&gt;$B$4),AND(ISNUMBER($D$4),ISNUMBER(E15),E15&gt;$D$4),AND(ISNUMBER($F$4),ISNUMBER(F15),F15&gt;$F$4)),"Fails: "&amp;_xlfn.TEXTJOIN(", ",TRUE(),IF(AND(ISNUMBER($B$4),ISNUMBER(D15),D15&gt;$B$4),"budget",""),IF(AND(ISNUMBER($D$4),ISNUMBER(E15),E15&gt;$D$4),"Glen Waverley drive",""),IF(AND(ISNUMBER($F$4),ISNUMBER(F15),F15&gt;$F$4),"hospital drive","")),IF(OR(B15="",E15="",F15=""),"Need data","Pass")))</f>
        <v>Need data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34" t="str">
        <f aca="false">IF(A15="","",COUNT(H15:Q15)&amp;"/10")</f>
        <v>0/10</v>
      </c>
      <c r="S15" s="55" t="str">
        <f aca="false">IF(OR(A15="",COUNT(H15:Q15)&lt;10,COUNT($H$6:$Q$6)&lt;10),"",SUMPRODUCT(H15:Q15,$H$6:$Q$6))</f>
        <v/>
      </c>
      <c r="T15" s="34" t="str">
        <f aca="false">IF(AND(G15="Pass",ISNUMBER(S15)),SUMPRODUCT(($G$8:$G$21="Pass")*ISNUMBER($S$8:$S$21)*($S$8:$S$21&gt;S15))+1,"")</f>
        <v/>
      </c>
      <c r="U15" s="56" t="n">
        <v>0.225</v>
      </c>
    </row>
    <row r="16" customFormat="false" ht="15" hidden="false" customHeight="false" outlineLevel="0" collapsed="false">
      <c r="A16" s="33" t="s">
        <v>227</v>
      </c>
      <c r="B16" s="50" t="n">
        <v>1155073</v>
      </c>
      <c r="C16" s="51" t="s">
        <v>228</v>
      </c>
      <c r="D16" s="52" t="n">
        <f aca="false">IF(B16="","",B16*(1+$H$4))</f>
        <v>1224377.38</v>
      </c>
      <c r="E16" s="53"/>
      <c r="F16" s="53"/>
      <c r="G16" s="54" t="str">
        <f aca="false">IF(A16="","",IF(OR(AND(ISNUMBER($B$4),ISNUMBER(D16),D16&gt;$B$4),AND(ISNUMBER($D$4),ISNUMBER(E16),E16&gt;$D$4),AND(ISNUMBER($F$4),ISNUMBER(F16),F16&gt;$F$4)),"Fails: "&amp;_xlfn.TEXTJOIN(", ",TRUE(),IF(AND(ISNUMBER($B$4),ISNUMBER(D16),D16&gt;$B$4),"budget",""),IF(AND(ISNUMBER($D$4),ISNUMBER(E16),E16&gt;$D$4),"Glen Waverley drive",""),IF(AND(ISNUMBER($F$4),ISNUMBER(F16),F16&gt;$F$4),"hospital drive","")),IF(OR(B16="",E16="",F16=""),"Need data","Pass")))</f>
        <v>Need data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34" t="str">
        <f aca="false">IF(A16="","",COUNT(H16:Q16)&amp;"/10")</f>
        <v>0/10</v>
      </c>
      <c r="S16" s="55" t="str">
        <f aca="false">IF(OR(A16="",COUNT(H16:Q16)&lt;10,COUNT($H$6:$Q$6)&lt;10),"",SUMPRODUCT(H16:Q16,$H$6:$Q$6))</f>
        <v/>
      </c>
      <c r="T16" s="34" t="str">
        <f aca="false">IF(AND(G16="Pass",ISNUMBER(S16)),SUMPRODUCT(($G$8:$G$21="Pass")*ISNUMBER($S$8:$S$21)*($S$8:$S$21&gt;S16))+1,"")</f>
        <v/>
      </c>
      <c r="U16" s="56" t="n">
        <v>0.283</v>
      </c>
    </row>
    <row r="17" customFormat="false" ht="15" hidden="false" customHeight="false" outlineLevel="0" collapsed="false">
      <c r="A17" s="33" t="s">
        <v>229</v>
      </c>
      <c r="B17" s="50" t="n">
        <v>1642163</v>
      </c>
      <c r="C17" s="51" t="s">
        <v>222</v>
      </c>
      <c r="D17" s="52" t="n">
        <f aca="false">IF(B17="","",B17*(1+$H$4))</f>
        <v>1740692.78</v>
      </c>
      <c r="E17" s="53"/>
      <c r="F17" s="53"/>
      <c r="G17" s="54" t="str">
        <f aca="false">IF(A17="","",IF(OR(AND(ISNUMBER($B$4),ISNUMBER(D17),D17&gt;$B$4),AND(ISNUMBER($D$4),ISNUMBER(E17),E17&gt;$D$4),AND(ISNUMBER($F$4),ISNUMBER(F17),F17&gt;$F$4)),"Fails: "&amp;_xlfn.TEXTJOIN(", ",TRUE(),IF(AND(ISNUMBER($B$4),ISNUMBER(D17),D17&gt;$B$4),"budget",""),IF(AND(ISNUMBER($D$4),ISNUMBER(E17),E17&gt;$D$4),"Glen Waverley drive",""),IF(AND(ISNUMBER($F$4),ISNUMBER(F17),F17&gt;$F$4),"hospital drive","")),IF(OR(B17="",E17="",F17=""),"Need data","Pass")))</f>
        <v>Need data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34" t="str">
        <f aca="false">IF(A17="","",COUNT(H17:Q17)&amp;"/10")</f>
        <v>0/10</v>
      </c>
      <c r="S17" s="55" t="str">
        <f aca="false">IF(OR(A17="",COUNT(H17:Q17)&lt;10,COUNT($H$6:$Q$6)&lt;10),"",SUMPRODUCT(H17:Q17,$H$6:$Q$6))</f>
        <v/>
      </c>
      <c r="T17" s="34" t="str">
        <f aca="false">IF(AND(G17="Pass",ISNUMBER(S17)),SUMPRODUCT(($G$8:$G$21="Pass")*ISNUMBER($S$8:$S$21)*($S$8:$S$21&gt;S17))+1,"")</f>
        <v/>
      </c>
      <c r="U17" s="56" t="n">
        <v>0.226</v>
      </c>
    </row>
    <row r="18" customFormat="false" ht="15" hidden="false" customHeight="false" outlineLevel="0" collapsed="false">
      <c r="A18" s="57"/>
      <c r="B18" s="50"/>
      <c r="C18" s="51"/>
      <c r="D18" s="52" t="str">
        <f aca="false">IF(B18="","",B18*(1+$H$4))</f>
        <v/>
      </c>
      <c r="E18" s="53"/>
      <c r="F18" s="53"/>
      <c r="G18" s="54" t="str">
        <f aca="false">IF(A18="","",IF(OR(AND(ISNUMBER($B$4),ISNUMBER(D18),D18&gt;$B$4),AND(ISNUMBER($D$4),ISNUMBER(E18),E18&gt;$D$4),AND(ISNUMBER($F$4),ISNUMBER(F18),F18&gt;$F$4)),"Fails: "&amp;_xlfn.TEXTJOIN(", ",TRUE(),IF(AND(ISNUMBER($B$4),ISNUMBER(D18),D18&gt;$B$4),"budget",""),IF(AND(ISNUMBER($D$4),ISNUMBER(E18),E18&gt;$D$4),"Glen Waverley drive",""),IF(AND(ISNUMBER($F$4),ISNUMBER(F18),F18&gt;$F$4),"hospital drive","")),IF(OR(B18="",E18="",F18=""),"Need data","Pass")))</f>
        <v/>
      </c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34" t="str">
        <f aca="false">IF(A18="","",COUNT(H18:Q18)&amp;"/10")</f>
        <v/>
      </c>
      <c r="S18" s="55" t="str">
        <f aca="false">IF(OR(A18="",COUNT(H18:Q18)&lt;10,COUNT($H$6:$Q$6)&lt;10),"",SUMPRODUCT(H18:Q18,$H$6:$Q$6))</f>
        <v/>
      </c>
      <c r="T18" s="34" t="str">
        <f aca="false">IF(AND(G18="Pass",ISNUMBER(S18)),SUMPRODUCT(($G$8:$G$21="Pass")*ISNUMBER($S$8:$S$21)*($S$8:$S$21&gt;S18))+1,"")</f>
        <v/>
      </c>
      <c r="U18" s="58"/>
    </row>
    <row r="19" customFormat="false" ht="15" hidden="false" customHeight="false" outlineLevel="0" collapsed="false">
      <c r="A19" s="57"/>
      <c r="B19" s="50"/>
      <c r="C19" s="51"/>
      <c r="D19" s="52" t="str">
        <f aca="false">IF(B19="","",B19*(1+$H$4))</f>
        <v/>
      </c>
      <c r="E19" s="53"/>
      <c r="F19" s="53"/>
      <c r="G19" s="54" t="str">
        <f aca="false">IF(A19="","",IF(OR(AND(ISNUMBER($B$4),ISNUMBER(D19),D19&gt;$B$4),AND(ISNUMBER($D$4),ISNUMBER(E19),E19&gt;$D$4),AND(ISNUMBER($F$4),ISNUMBER(F19),F19&gt;$F$4)),"Fails: "&amp;_xlfn.TEXTJOIN(", ",TRUE(),IF(AND(ISNUMBER($B$4),ISNUMBER(D19),D19&gt;$B$4),"budget",""),IF(AND(ISNUMBER($D$4),ISNUMBER(E19),E19&gt;$D$4),"Glen Waverley drive",""),IF(AND(ISNUMBER($F$4),ISNUMBER(F19),F19&gt;$F$4),"hospital drive","")),IF(OR(B19="",E19="",F19=""),"Need data","Pass")))</f>
        <v/>
      </c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34" t="str">
        <f aca="false">IF(A19="","",COUNT(H19:Q19)&amp;"/10")</f>
        <v/>
      </c>
      <c r="S19" s="55" t="str">
        <f aca="false">IF(OR(A19="",COUNT(H19:Q19)&lt;10,COUNT($H$6:$Q$6)&lt;10),"",SUMPRODUCT(H19:Q19,$H$6:$Q$6))</f>
        <v/>
      </c>
      <c r="T19" s="34" t="str">
        <f aca="false">IF(AND(G19="Pass",ISNUMBER(S19)),SUMPRODUCT(($G$8:$G$21="Pass")*ISNUMBER($S$8:$S$21)*($S$8:$S$21&gt;S19))+1,"")</f>
        <v/>
      </c>
      <c r="U19" s="58"/>
    </row>
    <row r="20" customFormat="false" ht="15" hidden="false" customHeight="false" outlineLevel="0" collapsed="false">
      <c r="A20" s="57"/>
      <c r="B20" s="50"/>
      <c r="C20" s="51"/>
      <c r="D20" s="52" t="str">
        <f aca="false">IF(B20="","",B20*(1+$H$4))</f>
        <v/>
      </c>
      <c r="E20" s="53"/>
      <c r="F20" s="53"/>
      <c r="G20" s="54" t="str">
        <f aca="false">IF(A20="","",IF(OR(AND(ISNUMBER($B$4),ISNUMBER(D20),D20&gt;$B$4),AND(ISNUMBER($D$4),ISNUMBER(E20),E20&gt;$D$4),AND(ISNUMBER($F$4),ISNUMBER(F20),F20&gt;$F$4)),"Fails: "&amp;_xlfn.TEXTJOIN(", ",TRUE(),IF(AND(ISNUMBER($B$4),ISNUMBER(D20),D20&gt;$B$4),"budget",""),IF(AND(ISNUMBER($D$4),ISNUMBER(E20),E20&gt;$D$4),"Glen Waverley drive",""),IF(AND(ISNUMBER($F$4),ISNUMBER(F20),F20&gt;$F$4),"hospital drive","")),IF(OR(B20="",E20="",F20=""),"Need data","Pass")))</f>
        <v/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34" t="str">
        <f aca="false">IF(A20="","",COUNT(H20:Q20)&amp;"/10")</f>
        <v/>
      </c>
      <c r="S20" s="55" t="str">
        <f aca="false">IF(OR(A20="",COUNT(H20:Q20)&lt;10,COUNT($H$6:$Q$6)&lt;10),"",SUMPRODUCT(H20:Q20,$H$6:$Q$6))</f>
        <v/>
      </c>
      <c r="T20" s="34" t="str">
        <f aca="false">IF(AND(G20="Pass",ISNUMBER(S20)),SUMPRODUCT(($G$8:$G$21="Pass")*ISNUMBER($S$8:$S$21)*($S$8:$S$21&gt;S20))+1,"")</f>
        <v/>
      </c>
      <c r="U20" s="58"/>
    </row>
    <row r="21" customFormat="false" ht="15" hidden="false" customHeight="false" outlineLevel="0" collapsed="false">
      <c r="A21" s="57"/>
      <c r="B21" s="50"/>
      <c r="C21" s="51"/>
      <c r="D21" s="52" t="str">
        <f aca="false">IF(B21="","",B21*(1+$H$4))</f>
        <v/>
      </c>
      <c r="E21" s="53"/>
      <c r="F21" s="53"/>
      <c r="G21" s="54" t="str">
        <f aca="false">IF(A21="","",IF(OR(AND(ISNUMBER($B$4),ISNUMBER(D21),D21&gt;$B$4),AND(ISNUMBER($D$4),ISNUMBER(E21),E21&gt;$D$4),AND(ISNUMBER($F$4),ISNUMBER(F21),F21&gt;$F$4)),"Fails: "&amp;_xlfn.TEXTJOIN(", ",TRUE(),IF(AND(ISNUMBER($B$4),ISNUMBER(D21),D21&gt;$B$4),"budget",""),IF(AND(ISNUMBER($D$4),ISNUMBER(E21),E21&gt;$D$4),"Glen Waverley drive",""),IF(AND(ISNUMBER($F$4),ISNUMBER(F21),F21&gt;$F$4),"hospital drive","")),IF(OR(B21="",E21="",F21=""),"Need data","Pass")))</f>
        <v/>
      </c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34" t="str">
        <f aca="false">IF(A21="","",COUNT(H21:Q21)&amp;"/10")</f>
        <v/>
      </c>
      <c r="S21" s="55" t="str">
        <f aca="false">IF(OR(A21="",COUNT(H21:Q21)&lt;10,COUNT($H$6:$Q$6)&lt;10),"",SUMPRODUCT(H21:Q21,$H$6:$Q$6))</f>
        <v/>
      </c>
      <c r="T21" s="34" t="str">
        <f aca="false">IF(AND(G21="Pass",ISNUMBER(S21)),SUMPRODUCT(($G$8:$G$21="Pass")*ISNUMBER($S$8:$S$21)*($S$8:$S$21&gt;S21))+1,"")</f>
        <v/>
      </c>
      <c r="U21" s="58"/>
    </row>
    <row r="23" customFormat="false" ht="15" hidden="false" customHeight="false" outlineLevel="0" collapsed="false">
      <c r="A23" s="59" t="s">
        <v>230</v>
      </c>
    </row>
  </sheetData>
  <conditionalFormatting sqref="G8:G21">
    <cfRule type="expression" priority="2" aboveAverage="0" equalAverage="0" bottom="0" percent="0" rank="0" text="" dxfId="0">
      <formula>G8="Pass"</formula>
    </cfRule>
    <cfRule type="expression" priority="3" aboveAverage="0" equalAverage="0" bottom="0" percent="0" rank="0" text="" dxfId="3">
      <formula>LEFT(G8,5)="Fails"</formula>
    </cfRule>
  </conditionalFormatting>
  <conditionalFormatting sqref="T8:T21">
    <cfRule type="expression" priority="4" aboveAverage="0" equalAverage="0" bottom="0" percent="0" rank="0" text="" dxfId="4">
      <formula>AND(ISNUMBER(T8),T8&lt;=3)</formula>
    </cfRule>
  </conditionalFormatting>
  <dataValidations count="2">
    <dataValidation allowBlank="true" error="Score from 0 to 10" errorStyle="stop" operator="between" showDropDown="false" showErrorMessage="true" showInputMessage="false" sqref="H8:Q21" type="decimal">
      <formula1>0</formula1>
      <formula2>10</formula2>
    </dataValidation>
    <dataValidation allowBlank="true" error="Minutes, 0 or more" errorStyle="stop" operator="greaterThanOrEqual" showDropDown="false" showErrorMessage="true" showInputMessage="false" sqref="E8:F2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A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5" t="s">
        <v>160</v>
      </c>
      <c r="B2" s="5" t="s">
        <v>40</v>
      </c>
      <c r="C2" s="5" t="s">
        <v>41</v>
      </c>
      <c r="D2" s="5" t="s">
        <v>42</v>
      </c>
      <c r="E2" s="5" t="s">
        <v>232</v>
      </c>
      <c r="R2" s="8" t="s">
        <v>233</v>
      </c>
      <c r="U2" s="8" t="s">
        <v>234</v>
      </c>
      <c r="X2" s="8" t="s">
        <v>235</v>
      </c>
      <c r="AA2" s="8" t="s">
        <v>236</v>
      </c>
      <c r="AD2" s="8" t="s">
        <v>237</v>
      </c>
    </row>
    <row r="3" customFormat="false" ht="15" hidden="false" customHeight="false" outlineLevel="0" collapsed="false">
      <c r="A3" s="60" t="s">
        <v>238</v>
      </c>
      <c r="B3" s="60" t="str">
        <f aca="false">IF(Survey!H7="","",IFERROR(INDEX($S$3:$S$6,MATCH(Survey!H7,$R$3:$R$6,0)),""))</f>
        <v/>
      </c>
      <c r="C3" s="60" t="str">
        <f aca="false">IF(Survey!I7="","",IFERROR(INDEX($S$3:$S$6,MATCH(Survey!I7,$R$3:$R$6,0)),""))</f>
        <v/>
      </c>
      <c r="D3" s="60" t="str">
        <f aca="false">IF(Survey!J7="","",IFERROR(INDEX($S$3:$S$6,MATCH(Survey!J7,$R$3:$R$6,0)),""))</f>
        <v/>
      </c>
      <c r="E3" s="60" t="str">
        <f aca="false">IF(COUNT(B3:D3)&gt;0,MIN(B3:D3),IF(COUNTIF(B3:D3,"No cap")&gt;0,"No cap","Not answered"))</f>
        <v>Not answered</v>
      </c>
      <c r="R3" s="60" t="s">
        <v>20</v>
      </c>
      <c r="S3" s="60" t="n">
        <v>1000000</v>
      </c>
      <c r="U3" s="60" t="s">
        <v>20</v>
      </c>
      <c r="V3" s="60" t="n">
        <v>15</v>
      </c>
      <c r="X3" s="60" t="s">
        <v>20</v>
      </c>
      <c r="Y3" s="60" t="n">
        <v>10</v>
      </c>
      <c r="AA3" s="60" t="s">
        <v>20</v>
      </c>
      <c r="AB3" s="60" t="n">
        <v>1</v>
      </c>
      <c r="AD3" s="60" t="s">
        <v>20</v>
      </c>
      <c r="AE3" s="60" t="n">
        <v>1</v>
      </c>
    </row>
    <row r="4" customFormat="false" ht="15" hidden="false" customHeight="false" outlineLevel="0" collapsed="false">
      <c r="A4" s="60" t="s">
        <v>164</v>
      </c>
      <c r="B4" s="60" t="str">
        <f aca="false">IF(Survey!H8="","",IFERROR(INDEX($V$3:$V$6,MATCH(Survey!H8,$U$3:$U$6,0)),""))</f>
        <v/>
      </c>
      <c r="C4" s="60" t="str">
        <f aca="false">IF(Survey!I8="","",IFERROR(INDEX($V$3:$V$6,MATCH(Survey!I8,$U$3:$U$6,0)),""))</f>
        <v/>
      </c>
      <c r="D4" s="60" t="str">
        <f aca="false">IF(Survey!J8="","",IFERROR(INDEX($V$3:$V$6,MATCH(Survey!J8,$U$3:$U$6,0)),""))</f>
        <v/>
      </c>
      <c r="E4" s="60" t="str">
        <f aca="false">IF(COUNT(B4:D4)&gt;0,MIN(B4:D4),"Not answered")</f>
        <v>Not answered</v>
      </c>
      <c r="R4" s="60" t="s">
        <v>22</v>
      </c>
      <c r="S4" s="60" t="n">
        <v>1250000</v>
      </c>
      <c r="U4" s="60" t="s">
        <v>22</v>
      </c>
      <c r="V4" s="60" t="n">
        <v>25</v>
      </c>
      <c r="X4" s="60" t="s">
        <v>22</v>
      </c>
      <c r="Y4" s="60" t="n">
        <v>20</v>
      </c>
      <c r="AA4" s="60" t="s">
        <v>22</v>
      </c>
      <c r="AB4" s="60" t="n">
        <v>2</v>
      </c>
      <c r="AD4" s="60" t="s">
        <v>22</v>
      </c>
      <c r="AE4" s="60" t="n">
        <v>2</v>
      </c>
    </row>
    <row r="5" customFormat="false" ht="15" hidden="false" customHeight="false" outlineLevel="0" collapsed="false">
      <c r="A5" s="60" t="s">
        <v>239</v>
      </c>
      <c r="B5" s="60" t="str">
        <f aca="false">IF(Survey!H9="","",IFERROR(INDEX($Y$3:$Y$6,MATCH(Survey!H9,$X$3:$X$6,0)),""))</f>
        <v/>
      </c>
      <c r="C5" s="60" t="str">
        <f aca="false">IF(Survey!I9="","",IFERROR(INDEX($Y$3:$Y$6,MATCH(Survey!I9,$X$3:$X$6,0)),""))</f>
        <v/>
      </c>
      <c r="D5" s="60" t="str">
        <f aca="false">IF(Survey!J9="","",IFERROR(INDEX($Y$3:$Y$6,MATCH(Survey!J9,$X$3:$X$6,0)),""))</f>
        <v/>
      </c>
      <c r="E5" s="60" t="str">
        <f aca="false">IF(COUNT(B5:D5)&gt;0,MIN(B5:D5),IF(COUNTIF(B5:D5,"No limit")&gt;0,"No limit","Not answered"))</f>
        <v>Not answered</v>
      </c>
      <c r="R5" s="60" t="s">
        <v>24</v>
      </c>
      <c r="S5" s="60" t="n">
        <v>1500000</v>
      </c>
      <c r="U5" s="60" t="s">
        <v>24</v>
      </c>
      <c r="V5" s="60" t="n">
        <v>35</v>
      </c>
      <c r="X5" s="60" t="s">
        <v>24</v>
      </c>
      <c r="Y5" s="60" t="n">
        <v>30</v>
      </c>
      <c r="AA5" s="60" t="s">
        <v>24</v>
      </c>
      <c r="AB5" s="60" t="n">
        <v>3</v>
      </c>
      <c r="AD5" s="60" t="s">
        <v>24</v>
      </c>
      <c r="AE5" s="60" t="n">
        <v>3</v>
      </c>
    </row>
    <row r="6" customFormat="false" ht="15" hidden="false" customHeight="false" outlineLevel="0" collapsed="false">
      <c r="A6" s="60" t="s">
        <v>240</v>
      </c>
      <c r="B6" s="60" t="str">
        <f aca="false">IF(Survey!H10="","",IFERROR(INDEX($AB$3:$AB$5,MATCH(Survey!H10,$AA$3:$AA$5,0)),""))</f>
        <v/>
      </c>
      <c r="C6" s="60" t="str">
        <f aca="false">IF(Survey!I10="","",IFERROR(INDEX($AB$3:$AB$5,MATCH(Survey!I10,$AA$3:$AA$5,0)),""))</f>
        <v/>
      </c>
      <c r="D6" s="60" t="str">
        <f aca="false">IF(Survey!J10="","",IFERROR(INDEX($AB$3:$AB$5,MATCH(Survey!J10,$AA$3:$AA$5,0)),""))</f>
        <v/>
      </c>
      <c r="E6" s="60" t="str">
        <f aca="false">IF(COUNT(B6:D6)&gt;0,MIN(B6:D6),"Not answered")</f>
        <v>Not answered</v>
      </c>
      <c r="R6" s="60" t="s">
        <v>26</v>
      </c>
      <c r="S6" s="60" t="s">
        <v>241</v>
      </c>
      <c r="U6" s="60" t="s">
        <v>26</v>
      </c>
      <c r="V6" s="60" t="n">
        <v>45</v>
      </c>
      <c r="X6" s="60" t="s">
        <v>26</v>
      </c>
      <c r="Y6" s="60" t="s">
        <v>242</v>
      </c>
      <c r="AD6" s="60" t="s">
        <v>26</v>
      </c>
      <c r="AE6" s="60" t="n">
        <v>4</v>
      </c>
    </row>
    <row r="7" customFormat="false" ht="15" hidden="false" customHeight="false" outlineLevel="0" collapsed="false">
      <c r="A7" s="60" t="s">
        <v>243</v>
      </c>
      <c r="B7" s="60" t="str">
        <f aca="false">IF(Survey!H12="","",IFERROR(INDEX($AE$3:$AE$6,MATCH(Survey!H12,$AD$3:$AD$6,0)),""))</f>
        <v/>
      </c>
      <c r="C7" s="60" t="str">
        <f aca="false">IF(Survey!I12="","",IFERROR(INDEX($AE$3:$AE$6,MATCH(Survey!I12,$AD$3:$AD$6,0)),""))</f>
        <v/>
      </c>
      <c r="D7" s="60" t="str">
        <f aca="false">IF(Survey!J12="","",IFERROR(INDEX($AE$3:$AE$6,MATCH(Survey!J12,$AD$3:$AD$6,0)),""))</f>
        <v/>
      </c>
      <c r="E7" s="60" t="str">
        <f aca="false">IF(COUNT(B7:D7)&gt;0,MAX(B7:D7),"Not answered")</f>
        <v>Not answered</v>
      </c>
    </row>
    <row r="10" customFormat="false" ht="23.85" hidden="false" customHeight="false" outlineLevel="0" collapsed="false">
      <c r="A10" s="5" t="s">
        <v>183</v>
      </c>
      <c r="B10" s="5" t="s">
        <v>244</v>
      </c>
      <c r="C10" s="5" t="s">
        <v>245</v>
      </c>
      <c r="D10" s="5" t="s">
        <v>246</v>
      </c>
      <c r="E10" s="5" t="s">
        <v>161</v>
      </c>
      <c r="F10" s="5" t="s">
        <v>247</v>
      </c>
      <c r="G10" s="5" t="s">
        <v>248</v>
      </c>
      <c r="H10" s="5" t="s">
        <v>249</v>
      </c>
      <c r="I10" s="5" t="s">
        <v>250</v>
      </c>
      <c r="J10" s="5" t="s">
        <v>251</v>
      </c>
      <c r="K10" s="5" t="s">
        <v>252</v>
      </c>
      <c r="L10" s="5" t="s">
        <v>253</v>
      </c>
    </row>
    <row r="11" customFormat="false" ht="15" hidden="false" customHeight="false" outlineLevel="0" collapsed="false">
      <c r="A11" s="60" t="s">
        <v>108</v>
      </c>
      <c r="B11" s="60" t="n">
        <v>15</v>
      </c>
      <c r="C11" s="60" t="n">
        <f aca="false">(Survey!H15="A")*'Start here'!$B$14+(Survey!I15="A")*'Start here'!$B$15+(Survey!J15="A")*'Start here'!$B$16</f>
        <v>0</v>
      </c>
      <c r="D11" s="60" t="n">
        <f aca="false">(Survey!H15="B")*'Start here'!$B$14+(Survey!I15="B")*'Start here'!$B$15+(Survey!J15="B")*'Start here'!$B$16</f>
        <v>0</v>
      </c>
      <c r="E11" s="60" t="str">
        <f aca="false">IF(C11+D11=0,"",IF(C11&gt;D11,"A",IF(D11&gt;C11,"B","Split")))</f>
        <v/>
      </c>
      <c r="F11" s="60" t="n">
        <v>1</v>
      </c>
      <c r="G11" s="60" t="n">
        <v>2</v>
      </c>
      <c r="H11" s="60" t="str">
        <f aca="false">IF(E11="A",F11,IF(E11="B",G11,""))</f>
        <v/>
      </c>
      <c r="I11" s="60" t="str">
        <f aca="false">IF(E11="A",G11,IF(E11="B",F11,""))</f>
        <v/>
      </c>
      <c r="J11" s="60" t="str">
        <f aca="false">IF(H11="","",INDEX($L$20:$L$29,H11))</f>
        <v/>
      </c>
      <c r="K11" s="60" t="str">
        <f aca="false">IF(I11="","",INDEX($L$20:$L$29,I11))</f>
        <v/>
      </c>
      <c r="L11" s="60" t="n">
        <f aca="false">IF(OR(H11="",NOT(ISNUMBER(J11)),NOT(ISNUMBER(K11))),0,IF(J11&lt;K11+'Start here'!$B$26,MIN(K11,(K11-J11+'Start here'!$B$26)/2),0))</f>
        <v>0</v>
      </c>
    </row>
    <row r="12" customFormat="false" ht="15" hidden="false" customHeight="false" outlineLevel="0" collapsed="false">
      <c r="A12" s="60" t="s">
        <v>113</v>
      </c>
      <c r="B12" s="60" t="n">
        <v>16</v>
      </c>
      <c r="C12" s="60" t="n">
        <f aca="false">(Survey!H16="A")*'Start here'!$B$14+(Survey!I16="A")*'Start here'!$B$15+(Survey!J16="A")*'Start here'!$B$16</f>
        <v>0</v>
      </c>
      <c r="D12" s="60" t="n">
        <f aca="false">(Survey!H16="B")*'Start here'!$B$14+(Survey!I16="B")*'Start here'!$B$15+(Survey!J16="B")*'Start here'!$B$16</f>
        <v>0</v>
      </c>
      <c r="E12" s="60" t="str">
        <f aca="false">IF(C12+D12=0,"",IF(C12&gt;D12,"A",IF(D12&gt;C12,"B","Split")))</f>
        <v/>
      </c>
      <c r="F12" s="60" t="n">
        <v>4</v>
      </c>
      <c r="G12" s="60" t="n">
        <v>1</v>
      </c>
      <c r="H12" s="60" t="str">
        <f aca="false">IF(E12="A",F12,IF(E12="B",G12,""))</f>
        <v/>
      </c>
      <c r="I12" s="60" t="str">
        <f aca="false">IF(E12="A",G12,IF(E12="B",F12,""))</f>
        <v/>
      </c>
      <c r="J12" s="60" t="str">
        <f aca="false">IF(H12="","",INDEX($L$20:$L$29,H12))</f>
        <v/>
      </c>
      <c r="K12" s="60" t="str">
        <f aca="false">IF(I12="","",INDEX($L$20:$L$29,I12))</f>
        <v/>
      </c>
      <c r="L12" s="60" t="n">
        <f aca="false">IF(OR(H12="",NOT(ISNUMBER(J12)),NOT(ISNUMBER(K12))),0,IF(J12&lt;K12+'Start here'!$B$26,MIN(K12,(K12-J12+'Start here'!$B$26)/2),0))</f>
        <v>0</v>
      </c>
    </row>
    <row r="13" customFormat="false" ht="15" hidden="false" customHeight="false" outlineLevel="0" collapsed="false">
      <c r="A13" s="60" t="s">
        <v>116</v>
      </c>
      <c r="B13" s="60" t="n">
        <v>17</v>
      </c>
      <c r="C13" s="60" t="n">
        <f aca="false">(Survey!H17="A")*'Start here'!$B$14+(Survey!I17="A")*'Start here'!$B$15+(Survey!J17="A")*'Start here'!$B$16</f>
        <v>0</v>
      </c>
      <c r="D13" s="60" t="n">
        <f aca="false">(Survey!H17="B")*'Start here'!$B$14+(Survey!I17="B")*'Start here'!$B$15+(Survey!J17="B")*'Start here'!$B$16</f>
        <v>0</v>
      </c>
      <c r="E13" s="60" t="str">
        <f aca="false">IF(C13+D13=0,"",IF(C13&gt;D13,"A",IF(D13&gt;C13,"B","Split")))</f>
        <v/>
      </c>
      <c r="F13" s="60" t="n">
        <v>8</v>
      </c>
      <c r="G13" s="60" t="n">
        <v>7</v>
      </c>
      <c r="H13" s="60" t="str">
        <f aca="false">IF(E13="A",F13,IF(E13="B",G13,""))</f>
        <v/>
      </c>
      <c r="I13" s="60" t="str">
        <f aca="false">IF(E13="A",G13,IF(E13="B",F13,""))</f>
        <v/>
      </c>
      <c r="J13" s="60" t="str">
        <f aca="false">IF(H13="","",INDEX($L$20:$L$29,H13))</f>
        <v/>
      </c>
      <c r="K13" s="60" t="str">
        <f aca="false">IF(I13="","",INDEX($L$20:$L$29,I13))</f>
        <v/>
      </c>
      <c r="L13" s="60" t="n">
        <f aca="false">IF(OR(H13="",NOT(ISNUMBER(J13)),NOT(ISNUMBER(K13))),0,IF(J13&lt;K13+'Start here'!$B$26,MIN(K13,(K13-J13+'Start here'!$B$26)/2),0))</f>
        <v>0</v>
      </c>
    </row>
    <row r="14" customFormat="false" ht="15" hidden="false" customHeight="false" outlineLevel="0" collapsed="false">
      <c r="A14" s="60" t="s">
        <v>119</v>
      </c>
      <c r="B14" s="60" t="n">
        <v>18</v>
      </c>
      <c r="C14" s="60" t="n">
        <f aca="false">(Survey!H18="A")*'Start here'!$B$14+(Survey!I18="A")*'Start here'!$B$15+(Survey!J18="A")*'Start here'!$B$16</f>
        <v>0</v>
      </c>
      <c r="D14" s="60" t="n">
        <f aca="false">(Survey!H18="B")*'Start here'!$B$14+(Survey!I18="B")*'Start here'!$B$15+(Survey!J18="B")*'Start here'!$B$16</f>
        <v>0</v>
      </c>
      <c r="E14" s="60" t="str">
        <f aca="false">IF(C14+D14=0,"",IF(C14&gt;D14,"A",IF(D14&gt;C14,"B","Split")))</f>
        <v/>
      </c>
      <c r="F14" s="60" t="n">
        <v>3</v>
      </c>
      <c r="G14" s="60" t="n">
        <v>1</v>
      </c>
      <c r="H14" s="60" t="str">
        <f aca="false">IF(E14="A",F14,IF(E14="B",G14,""))</f>
        <v/>
      </c>
      <c r="I14" s="60" t="str">
        <f aca="false">IF(E14="A",G14,IF(E14="B",F14,""))</f>
        <v/>
      </c>
      <c r="J14" s="60" t="str">
        <f aca="false">IF(H14="","",INDEX($L$20:$L$29,H14))</f>
        <v/>
      </c>
      <c r="K14" s="60" t="str">
        <f aca="false">IF(I14="","",INDEX($L$20:$L$29,I14))</f>
        <v/>
      </c>
      <c r="L14" s="60" t="n">
        <f aca="false">IF(OR(H14="",NOT(ISNUMBER(J14)),NOT(ISNUMBER(K14))),0,IF(J14&lt;K14+'Start here'!$B$26,MIN(K14,(K14-J14+'Start here'!$B$26)/2),0))</f>
        <v>0</v>
      </c>
    </row>
    <row r="19" customFormat="false" ht="23.85" hidden="false" customHeight="false" outlineLevel="0" collapsed="false">
      <c r="A19" s="5" t="s">
        <v>37</v>
      </c>
      <c r="B19" s="5" t="s">
        <v>171</v>
      </c>
      <c r="C19" s="5" t="s">
        <v>254</v>
      </c>
      <c r="D19" s="5" t="s">
        <v>255</v>
      </c>
      <c r="E19" s="5" t="s">
        <v>256</v>
      </c>
      <c r="F19" s="5" t="s">
        <v>257</v>
      </c>
      <c r="G19" s="5" t="s">
        <v>258</v>
      </c>
      <c r="H19" s="5" t="s">
        <v>259</v>
      </c>
      <c r="I19" s="5" t="s">
        <v>260</v>
      </c>
      <c r="J19" s="5" t="s">
        <v>261</v>
      </c>
      <c r="K19" s="5" t="s">
        <v>262</v>
      </c>
      <c r="L19" s="5" t="s">
        <v>172</v>
      </c>
      <c r="M19" s="5" t="s">
        <v>263</v>
      </c>
      <c r="N19" s="5" t="s">
        <v>264</v>
      </c>
      <c r="O19" s="5" t="s">
        <v>265</v>
      </c>
      <c r="P19" s="5" t="s">
        <v>266</v>
      </c>
      <c r="Q19" s="5" t="s">
        <v>267</v>
      </c>
    </row>
    <row r="20" customFormat="false" ht="15" hidden="false" customHeight="false" outlineLevel="0" collapsed="false">
      <c r="A20" s="60" t="n">
        <v>1</v>
      </c>
      <c r="B20" s="60" t="str">
        <f aca="false">Survey!C21</f>
        <v>Nature and scenery</v>
      </c>
      <c r="C20" s="60" t="str">
        <f aca="false">IF(Survey!H21="","",IFERROR(INDEX('Start here'!$C$19:$C$22,MATCH(Survey!H21,'Start here'!$A$19:$A$22,0)),""))</f>
        <v/>
      </c>
      <c r="D20" s="60" t="str">
        <f aca="false">IF(Survey!I21="","",IFERROR(INDEX('Start here'!$C$19:$C$22,MATCH(Survey!I21,'Start here'!$A$19:$A$22,0)),""))</f>
        <v/>
      </c>
      <c r="E20" s="60" t="str">
        <f aca="false">IF(Survey!J21="","",IFERROR(INDEX('Start here'!$C$19:$C$22,MATCH(Survey!J21,'Start here'!$A$19:$A$22,0)),""))</f>
        <v/>
      </c>
      <c r="F20" s="60" t="str">
        <f aca="false">IF(Survey!H21="","",IFERROR(MATCH(Survey!H21,'Start here'!$A$19:$A$22,0),""))</f>
        <v/>
      </c>
      <c r="G20" s="60" t="str">
        <f aca="false">IF(Survey!I21="","",IFERROR(MATCH(Survey!I21,'Start here'!$A$19:$A$22,0),""))</f>
        <v/>
      </c>
      <c r="H20" s="60" t="str">
        <f aca="false">IF(Survey!J21="","",IFERROR(MATCH(Survey!J21,'Start here'!$A$19:$A$22,0),""))</f>
        <v/>
      </c>
      <c r="I20" s="60" t="str">
        <f aca="false">IF(AND(ISNUMBER(C20),C$31&gt;0),C20/C$31,"")</f>
        <v/>
      </c>
      <c r="J20" s="60" t="str">
        <f aca="false">IF(AND(ISNUMBER(D20),D$31&gt;0),D20/D$31,"")</f>
        <v/>
      </c>
      <c r="K20" s="60" t="str">
        <f aca="false">IF(AND(ISNUMBER(E20),E$31&gt;0),E20/E$31,"")</f>
        <v/>
      </c>
      <c r="L20" s="60" t="str">
        <f aca="false">IF($L$31=0,"",(IF(ISNUMBER(I20),'Start here'!$B$14*I20,0)+IF(ISNUMBER(J20),'Start here'!$B$15*J20,0)+IF(ISNUMBER(K20),'Start here'!$B$16*K20,0))/$L$31)</f>
        <v/>
      </c>
      <c r="M20" s="60" t="str">
        <f aca="false">IF(COUNT(F20:H20)&gt;=2,MAX(F20:H20)-MIN(F20:H20),"")</f>
        <v/>
      </c>
      <c r="N20" s="60" t="str">
        <f aca="false">IF(L20="","",SUMIF($H$11:$H$14,A20,$L$11:$L$14)-SUMIF($I$11:$I$14,A20,$L$11:$L$14))</f>
        <v/>
      </c>
      <c r="O20" s="60" t="str">
        <f aca="false">IF(L20="","",MAX(0,L20+N20+N(Results!G19)/100))</f>
        <v/>
      </c>
      <c r="P20" s="60" t="str">
        <f aca="false">IF(Results!K19="","",ABS(Results!K19)+A20/1000000000)</f>
        <v/>
      </c>
      <c r="Q20" s="60" t="str">
        <f aca="false">IF(N(M20)&gt;=2,"Q15 "&amp;B20&amp;" — 2+ levels apart ("&amp;"Mum "&amp;IF(Survey!H21="","–",UPPER(Survey!H21))&amp;", Dad "&amp;IF(Survey!I21="","–",UPPER(Survey!I21))&amp;", Me "&amp;IF(Survey!J21="","–",UPPER(Survey!J21))&amp;")","")</f>
        <v/>
      </c>
    </row>
    <row r="21" customFormat="false" ht="15" hidden="false" customHeight="false" outlineLevel="0" collapsed="false">
      <c r="A21" s="60" t="n">
        <v>2</v>
      </c>
      <c r="B21" s="60" t="str">
        <f aca="false">Survey!C22</f>
        <v>Near family in Glen Waverley</v>
      </c>
      <c r="C21" s="60" t="str">
        <f aca="false">IF(Survey!H22="","",IFERROR(INDEX('Start here'!$C$19:$C$22,MATCH(Survey!H22,'Start here'!$A$19:$A$22,0)),""))</f>
        <v/>
      </c>
      <c r="D21" s="60" t="str">
        <f aca="false">IF(Survey!I22="","",IFERROR(INDEX('Start here'!$C$19:$C$22,MATCH(Survey!I22,'Start here'!$A$19:$A$22,0)),""))</f>
        <v/>
      </c>
      <c r="E21" s="60" t="str">
        <f aca="false">IF(Survey!J22="","",IFERROR(INDEX('Start here'!$C$19:$C$22,MATCH(Survey!J22,'Start here'!$A$19:$A$22,0)),""))</f>
        <v/>
      </c>
      <c r="F21" s="60" t="str">
        <f aca="false">IF(Survey!H22="","",IFERROR(MATCH(Survey!H22,'Start here'!$A$19:$A$22,0),""))</f>
        <v/>
      </c>
      <c r="G21" s="60" t="str">
        <f aca="false">IF(Survey!I22="","",IFERROR(MATCH(Survey!I22,'Start here'!$A$19:$A$22,0),""))</f>
        <v/>
      </c>
      <c r="H21" s="60" t="str">
        <f aca="false">IF(Survey!J22="","",IFERROR(MATCH(Survey!J22,'Start here'!$A$19:$A$22,0),""))</f>
        <v/>
      </c>
      <c r="I21" s="60" t="str">
        <f aca="false">IF(AND(ISNUMBER(C21),C$31&gt;0),C21/C$31,"")</f>
        <v/>
      </c>
      <c r="J21" s="60" t="str">
        <f aca="false">IF(AND(ISNUMBER(D21),D$31&gt;0),D21/D$31,"")</f>
        <v/>
      </c>
      <c r="K21" s="60" t="str">
        <f aca="false">IF(AND(ISNUMBER(E21),E$31&gt;0),E21/E$31,"")</f>
        <v/>
      </c>
      <c r="L21" s="60" t="str">
        <f aca="false">IF($L$31=0,"",(IF(ISNUMBER(I21),'Start here'!$B$14*I21,0)+IF(ISNUMBER(J21),'Start here'!$B$15*J21,0)+IF(ISNUMBER(K21),'Start here'!$B$16*K21,0))/$L$31)</f>
        <v/>
      </c>
      <c r="M21" s="60" t="str">
        <f aca="false">IF(COUNT(F21:H21)&gt;=2,MAX(F21:H21)-MIN(F21:H21),"")</f>
        <v/>
      </c>
      <c r="N21" s="60" t="str">
        <f aca="false">IF(L21="","",SUMIF($H$11:$H$14,A21,$L$11:$L$14)-SUMIF($I$11:$I$14,A21,$L$11:$L$14))</f>
        <v/>
      </c>
      <c r="O21" s="60" t="str">
        <f aca="false">IF(L21="","",MAX(0,L21+N21+N(Results!G20)/100))</f>
        <v/>
      </c>
      <c r="P21" s="60" t="str">
        <f aca="false">IF(Results!K20="","",ABS(Results!K20)+A21/1000000000)</f>
        <v/>
      </c>
      <c r="Q21" s="60" t="str">
        <f aca="false">IF(N(M21)&gt;=2,"Q15 "&amp;B21&amp;" — 2+ levels apart ("&amp;"Mum "&amp;IF(Survey!H22="","–",UPPER(Survey!H22))&amp;", Dad "&amp;IF(Survey!I22="","–",UPPER(Survey!I22))&amp;", Me "&amp;IF(Survey!J22="","–",UPPER(Survey!J22))&amp;")","")</f>
        <v/>
      </c>
    </row>
    <row r="22" customFormat="false" ht="15" hidden="false" customHeight="false" outlineLevel="0" collapsed="false">
      <c r="A22" s="60" t="n">
        <v>3</v>
      </c>
      <c r="B22" s="60" t="str">
        <f aca="false">Survey!C23</f>
        <v>Indian/South Asian community</v>
      </c>
      <c r="C22" s="60" t="str">
        <f aca="false">IF(Survey!H23="","",IFERROR(INDEX('Start here'!$C$19:$C$22,MATCH(Survey!H23,'Start here'!$A$19:$A$22,0)),""))</f>
        <v/>
      </c>
      <c r="D22" s="60" t="str">
        <f aca="false">IF(Survey!I23="","",IFERROR(INDEX('Start here'!$C$19:$C$22,MATCH(Survey!I23,'Start here'!$A$19:$A$22,0)),""))</f>
        <v/>
      </c>
      <c r="E22" s="60" t="str">
        <f aca="false">IF(Survey!J23="","",IFERROR(INDEX('Start here'!$C$19:$C$22,MATCH(Survey!J23,'Start here'!$A$19:$A$22,0)),""))</f>
        <v/>
      </c>
      <c r="F22" s="60" t="str">
        <f aca="false">IF(Survey!H23="","",IFERROR(MATCH(Survey!H23,'Start here'!$A$19:$A$22,0),""))</f>
        <v/>
      </c>
      <c r="G22" s="60" t="str">
        <f aca="false">IF(Survey!I23="","",IFERROR(MATCH(Survey!I23,'Start here'!$A$19:$A$22,0),""))</f>
        <v/>
      </c>
      <c r="H22" s="60" t="str">
        <f aca="false">IF(Survey!J23="","",IFERROR(MATCH(Survey!J23,'Start here'!$A$19:$A$22,0),""))</f>
        <v/>
      </c>
      <c r="I22" s="60" t="str">
        <f aca="false">IF(AND(ISNUMBER(C22),C$31&gt;0),C22/C$31,"")</f>
        <v/>
      </c>
      <c r="J22" s="60" t="str">
        <f aca="false">IF(AND(ISNUMBER(D22),D$31&gt;0),D22/D$31,"")</f>
        <v/>
      </c>
      <c r="K22" s="60" t="str">
        <f aca="false">IF(AND(ISNUMBER(E22),E$31&gt;0),E22/E$31,"")</f>
        <v/>
      </c>
      <c r="L22" s="60" t="str">
        <f aca="false">IF($L$31=0,"",(IF(ISNUMBER(I22),'Start here'!$B$14*I22,0)+IF(ISNUMBER(J22),'Start here'!$B$15*J22,0)+IF(ISNUMBER(K22),'Start here'!$B$16*K22,0))/$L$31)</f>
        <v/>
      </c>
      <c r="M22" s="60" t="str">
        <f aca="false">IF(COUNT(F22:H22)&gt;=2,MAX(F22:H22)-MIN(F22:H22),"")</f>
        <v/>
      </c>
      <c r="N22" s="60" t="str">
        <f aca="false">IF(L22="","",SUMIF($H$11:$H$14,A22,$L$11:$L$14)-SUMIF($I$11:$I$14,A22,$L$11:$L$14))</f>
        <v/>
      </c>
      <c r="O22" s="60" t="str">
        <f aca="false">IF(L22="","",MAX(0,L22+N22+N(Results!G21)/100))</f>
        <v/>
      </c>
      <c r="P22" s="60" t="str">
        <f aca="false">IF(Results!K21="","",ABS(Results!K21)+A22/1000000000)</f>
        <v/>
      </c>
      <c r="Q22" s="60" t="str">
        <f aca="false">IF(N(M22)&gt;=2,"Q15 "&amp;B22&amp;" — 2+ levels apart ("&amp;"Mum "&amp;IF(Survey!H23="","–",UPPER(Survey!H23))&amp;", Dad "&amp;IF(Survey!I23="","–",UPPER(Survey!I23))&amp;", Me "&amp;IF(Survey!J23="","–",UPPER(Survey!J23))&amp;")","")</f>
        <v/>
      </c>
    </row>
    <row r="23" customFormat="false" ht="15" hidden="false" customHeight="false" outlineLevel="0" collapsed="false">
      <c r="A23" s="60" t="n">
        <v>4</v>
      </c>
      <c r="B23" s="60" t="str">
        <f aca="false">Survey!C24</f>
        <v>Beach</v>
      </c>
      <c r="C23" s="60" t="str">
        <f aca="false">IF(Survey!H24="","",IFERROR(INDEX('Start here'!$C$19:$C$22,MATCH(Survey!H24,'Start here'!$A$19:$A$22,0)),""))</f>
        <v/>
      </c>
      <c r="D23" s="60" t="str">
        <f aca="false">IF(Survey!I24="","",IFERROR(INDEX('Start here'!$C$19:$C$22,MATCH(Survey!I24,'Start here'!$A$19:$A$22,0)),""))</f>
        <v/>
      </c>
      <c r="E23" s="60" t="str">
        <f aca="false">IF(Survey!J24="","",IFERROR(INDEX('Start here'!$C$19:$C$22,MATCH(Survey!J24,'Start here'!$A$19:$A$22,0)),""))</f>
        <v/>
      </c>
      <c r="F23" s="60" t="str">
        <f aca="false">IF(Survey!H24="","",IFERROR(MATCH(Survey!H24,'Start here'!$A$19:$A$22,0),""))</f>
        <v/>
      </c>
      <c r="G23" s="60" t="str">
        <f aca="false">IF(Survey!I24="","",IFERROR(MATCH(Survey!I24,'Start here'!$A$19:$A$22,0),""))</f>
        <v/>
      </c>
      <c r="H23" s="60" t="str">
        <f aca="false">IF(Survey!J24="","",IFERROR(MATCH(Survey!J24,'Start here'!$A$19:$A$22,0),""))</f>
        <v/>
      </c>
      <c r="I23" s="60" t="str">
        <f aca="false">IF(AND(ISNUMBER(C23),C$31&gt;0),C23/C$31,"")</f>
        <v/>
      </c>
      <c r="J23" s="60" t="str">
        <f aca="false">IF(AND(ISNUMBER(D23),D$31&gt;0),D23/D$31,"")</f>
        <v/>
      </c>
      <c r="K23" s="60" t="str">
        <f aca="false">IF(AND(ISNUMBER(E23),E$31&gt;0),E23/E$31,"")</f>
        <v/>
      </c>
      <c r="L23" s="60" t="str">
        <f aca="false">IF($L$31=0,"",(IF(ISNUMBER(I23),'Start here'!$B$14*I23,0)+IF(ISNUMBER(J23),'Start here'!$B$15*J23,0)+IF(ISNUMBER(K23),'Start here'!$B$16*K23,0))/$L$31)</f>
        <v/>
      </c>
      <c r="M23" s="60" t="str">
        <f aca="false">IF(COUNT(F23:H23)&gt;=2,MAX(F23:H23)-MIN(F23:H23),"")</f>
        <v/>
      </c>
      <c r="N23" s="60" t="str">
        <f aca="false">IF(L23="","",SUMIF($H$11:$H$14,A23,$L$11:$L$14)-SUMIF($I$11:$I$14,A23,$L$11:$L$14))</f>
        <v/>
      </c>
      <c r="O23" s="60" t="str">
        <f aca="false">IF(L23="","",MAX(0,L23+N23+N(Results!G22)/100))</f>
        <v/>
      </c>
      <c r="P23" s="60" t="str">
        <f aca="false">IF(Results!K22="","",ABS(Results!K22)+A23/1000000000)</f>
        <v/>
      </c>
      <c r="Q23" s="60" t="str">
        <f aca="false">IF(N(M23)&gt;=2,"Q15 "&amp;B23&amp;" — 2+ levels apart ("&amp;"Mum "&amp;IF(Survey!H24="","–",UPPER(Survey!H24))&amp;", Dad "&amp;IF(Survey!I24="","–",UPPER(Survey!I24))&amp;", Me "&amp;IF(Survey!J24="","–",UPPER(Survey!J24))&amp;")","")</f>
        <v/>
      </c>
    </row>
    <row r="24" customFormat="false" ht="15" hidden="false" customHeight="false" outlineLevel="0" collapsed="false">
      <c r="A24" s="60" t="n">
        <v>5</v>
      </c>
      <c r="B24" s="60" t="str">
        <f aca="false">Survey!C25</f>
        <v>Hospital nearby</v>
      </c>
      <c r="C24" s="60" t="str">
        <f aca="false">IF(Survey!H25="","",IFERROR(INDEX('Start here'!$C$19:$C$22,MATCH(Survey!H25,'Start here'!$A$19:$A$22,0)),""))</f>
        <v/>
      </c>
      <c r="D24" s="60" t="str">
        <f aca="false">IF(Survey!I25="","",IFERROR(INDEX('Start here'!$C$19:$C$22,MATCH(Survey!I25,'Start here'!$A$19:$A$22,0)),""))</f>
        <v/>
      </c>
      <c r="E24" s="60" t="str">
        <f aca="false">IF(Survey!J25="","",IFERROR(INDEX('Start here'!$C$19:$C$22,MATCH(Survey!J25,'Start here'!$A$19:$A$22,0)),""))</f>
        <v/>
      </c>
      <c r="F24" s="60" t="str">
        <f aca="false">IF(Survey!H25="","",IFERROR(MATCH(Survey!H25,'Start here'!$A$19:$A$22,0),""))</f>
        <v/>
      </c>
      <c r="G24" s="60" t="str">
        <f aca="false">IF(Survey!I25="","",IFERROR(MATCH(Survey!I25,'Start here'!$A$19:$A$22,0),""))</f>
        <v/>
      </c>
      <c r="H24" s="60" t="str">
        <f aca="false">IF(Survey!J25="","",IFERROR(MATCH(Survey!J25,'Start here'!$A$19:$A$22,0),""))</f>
        <v/>
      </c>
      <c r="I24" s="60" t="str">
        <f aca="false">IF(AND(ISNUMBER(C24),C$31&gt;0),C24/C$31,"")</f>
        <v/>
      </c>
      <c r="J24" s="60" t="str">
        <f aca="false">IF(AND(ISNUMBER(D24),D$31&gt;0),D24/D$31,"")</f>
        <v/>
      </c>
      <c r="K24" s="60" t="str">
        <f aca="false">IF(AND(ISNUMBER(E24),E$31&gt;0),E24/E$31,"")</f>
        <v/>
      </c>
      <c r="L24" s="60" t="str">
        <f aca="false">IF($L$31=0,"",(IF(ISNUMBER(I24),'Start here'!$B$14*I24,0)+IF(ISNUMBER(J24),'Start here'!$B$15*J24,0)+IF(ISNUMBER(K24),'Start here'!$B$16*K24,0))/$L$31)</f>
        <v/>
      </c>
      <c r="M24" s="60" t="str">
        <f aca="false">IF(COUNT(F24:H24)&gt;=2,MAX(F24:H24)-MIN(F24:H24),"")</f>
        <v/>
      </c>
      <c r="N24" s="60" t="str">
        <f aca="false">IF(L24="","",SUMIF($H$11:$H$14,A24,$L$11:$L$14)-SUMIF($I$11:$I$14,A24,$L$11:$L$14))</f>
        <v/>
      </c>
      <c r="O24" s="60" t="str">
        <f aca="false">IF(L24="","",MAX(0,L24+N24+N(Results!G23)/100))</f>
        <v/>
      </c>
      <c r="P24" s="60" t="str">
        <f aca="false">IF(Results!K23="","",ABS(Results!K23)+A24/1000000000)</f>
        <v/>
      </c>
      <c r="Q24" s="60" t="str">
        <f aca="false">IF(N(M24)&gt;=2,"Q15 "&amp;B24&amp;" — 2+ levels apart ("&amp;"Mum "&amp;IF(Survey!H25="","–",UPPER(Survey!H25))&amp;", Dad "&amp;IF(Survey!I25="","–",UPPER(Survey!I25))&amp;", Me "&amp;IF(Survey!J25="","–",UPPER(Survey!J25))&amp;")","")</f>
        <v/>
      </c>
    </row>
    <row r="25" customFormat="false" ht="15" hidden="false" customHeight="false" outlineLevel="0" collapsed="false">
      <c r="A25" s="60" t="n">
        <v>6</v>
      </c>
      <c r="B25" s="60" t="str">
        <f aca="false">Survey!C26</f>
        <v>Train or bus</v>
      </c>
      <c r="C25" s="60" t="str">
        <f aca="false">IF(Survey!H26="","",IFERROR(INDEX('Start here'!$C$19:$C$22,MATCH(Survey!H26,'Start here'!$A$19:$A$22,0)),""))</f>
        <v/>
      </c>
      <c r="D25" s="60" t="str">
        <f aca="false">IF(Survey!I26="","",IFERROR(INDEX('Start here'!$C$19:$C$22,MATCH(Survey!I26,'Start here'!$A$19:$A$22,0)),""))</f>
        <v/>
      </c>
      <c r="E25" s="60" t="str">
        <f aca="false">IF(Survey!J26="","",IFERROR(INDEX('Start here'!$C$19:$C$22,MATCH(Survey!J26,'Start here'!$A$19:$A$22,0)),""))</f>
        <v/>
      </c>
      <c r="F25" s="60" t="str">
        <f aca="false">IF(Survey!H26="","",IFERROR(MATCH(Survey!H26,'Start here'!$A$19:$A$22,0),""))</f>
        <v/>
      </c>
      <c r="G25" s="60" t="str">
        <f aca="false">IF(Survey!I26="","",IFERROR(MATCH(Survey!I26,'Start here'!$A$19:$A$22,0),""))</f>
        <v/>
      </c>
      <c r="H25" s="60" t="str">
        <f aca="false">IF(Survey!J26="","",IFERROR(MATCH(Survey!J26,'Start here'!$A$19:$A$22,0),""))</f>
        <v/>
      </c>
      <c r="I25" s="60" t="str">
        <f aca="false">IF(AND(ISNUMBER(C25),C$31&gt;0),C25/C$31,"")</f>
        <v/>
      </c>
      <c r="J25" s="60" t="str">
        <f aca="false">IF(AND(ISNUMBER(D25),D$31&gt;0),D25/D$31,"")</f>
        <v/>
      </c>
      <c r="K25" s="60" t="str">
        <f aca="false">IF(AND(ISNUMBER(E25),E$31&gt;0),E25/E$31,"")</f>
        <v/>
      </c>
      <c r="L25" s="60" t="str">
        <f aca="false">IF($L$31=0,"",(IF(ISNUMBER(I25),'Start here'!$B$14*I25,0)+IF(ISNUMBER(J25),'Start here'!$B$15*J25,0)+IF(ISNUMBER(K25),'Start here'!$B$16*K25,0))/$L$31)</f>
        <v/>
      </c>
      <c r="M25" s="60" t="str">
        <f aca="false">IF(COUNT(F25:H25)&gt;=2,MAX(F25:H25)-MIN(F25:H25),"")</f>
        <v/>
      </c>
      <c r="N25" s="60" t="str">
        <f aca="false">IF(L25="","",SUMIF($H$11:$H$14,A25,$L$11:$L$14)-SUMIF($I$11:$I$14,A25,$L$11:$L$14))</f>
        <v/>
      </c>
      <c r="O25" s="60" t="str">
        <f aca="false">IF(L25="","",MAX(0,L25+N25+N(Results!G24)/100))</f>
        <v/>
      </c>
      <c r="P25" s="60" t="str">
        <f aca="false">IF(Results!K24="","",ABS(Results!K24)+A25/1000000000)</f>
        <v/>
      </c>
      <c r="Q25" s="60" t="str">
        <f aca="false">IF(N(M25)&gt;=2,"Q15 "&amp;B25&amp;" — 2+ levels apart ("&amp;"Mum "&amp;IF(Survey!H26="","–",UPPER(Survey!H26))&amp;", Dad "&amp;IF(Survey!I26="","–",UPPER(Survey!I26))&amp;", Me "&amp;IF(Survey!J26="","–",UPPER(Survey!J26))&amp;")","")</f>
        <v/>
      </c>
    </row>
    <row r="26" customFormat="false" ht="15" hidden="false" customHeight="false" outlineLevel="0" collapsed="false">
      <c r="A26" s="60" t="n">
        <v>7</v>
      </c>
      <c r="B26" s="60" t="str">
        <f aca="false">Survey!C27</f>
        <v>Shops and doctor nearby</v>
      </c>
      <c r="C26" s="60" t="str">
        <f aca="false">IF(Survey!H27="","",IFERROR(INDEX('Start here'!$C$19:$C$22,MATCH(Survey!H27,'Start here'!$A$19:$A$22,0)),""))</f>
        <v/>
      </c>
      <c r="D26" s="60" t="str">
        <f aca="false">IF(Survey!I27="","",IFERROR(INDEX('Start here'!$C$19:$C$22,MATCH(Survey!I27,'Start here'!$A$19:$A$22,0)),""))</f>
        <v/>
      </c>
      <c r="E26" s="60" t="str">
        <f aca="false">IF(Survey!J27="","",IFERROR(INDEX('Start here'!$C$19:$C$22,MATCH(Survey!J27,'Start here'!$A$19:$A$22,0)),""))</f>
        <v/>
      </c>
      <c r="F26" s="60" t="str">
        <f aca="false">IF(Survey!H27="","",IFERROR(MATCH(Survey!H27,'Start here'!$A$19:$A$22,0),""))</f>
        <v/>
      </c>
      <c r="G26" s="60" t="str">
        <f aca="false">IF(Survey!I27="","",IFERROR(MATCH(Survey!I27,'Start here'!$A$19:$A$22,0),""))</f>
        <v/>
      </c>
      <c r="H26" s="60" t="str">
        <f aca="false">IF(Survey!J27="","",IFERROR(MATCH(Survey!J27,'Start here'!$A$19:$A$22,0),""))</f>
        <v/>
      </c>
      <c r="I26" s="60" t="str">
        <f aca="false">IF(AND(ISNUMBER(C26),C$31&gt;0),C26/C$31,"")</f>
        <v/>
      </c>
      <c r="J26" s="60" t="str">
        <f aca="false">IF(AND(ISNUMBER(D26),D$31&gt;0),D26/D$31,"")</f>
        <v/>
      </c>
      <c r="K26" s="60" t="str">
        <f aca="false">IF(AND(ISNUMBER(E26),E$31&gt;0),E26/E$31,"")</f>
        <v/>
      </c>
      <c r="L26" s="60" t="str">
        <f aca="false">IF($L$31=0,"",(IF(ISNUMBER(I26),'Start here'!$B$14*I26,0)+IF(ISNUMBER(J26),'Start here'!$B$15*J26,0)+IF(ISNUMBER(K26),'Start here'!$B$16*K26,0))/$L$31)</f>
        <v/>
      </c>
      <c r="M26" s="60" t="str">
        <f aca="false">IF(COUNT(F26:H26)&gt;=2,MAX(F26:H26)-MIN(F26:H26),"")</f>
        <v/>
      </c>
      <c r="N26" s="60" t="str">
        <f aca="false">IF(L26="","",SUMIF($H$11:$H$14,A26,$L$11:$L$14)-SUMIF($I$11:$I$14,A26,$L$11:$L$14))</f>
        <v/>
      </c>
      <c r="O26" s="60" t="str">
        <f aca="false">IF(L26="","",MAX(0,L26+N26+N(Results!G25)/100))</f>
        <v/>
      </c>
      <c r="P26" s="60" t="str">
        <f aca="false">IF(Results!K25="","",ABS(Results!K25)+A26/1000000000)</f>
        <v/>
      </c>
      <c r="Q26" s="60" t="str">
        <f aca="false">IF(N(M26)&gt;=2,"Q15 "&amp;B26&amp;" — 2+ levels apart ("&amp;"Mum "&amp;IF(Survey!H27="","–",UPPER(Survey!H27))&amp;", Dad "&amp;IF(Survey!I27="","–",UPPER(Survey!I27))&amp;", Me "&amp;IF(Survey!J27="","–",UPPER(Survey!J27))&amp;")","")</f>
        <v/>
      </c>
    </row>
    <row r="27" customFormat="false" ht="15" hidden="false" customHeight="false" outlineLevel="0" collapsed="false">
      <c r="A27" s="60" t="n">
        <v>8</v>
      </c>
      <c r="B27" s="60" t="str">
        <f aca="false">Survey!C28</f>
        <v>Village character</v>
      </c>
      <c r="C27" s="60" t="str">
        <f aca="false">IF(Survey!H28="","",IFERROR(INDEX('Start here'!$C$19:$C$22,MATCH(Survey!H28,'Start here'!$A$19:$A$22,0)),""))</f>
        <v/>
      </c>
      <c r="D27" s="60" t="str">
        <f aca="false">IF(Survey!I28="","",IFERROR(INDEX('Start here'!$C$19:$C$22,MATCH(Survey!I28,'Start here'!$A$19:$A$22,0)),""))</f>
        <v/>
      </c>
      <c r="E27" s="60" t="str">
        <f aca="false">IF(Survey!J28="","",IFERROR(INDEX('Start here'!$C$19:$C$22,MATCH(Survey!J28,'Start here'!$A$19:$A$22,0)),""))</f>
        <v/>
      </c>
      <c r="F27" s="60" t="str">
        <f aca="false">IF(Survey!H28="","",IFERROR(MATCH(Survey!H28,'Start here'!$A$19:$A$22,0),""))</f>
        <v/>
      </c>
      <c r="G27" s="60" t="str">
        <f aca="false">IF(Survey!I28="","",IFERROR(MATCH(Survey!I28,'Start here'!$A$19:$A$22,0),""))</f>
        <v/>
      </c>
      <c r="H27" s="60" t="str">
        <f aca="false">IF(Survey!J28="","",IFERROR(MATCH(Survey!J28,'Start here'!$A$19:$A$22,0),""))</f>
        <v/>
      </c>
      <c r="I27" s="60" t="str">
        <f aca="false">IF(AND(ISNUMBER(C27),C$31&gt;0),C27/C$31,"")</f>
        <v/>
      </c>
      <c r="J27" s="60" t="str">
        <f aca="false">IF(AND(ISNUMBER(D27),D$31&gt;0),D27/D$31,"")</f>
        <v/>
      </c>
      <c r="K27" s="60" t="str">
        <f aca="false">IF(AND(ISNUMBER(E27),E$31&gt;0),E27/E$31,"")</f>
        <v/>
      </c>
      <c r="L27" s="60" t="str">
        <f aca="false">IF($L$31=0,"",(IF(ISNUMBER(I27),'Start here'!$B$14*I27,0)+IF(ISNUMBER(J27),'Start here'!$B$15*J27,0)+IF(ISNUMBER(K27),'Start here'!$B$16*K27,0))/$L$31)</f>
        <v/>
      </c>
      <c r="M27" s="60" t="str">
        <f aca="false">IF(COUNT(F27:H27)&gt;=2,MAX(F27:H27)-MIN(F27:H27),"")</f>
        <v/>
      </c>
      <c r="N27" s="60" t="str">
        <f aca="false">IF(L27="","",SUMIF($H$11:$H$14,A27,$L$11:$L$14)-SUMIF($I$11:$I$14,A27,$L$11:$L$14))</f>
        <v/>
      </c>
      <c r="O27" s="60" t="str">
        <f aca="false">IF(L27="","",MAX(0,L27+N27+N(Results!G26)/100))</f>
        <v/>
      </c>
      <c r="P27" s="60" t="str">
        <f aca="false">IF(Results!K26="","",ABS(Results!K26)+A27/1000000000)</f>
        <v/>
      </c>
      <c r="Q27" s="60" t="str">
        <f aca="false">IF(N(M27)&gt;=2,"Q15 "&amp;B27&amp;" — 2+ levels apart ("&amp;"Mum "&amp;IF(Survey!H28="","–",UPPER(Survey!H28))&amp;", Dad "&amp;IF(Survey!I28="","–",UPPER(Survey!I28))&amp;", Me "&amp;IF(Survey!J28="","–",UPPER(Survey!J28))&amp;")","")</f>
        <v/>
      </c>
    </row>
    <row r="28" customFormat="false" ht="15" hidden="false" customHeight="false" outlineLevel="0" collapsed="false">
      <c r="A28" s="60" t="n">
        <v>9</v>
      </c>
      <c r="B28" s="60" t="str">
        <f aca="false">Survey!C29</f>
        <v>Price</v>
      </c>
      <c r="C28" s="60" t="str">
        <f aca="false">IF(Survey!H29="","",IFERROR(INDEX('Start here'!$C$19:$C$22,MATCH(Survey!H29,'Start here'!$A$19:$A$22,0)),""))</f>
        <v/>
      </c>
      <c r="D28" s="60" t="str">
        <f aca="false">IF(Survey!I29="","",IFERROR(INDEX('Start here'!$C$19:$C$22,MATCH(Survey!I29,'Start here'!$A$19:$A$22,0)),""))</f>
        <v/>
      </c>
      <c r="E28" s="60" t="str">
        <f aca="false">IF(Survey!J29="","",IFERROR(INDEX('Start here'!$C$19:$C$22,MATCH(Survey!J29,'Start here'!$A$19:$A$22,0)),""))</f>
        <v/>
      </c>
      <c r="F28" s="60" t="str">
        <f aca="false">IF(Survey!H29="","",IFERROR(MATCH(Survey!H29,'Start here'!$A$19:$A$22,0),""))</f>
        <v/>
      </c>
      <c r="G28" s="60" t="str">
        <f aca="false">IF(Survey!I29="","",IFERROR(MATCH(Survey!I29,'Start here'!$A$19:$A$22,0),""))</f>
        <v/>
      </c>
      <c r="H28" s="60" t="str">
        <f aca="false">IF(Survey!J29="","",IFERROR(MATCH(Survey!J29,'Start here'!$A$19:$A$22,0),""))</f>
        <v/>
      </c>
      <c r="I28" s="60" t="str">
        <f aca="false">IF(AND(ISNUMBER(C28),C$31&gt;0),C28/C$31,"")</f>
        <v/>
      </c>
      <c r="J28" s="60" t="str">
        <f aca="false">IF(AND(ISNUMBER(D28),D$31&gt;0),D28/D$31,"")</f>
        <v/>
      </c>
      <c r="K28" s="60" t="str">
        <f aca="false">IF(AND(ISNUMBER(E28),E$31&gt;0),E28/E$31,"")</f>
        <v/>
      </c>
      <c r="L28" s="60" t="str">
        <f aca="false">IF($L$31=0,"",(IF(ISNUMBER(I28),'Start here'!$B$14*I28,0)+IF(ISNUMBER(J28),'Start here'!$B$15*J28,0)+IF(ISNUMBER(K28),'Start here'!$B$16*K28,0))/$L$31)</f>
        <v/>
      </c>
      <c r="M28" s="60" t="str">
        <f aca="false">IF(COUNT(F28:H28)&gt;=2,MAX(F28:H28)-MIN(F28:H28),"")</f>
        <v/>
      </c>
      <c r="N28" s="60" t="str">
        <f aca="false">IF(L28="","",SUMIF($H$11:$H$14,A28,$L$11:$L$14)-SUMIF($I$11:$I$14,A28,$L$11:$L$14))</f>
        <v/>
      </c>
      <c r="O28" s="60" t="str">
        <f aca="false">IF(L28="","",MAX(0,L28+N28+N(Results!G27)/100))</f>
        <v/>
      </c>
      <c r="P28" s="60" t="str">
        <f aca="false">IF(Results!K27="","",ABS(Results!K27)+A28/1000000000)</f>
        <v/>
      </c>
      <c r="Q28" s="60" t="str">
        <f aca="false">IF(N(M28)&gt;=2,"Q15 "&amp;B28&amp;" — 2+ levels apart ("&amp;"Mum "&amp;IF(Survey!H29="","–",UPPER(Survey!H29))&amp;", Dad "&amp;IF(Survey!I29="","–",UPPER(Survey!I29))&amp;", Me "&amp;IF(Survey!J29="","–",UPPER(Survey!J29))&amp;")","")</f>
        <v/>
      </c>
    </row>
    <row r="29" customFormat="false" ht="15" hidden="false" customHeight="false" outlineLevel="0" collapsed="false">
      <c r="A29" s="60" t="n">
        <v>10</v>
      </c>
      <c r="B29" s="60" t="str">
        <f aca="false">Survey!C30</f>
        <v>Easy trip to the city (work, outings)</v>
      </c>
      <c r="C29" s="60" t="str">
        <f aca="false">IF(Survey!H30="","",IFERROR(INDEX('Start here'!$C$19:$C$22,MATCH(Survey!H30,'Start here'!$A$19:$A$22,0)),""))</f>
        <v/>
      </c>
      <c r="D29" s="60" t="str">
        <f aca="false">IF(Survey!I30="","",IFERROR(INDEX('Start here'!$C$19:$C$22,MATCH(Survey!I30,'Start here'!$A$19:$A$22,0)),""))</f>
        <v/>
      </c>
      <c r="E29" s="60" t="str">
        <f aca="false">IF(Survey!J30="","",IFERROR(INDEX('Start here'!$C$19:$C$22,MATCH(Survey!J30,'Start here'!$A$19:$A$22,0)),""))</f>
        <v/>
      </c>
      <c r="F29" s="60" t="str">
        <f aca="false">IF(Survey!H30="","",IFERROR(MATCH(Survey!H30,'Start here'!$A$19:$A$22,0),""))</f>
        <v/>
      </c>
      <c r="G29" s="60" t="str">
        <f aca="false">IF(Survey!I30="","",IFERROR(MATCH(Survey!I30,'Start here'!$A$19:$A$22,0),""))</f>
        <v/>
      </c>
      <c r="H29" s="60" t="str">
        <f aca="false">IF(Survey!J30="","",IFERROR(MATCH(Survey!J30,'Start here'!$A$19:$A$22,0),""))</f>
        <v/>
      </c>
      <c r="I29" s="60" t="str">
        <f aca="false">IF(AND(ISNUMBER(C29),C$31&gt;0),C29/C$31,"")</f>
        <v/>
      </c>
      <c r="J29" s="60" t="str">
        <f aca="false">IF(AND(ISNUMBER(D29),D$31&gt;0),D29/D$31,"")</f>
        <v/>
      </c>
      <c r="K29" s="60" t="str">
        <f aca="false">IF(AND(ISNUMBER(E29),E$31&gt;0),E29/E$31,"")</f>
        <v/>
      </c>
      <c r="L29" s="60" t="str">
        <f aca="false">IF($L$31=0,"",(IF(ISNUMBER(I29),'Start here'!$B$14*I29,0)+IF(ISNUMBER(J29),'Start here'!$B$15*J29,0)+IF(ISNUMBER(K29),'Start here'!$B$16*K29,0))/$L$31)</f>
        <v/>
      </c>
      <c r="M29" s="60" t="str">
        <f aca="false">IF(COUNT(F29:H29)&gt;=2,MAX(F29:H29)-MIN(F29:H29),"")</f>
        <v/>
      </c>
      <c r="N29" s="60" t="str">
        <f aca="false">IF(L29="","",SUMIF($H$11:$H$14,A29,$L$11:$L$14)-SUMIF($I$11:$I$14,A29,$L$11:$L$14))</f>
        <v/>
      </c>
      <c r="O29" s="60" t="str">
        <f aca="false">IF(L29="","",MAX(0,L29+N29+N(Results!G28)/100))</f>
        <v/>
      </c>
      <c r="P29" s="60" t="str">
        <f aca="false">IF(Results!K28="","",ABS(Results!K28)+A29/1000000000)</f>
        <v/>
      </c>
      <c r="Q29" s="60" t="str">
        <f aca="false">IF(N(M29)&gt;=2,"Q15 "&amp;B29&amp;" — 2+ levels apart ("&amp;"Mum "&amp;IF(Survey!H30="","–",UPPER(Survey!H30))&amp;", Dad "&amp;IF(Survey!I30="","–",UPPER(Survey!I30))&amp;", Me "&amp;IF(Survey!J30="","–",UPPER(Survey!J30))&amp;")","")</f>
        <v/>
      </c>
    </row>
    <row r="31" customFormat="false" ht="15" hidden="false" customHeight="false" outlineLevel="0" collapsed="false">
      <c r="A31" s="60" t="s">
        <v>268</v>
      </c>
      <c r="C31" s="60" t="n">
        <f aca="false">SUM(C20:C29)</f>
        <v>0</v>
      </c>
      <c r="D31" s="60" t="n">
        <f aca="false">SUM(D20:D29)</f>
        <v>0</v>
      </c>
      <c r="E31" s="60" t="n">
        <f aca="false">SUM(E20:E29)</f>
        <v>0</v>
      </c>
      <c r="K31" s="60" t="s">
        <v>269</v>
      </c>
      <c r="L31" s="60" t="n">
        <f aca="false">(C31&gt;0)*'Start here'!$B$14+(D31&gt;0)*'Start here'!$B$15+(E31&gt;0)*'Start here'!$B$16</f>
        <v>0</v>
      </c>
    </row>
    <row r="35" customFormat="false" ht="23.85" hidden="false" customHeight="false" outlineLevel="0" collapsed="false">
      <c r="A35" s="5" t="s">
        <v>270</v>
      </c>
      <c r="B35" s="5" t="s">
        <v>244</v>
      </c>
      <c r="C35" s="5" t="s">
        <v>271</v>
      </c>
      <c r="D35" s="5" t="s">
        <v>272</v>
      </c>
      <c r="E35" s="5" t="s">
        <v>257</v>
      </c>
      <c r="F35" s="5" t="s">
        <v>258</v>
      </c>
      <c r="G35" s="5" t="s">
        <v>259</v>
      </c>
      <c r="H35" s="5" t="s">
        <v>273</v>
      </c>
      <c r="I35" s="5" t="s">
        <v>274</v>
      </c>
      <c r="J35" s="5" t="s">
        <v>267</v>
      </c>
    </row>
    <row r="36" customFormat="false" ht="15" hidden="false" customHeight="false" outlineLevel="0" collapsed="false">
      <c r="A36" s="60" t="s">
        <v>275</v>
      </c>
      <c r="B36" s="60" t="n">
        <v>7</v>
      </c>
      <c r="C36" s="60" t="n">
        <f aca="false">SUMPRODUCT((Survey!H7:J7&lt;&gt;"")/COUNTIF(Survey!H7:J7,Survey!H7:J7&amp;""))</f>
        <v>0</v>
      </c>
      <c r="D36" s="60" t="s">
        <v>276</v>
      </c>
      <c r="E36" s="60" t="str">
        <f aca="false">IF(Survey!H7="","",IFERROR(MATCH(Survey!H7,'Start here'!$A$19:$A$22,0),""))</f>
        <v/>
      </c>
      <c r="F36" s="60" t="str">
        <f aca="false">IF(Survey!I7="","",IFERROR(MATCH(Survey!I7,'Start here'!$A$19:$A$22,0),""))</f>
        <v/>
      </c>
      <c r="G36" s="60" t="str">
        <f aca="false">IF(Survey!J7="","",IFERROR(MATCH(Survey!J7,'Start here'!$A$19:$A$22,0),""))</f>
        <v/>
      </c>
      <c r="H36" s="60" t="str">
        <f aca="false">IF(COUNT(E36:G36)&gt;=2,MAX(E36:G36)-MIN(E36:G36),"")</f>
        <v/>
      </c>
      <c r="I36" s="61" t="b">
        <f aca="false">AND(Survey!H7&lt;&gt;"",Survey!I7&lt;&gt;"",Survey!H7&lt;&gt;Survey!I7)</f>
        <v>0</v>
      </c>
      <c r="J36" s="60" t="str">
        <f aca="false">IF(AND(D36="ordered",N(H36)&gt;=2),A36&amp;" — big gap ("&amp;"Mum "&amp;IF(Survey!H7="","–",UPPER(Survey!H7))&amp;", Dad "&amp;IF(Survey!I7="","–",UPPER(Survey!I7))&amp;", Me "&amp;IF(Survey!J7="","–",UPPER(Survey!J7))&amp;")",IF(AND(D36="pair",I36),A36&amp;" — Mum and Dad differ ("&amp;"Mum "&amp;IF(Survey!H7="","–",UPPER(Survey!H7))&amp;", Dad "&amp;IF(Survey!I7="","–",UPPER(Survey!I7))&amp;", Me "&amp;IF(Survey!J7="","–",UPPER(Survey!J7))&amp;")",""))</f>
        <v/>
      </c>
    </row>
    <row r="37" customFormat="false" ht="15" hidden="false" customHeight="false" outlineLevel="0" collapsed="false">
      <c r="A37" s="60" t="s">
        <v>277</v>
      </c>
      <c r="B37" s="60" t="n">
        <v>8</v>
      </c>
      <c r="C37" s="60" t="n">
        <f aca="false">SUMPRODUCT((Survey!H8:J8&lt;&gt;"")/COUNTIF(Survey!H8:J8,Survey!H8:J8&amp;""))</f>
        <v>0</v>
      </c>
      <c r="D37" s="60" t="s">
        <v>276</v>
      </c>
      <c r="E37" s="60" t="str">
        <f aca="false">IF(Survey!H8="","",IFERROR(MATCH(Survey!H8,'Start here'!$A$19:$A$22,0),""))</f>
        <v/>
      </c>
      <c r="F37" s="60" t="str">
        <f aca="false">IF(Survey!I8="","",IFERROR(MATCH(Survey!I8,'Start here'!$A$19:$A$22,0),""))</f>
        <v/>
      </c>
      <c r="G37" s="60" t="str">
        <f aca="false">IF(Survey!J8="","",IFERROR(MATCH(Survey!J8,'Start here'!$A$19:$A$22,0),""))</f>
        <v/>
      </c>
      <c r="H37" s="60" t="str">
        <f aca="false">IF(COUNT(E37:G37)&gt;=2,MAX(E37:G37)-MIN(E37:G37),"")</f>
        <v/>
      </c>
      <c r="I37" s="61" t="b">
        <f aca="false">AND(Survey!H8&lt;&gt;"",Survey!I8&lt;&gt;"",Survey!H8&lt;&gt;Survey!I8)</f>
        <v>0</v>
      </c>
      <c r="J37" s="60" t="str">
        <f aca="false">IF(AND(D37="ordered",N(H37)&gt;=2),A37&amp;" — big gap ("&amp;"Mum "&amp;IF(Survey!H8="","–",UPPER(Survey!H8))&amp;", Dad "&amp;IF(Survey!I8="","–",UPPER(Survey!I8))&amp;", Me "&amp;IF(Survey!J8="","–",UPPER(Survey!J8))&amp;")",IF(AND(D37="pair",I37),A37&amp;" — Mum and Dad differ ("&amp;"Mum "&amp;IF(Survey!H8="","–",UPPER(Survey!H8))&amp;", Dad "&amp;IF(Survey!I8="","–",UPPER(Survey!I8))&amp;", Me "&amp;IF(Survey!J8="","–",UPPER(Survey!J8))&amp;")",""))</f>
        <v/>
      </c>
    </row>
    <row r="38" customFormat="false" ht="15" hidden="false" customHeight="false" outlineLevel="0" collapsed="false">
      <c r="A38" s="60" t="s">
        <v>278</v>
      </c>
      <c r="B38" s="60" t="n">
        <v>9</v>
      </c>
      <c r="C38" s="60" t="n">
        <f aca="false">SUMPRODUCT((Survey!H9:J9&lt;&gt;"")/COUNTIF(Survey!H9:J9,Survey!H9:J9&amp;""))</f>
        <v>0</v>
      </c>
      <c r="D38" s="60" t="s">
        <v>276</v>
      </c>
      <c r="E38" s="60" t="str">
        <f aca="false">IF(Survey!H9="","",IFERROR(MATCH(Survey!H9,'Start here'!$A$19:$A$22,0),""))</f>
        <v/>
      </c>
      <c r="F38" s="60" t="str">
        <f aca="false">IF(Survey!I9="","",IFERROR(MATCH(Survey!I9,'Start here'!$A$19:$A$22,0),""))</f>
        <v/>
      </c>
      <c r="G38" s="60" t="str">
        <f aca="false">IF(Survey!J9="","",IFERROR(MATCH(Survey!J9,'Start here'!$A$19:$A$22,0),""))</f>
        <v/>
      </c>
      <c r="H38" s="60" t="str">
        <f aca="false">IF(COUNT(E38:G38)&gt;=2,MAX(E38:G38)-MIN(E38:G38),"")</f>
        <v/>
      </c>
      <c r="I38" s="61" t="b">
        <f aca="false">AND(Survey!H9&lt;&gt;"",Survey!I9&lt;&gt;"",Survey!H9&lt;&gt;Survey!I9)</f>
        <v>0</v>
      </c>
      <c r="J38" s="60" t="str">
        <f aca="false">IF(AND(D38="ordered",N(H38)&gt;=2),A38&amp;" — big gap ("&amp;"Mum "&amp;IF(Survey!H9="","–",UPPER(Survey!H9))&amp;", Dad "&amp;IF(Survey!I9="","–",UPPER(Survey!I9))&amp;", Me "&amp;IF(Survey!J9="","–",UPPER(Survey!J9))&amp;")",IF(AND(D38="pair",I38),A38&amp;" — Mum and Dad differ ("&amp;"Mum "&amp;IF(Survey!H9="","–",UPPER(Survey!H9))&amp;", Dad "&amp;IF(Survey!I9="","–",UPPER(Survey!I9))&amp;", Me "&amp;IF(Survey!J9="","–",UPPER(Survey!J9))&amp;")",""))</f>
        <v/>
      </c>
    </row>
    <row r="39" customFormat="false" ht="15" hidden="false" customHeight="false" outlineLevel="0" collapsed="false">
      <c r="A39" s="60" t="s">
        <v>279</v>
      </c>
      <c r="B39" s="60" t="n">
        <v>10</v>
      </c>
      <c r="C39" s="60" t="n">
        <f aca="false">SUMPRODUCT((Survey!H10:J10&lt;&gt;"")/COUNTIF(Survey!H10:J10,Survey!H10:J10&amp;""))</f>
        <v>0</v>
      </c>
      <c r="D39" s="60" t="s">
        <v>276</v>
      </c>
      <c r="E39" s="60" t="str">
        <f aca="false">IF(Survey!H10="","",IFERROR(MATCH(Survey!H10,'Start here'!$A$19:$A$22,0),""))</f>
        <v/>
      </c>
      <c r="F39" s="60" t="str">
        <f aca="false">IF(Survey!I10="","",IFERROR(MATCH(Survey!I10,'Start here'!$A$19:$A$22,0),""))</f>
        <v/>
      </c>
      <c r="G39" s="60" t="str">
        <f aca="false">IF(Survey!J10="","",IFERROR(MATCH(Survey!J10,'Start here'!$A$19:$A$22,0),""))</f>
        <v/>
      </c>
      <c r="H39" s="60" t="str">
        <f aca="false">IF(COUNT(E39:G39)&gt;=2,MAX(E39:G39)-MIN(E39:G39),"")</f>
        <v/>
      </c>
      <c r="I39" s="61" t="b">
        <f aca="false">AND(Survey!H10&lt;&gt;"",Survey!I10&lt;&gt;"",Survey!H10&lt;&gt;Survey!I10)</f>
        <v>0</v>
      </c>
      <c r="J39" s="60" t="str">
        <f aca="false">IF(AND(D39="ordered",N(H39)&gt;=2),A39&amp;" — big gap ("&amp;"Mum "&amp;IF(Survey!H10="","–",UPPER(Survey!H10))&amp;", Dad "&amp;IF(Survey!I10="","–",UPPER(Survey!I10))&amp;", Me "&amp;IF(Survey!J10="","–",UPPER(Survey!J10))&amp;")",IF(AND(D39="pair",I39),A39&amp;" — Mum and Dad differ ("&amp;"Mum "&amp;IF(Survey!H10="","–",UPPER(Survey!H10))&amp;", Dad "&amp;IF(Survey!I10="","–",UPPER(Survey!I10))&amp;", Me "&amp;IF(Survey!J10="","–",UPPER(Survey!J10))&amp;")",""))</f>
        <v/>
      </c>
    </row>
    <row r="40" customFormat="false" ht="15" hidden="false" customHeight="false" outlineLevel="0" collapsed="false">
      <c r="A40" s="60" t="s">
        <v>280</v>
      </c>
      <c r="B40" s="60" t="n">
        <v>11</v>
      </c>
      <c r="C40" s="60" t="n">
        <f aca="false">SUMPRODUCT((Survey!H11:J11&lt;&gt;"")/COUNTIF(Survey!H11:J11,Survey!H11:J11&amp;""))</f>
        <v>0</v>
      </c>
      <c r="D40" s="60" t="s">
        <v>281</v>
      </c>
      <c r="E40" s="60" t="str">
        <f aca="false">IF(Survey!H11="","",IFERROR(MATCH(Survey!H11,'Start here'!$A$19:$A$22,0),""))</f>
        <v/>
      </c>
      <c r="F40" s="60" t="str">
        <f aca="false">IF(Survey!I11="","",IFERROR(MATCH(Survey!I11,'Start here'!$A$19:$A$22,0),""))</f>
        <v/>
      </c>
      <c r="G40" s="60" t="str">
        <f aca="false">IF(Survey!J11="","",IFERROR(MATCH(Survey!J11,'Start here'!$A$19:$A$22,0),""))</f>
        <v/>
      </c>
      <c r="H40" s="60" t="str">
        <f aca="false">IF(COUNT(E40:G40)&gt;=2,MAX(E40:G40)-MIN(E40:G40),"")</f>
        <v/>
      </c>
      <c r="I40" s="61" t="b">
        <f aca="false">AND(Survey!H11&lt;&gt;"",Survey!I11&lt;&gt;"",Survey!H11&lt;&gt;Survey!I11)</f>
        <v>0</v>
      </c>
      <c r="J40" s="60" t="str">
        <f aca="false">IF(AND(D40="ordered",N(H40)&gt;=2),A40&amp;" — big gap ("&amp;"Mum "&amp;IF(Survey!H11="","–",UPPER(Survey!H11))&amp;", Dad "&amp;IF(Survey!I11="","–",UPPER(Survey!I11))&amp;", Me "&amp;IF(Survey!J11="","–",UPPER(Survey!J11))&amp;")",IF(AND(D40="pair",I40),A40&amp;" — Mum and Dad differ ("&amp;"Mum "&amp;IF(Survey!H11="","–",UPPER(Survey!H11))&amp;", Dad "&amp;IF(Survey!I11="","–",UPPER(Survey!I11))&amp;", Me "&amp;IF(Survey!J11="","–",UPPER(Survey!J11))&amp;")",""))</f>
        <v/>
      </c>
    </row>
    <row r="41" customFormat="false" ht="15" hidden="false" customHeight="false" outlineLevel="0" collapsed="false">
      <c r="A41" s="60" t="s">
        <v>282</v>
      </c>
      <c r="B41" s="60" t="n">
        <v>12</v>
      </c>
      <c r="C41" s="60" t="n">
        <f aca="false">SUMPRODUCT((Survey!H12:J12&lt;&gt;"")/COUNTIF(Survey!H12:J12,Survey!H12:J12&amp;""))</f>
        <v>0</v>
      </c>
      <c r="D41" s="60" t="s">
        <v>276</v>
      </c>
      <c r="E41" s="60" t="str">
        <f aca="false">IF(Survey!H12="","",IFERROR(MATCH(Survey!H12,'Start here'!$A$19:$A$22,0),""))</f>
        <v/>
      </c>
      <c r="F41" s="60" t="str">
        <f aca="false">IF(Survey!I12="","",IFERROR(MATCH(Survey!I12,'Start here'!$A$19:$A$22,0),""))</f>
        <v/>
      </c>
      <c r="G41" s="60" t="str">
        <f aca="false">IF(Survey!J12="","",IFERROR(MATCH(Survey!J12,'Start here'!$A$19:$A$22,0),""))</f>
        <v/>
      </c>
      <c r="H41" s="60" t="str">
        <f aca="false">IF(COUNT(E41:G41)&gt;=2,MAX(E41:G41)-MIN(E41:G41),"")</f>
        <v/>
      </c>
      <c r="I41" s="61" t="b">
        <f aca="false">AND(Survey!H12&lt;&gt;"",Survey!I12&lt;&gt;"",Survey!H12&lt;&gt;Survey!I12)</f>
        <v>0</v>
      </c>
      <c r="J41" s="60" t="str">
        <f aca="false">IF(AND(D41="ordered",N(H41)&gt;=2),A41&amp;" — big gap ("&amp;"Mum "&amp;IF(Survey!H12="","–",UPPER(Survey!H12))&amp;", Dad "&amp;IF(Survey!I12="","–",UPPER(Survey!I12))&amp;", Me "&amp;IF(Survey!J12="","–",UPPER(Survey!J12))&amp;")",IF(AND(D41="pair",I41),A41&amp;" — Mum and Dad differ ("&amp;"Mum "&amp;IF(Survey!H12="","–",UPPER(Survey!H12))&amp;", Dad "&amp;IF(Survey!I12="","–",UPPER(Survey!I12))&amp;", Me "&amp;IF(Survey!J12="","–",UPPER(Survey!J12))&amp;")",""))</f>
        <v/>
      </c>
    </row>
    <row r="42" customFormat="false" ht="15" hidden="false" customHeight="false" outlineLevel="0" collapsed="false">
      <c r="A42" s="60" t="s">
        <v>283</v>
      </c>
      <c r="B42" s="60" t="n">
        <v>13</v>
      </c>
      <c r="C42" s="60" t="n">
        <f aca="false">SUMPRODUCT((Survey!H13:J13&lt;&gt;"")/COUNTIF(Survey!H13:J13,Survey!H13:J13&amp;""))</f>
        <v>0</v>
      </c>
      <c r="D42" s="60" t="s">
        <v>284</v>
      </c>
      <c r="E42" s="60" t="str">
        <f aca="false">IF(Survey!H13="","",IFERROR(MATCH(Survey!H13,'Start here'!$A$19:$A$22,0),""))</f>
        <v/>
      </c>
      <c r="F42" s="60" t="str">
        <f aca="false">IF(Survey!I13="","",IFERROR(MATCH(Survey!I13,'Start here'!$A$19:$A$22,0),""))</f>
        <v/>
      </c>
      <c r="G42" s="60" t="str">
        <f aca="false">IF(Survey!J13="","",IFERROR(MATCH(Survey!J13,'Start here'!$A$19:$A$22,0),""))</f>
        <v/>
      </c>
      <c r="H42" s="60" t="str">
        <f aca="false">IF(COUNT(E42:G42)&gt;=2,MAX(E42:G42)-MIN(E42:G42),"")</f>
        <v/>
      </c>
      <c r="I42" s="61" t="b">
        <f aca="false">AND(Survey!H13&lt;&gt;"",Survey!I13&lt;&gt;"",Survey!H13&lt;&gt;Survey!I13)</f>
        <v>0</v>
      </c>
      <c r="J42" s="60" t="str">
        <f aca="false">IF(AND(D42="ordered",N(H42)&gt;=2),A42&amp;" — big gap ("&amp;"Mum "&amp;IF(Survey!H13="","–",UPPER(Survey!H13))&amp;", Dad "&amp;IF(Survey!I13="","–",UPPER(Survey!I13))&amp;", Me "&amp;IF(Survey!J13="","–",UPPER(Survey!J13))&amp;")",IF(AND(D42="pair",I42),A42&amp;" — Mum and Dad differ ("&amp;"Mum "&amp;IF(Survey!H13="","–",UPPER(Survey!H13))&amp;", Dad "&amp;IF(Survey!I13="","–",UPPER(Survey!I13))&amp;", Me "&amp;IF(Survey!J13="","–",UPPER(Survey!J13))&amp;")",""))</f>
        <v/>
      </c>
    </row>
    <row r="43" customFormat="false" ht="15" hidden="false" customHeight="false" outlineLevel="0" collapsed="false">
      <c r="A43" s="60" t="s">
        <v>285</v>
      </c>
      <c r="B43" s="60" t="n">
        <v>14</v>
      </c>
      <c r="C43" s="60" t="n">
        <f aca="false">SUMPRODUCT((Survey!H14:J14&lt;&gt;"")/COUNTIF(Survey!H14:J14,Survey!H14:J14&amp;""))</f>
        <v>0</v>
      </c>
      <c r="D43" s="60" t="s">
        <v>284</v>
      </c>
      <c r="E43" s="60" t="str">
        <f aca="false">IF(Survey!H14="","",IFERROR(MATCH(Survey!H14,'Start here'!$A$19:$A$22,0),""))</f>
        <v/>
      </c>
      <c r="F43" s="60" t="str">
        <f aca="false">IF(Survey!I14="","",IFERROR(MATCH(Survey!I14,'Start here'!$A$19:$A$22,0),""))</f>
        <v/>
      </c>
      <c r="G43" s="60" t="str">
        <f aca="false">IF(Survey!J14="","",IFERROR(MATCH(Survey!J14,'Start here'!$A$19:$A$22,0),""))</f>
        <v/>
      </c>
      <c r="H43" s="60" t="str">
        <f aca="false">IF(COUNT(E43:G43)&gt;=2,MAX(E43:G43)-MIN(E43:G43),"")</f>
        <v/>
      </c>
      <c r="I43" s="61" t="b">
        <f aca="false">AND(Survey!H14&lt;&gt;"",Survey!I14&lt;&gt;"",Survey!H14&lt;&gt;Survey!I14)</f>
        <v>0</v>
      </c>
      <c r="J43" s="60" t="str">
        <f aca="false">IF(AND(D43="ordered",N(H43)&gt;=2),A43&amp;" — big gap ("&amp;"Mum "&amp;IF(Survey!H14="","–",UPPER(Survey!H14))&amp;", Dad "&amp;IF(Survey!I14="","–",UPPER(Survey!I14))&amp;", Me "&amp;IF(Survey!J14="","–",UPPER(Survey!J14))&amp;")",IF(AND(D43="pair",I43),A43&amp;" — Mum and Dad differ ("&amp;"Mum "&amp;IF(Survey!H14="","–",UPPER(Survey!H14))&amp;", Dad "&amp;IF(Survey!I14="","–",UPPER(Survey!I14))&amp;", Me "&amp;IF(Survey!J14="","–",UPPER(Survey!J14))&amp;")",""))</f>
        <v/>
      </c>
    </row>
    <row r="44" customFormat="false" ht="15" hidden="false" customHeight="false" outlineLevel="0" collapsed="false">
      <c r="A44" s="60" t="s">
        <v>286</v>
      </c>
      <c r="B44" s="60" t="n">
        <v>15</v>
      </c>
      <c r="C44" s="60" t="n">
        <f aca="false">SUMPRODUCT((Survey!H15:J15&lt;&gt;"")/COUNTIF(Survey!H15:J15,Survey!H15:J15&amp;""))</f>
        <v>0</v>
      </c>
      <c r="D44" s="60" t="s">
        <v>281</v>
      </c>
      <c r="E44" s="60" t="str">
        <f aca="false">IF(Survey!H15="","",IFERROR(MATCH(Survey!H15,'Start here'!$A$19:$A$22,0),""))</f>
        <v/>
      </c>
      <c r="F44" s="60" t="str">
        <f aca="false">IF(Survey!I15="","",IFERROR(MATCH(Survey!I15,'Start here'!$A$19:$A$22,0),""))</f>
        <v/>
      </c>
      <c r="G44" s="60" t="str">
        <f aca="false">IF(Survey!J15="","",IFERROR(MATCH(Survey!J15,'Start here'!$A$19:$A$22,0),""))</f>
        <v/>
      </c>
      <c r="H44" s="60" t="str">
        <f aca="false">IF(COUNT(E44:G44)&gt;=2,MAX(E44:G44)-MIN(E44:G44),"")</f>
        <v/>
      </c>
      <c r="I44" s="61" t="b">
        <f aca="false">AND(Survey!H15&lt;&gt;"",Survey!I15&lt;&gt;"",Survey!H15&lt;&gt;Survey!I15)</f>
        <v>0</v>
      </c>
      <c r="J44" s="60" t="str">
        <f aca="false">IF(AND(D44="ordered",N(H44)&gt;=2),A44&amp;" — big gap ("&amp;"Mum "&amp;IF(Survey!H15="","–",UPPER(Survey!H15))&amp;", Dad "&amp;IF(Survey!I15="","–",UPPER(Survey!I15))&amp;", Me "&amp;IF(Survey!J15="","–",UPPER(Survey!J15))&amp;")",IF(AND(D44="pair",I44),A44&amp;" — Mum and Dad differ ("&amp;"Mum "&amp;IF(Survey!H15="","–",UPPER(Survey!H15))&amp;", Dad "&amp;IF(Survey!I15="","–",UPPER(Survey!I15))&amp;", Me "&amp;IF(Survey!J15="","–",UPPER(Survey!J15))&amp;")",""))</f>
        <v/>
      </c>
    </row>
    <row r="45" customFormat="false" ht="15" hidden="false" customHeight="false" outlineLevel="0" collapsed="false">
      <c r="A45" s="60" t="s">
        <v>287</v>
      </c>
      <c r="B45" s="60" t="n">
        <v>16</v>
      </c>
      <c r="C45" s="60" t="n">
        <f aca="false">SUMPRODUCT((Survey!H16:J16&lt;&gt;"")/COUNTIF(Survey!H16:J16,Survey!H16:J16&amp;""))</f>
        <v>0</v>
      </c>
      <c r="D45" s="60" t="s">
        <v>281</v>
      </c>
      <c r="E45" s="60" t="str">
        <f aca="false">IF(Survey!H16="","",IFERROR(MATCH(Survey!H16,'Start here'!$A$19:$A$22,0),""))</f>
        <v/>
      </c>
      <c r="F45" s="60" t="str">
        <f aca="false">IF(Survey!I16="","",IFERROR(MATCH(Survey!I16,'Start here'!$A$19:$A$22,0),""))</f>
        <v/>
      </c>
      <c r="G45" s="60" t="str">
        <f aca="false">IF(Survey!J16="","",IFERROR(MATCH(Survey!J16,'Start here'!$A$19:$A$22,0),""))</f>
        <v/>
      </c>
      <c r="H45" s="60" t="str">
        <f aca="false">IF(COUNT(E45:G45)&gt;=2,MAX(E45:G45)-MIN(E45:G45),"")</f>
        <v/>
      </c>
      <c r="I45" s="61" t="b">
        <f aca="false">AND(Survey!H16&lt;&gt;"",Survey!I16&lt;&gt;"",Survey!H16&lt;&gt;Survey!I16)</f>
        <v>0</v>
      </c>
      <c r="J45" s="60" t="str">
        <f aca="false">IF(AND(D45="ordered",N(H45)&gt;=2),A45&amp;" — big gap ("&amp;"Mum "&amp;IF(Survey!H16="","–",UPPER(Survey!H16))&amp;", Dad "&amp;IF(Survey!I16="","–",UPPER(Survey!I16))&amp;", Me "&amp;IF(Survey!J16="","–",UPPER(Survey!J16))&amp;")",IF(AND(D45="pair",I45),A45&amp;" — Mum and Dad differ ("&amp;"Mum "&amp;IF(Survey!H16="","–",UPPER(Survey!H16))&amp;", Dad "&amp;IF(Survey!I16="","–",UPPER(Survey!I16))&amp;", Me "&amp;IF(Survey!J16="","–",UPPER(Survey!J16))&amp;")",""))</f>
        <v/>
      </c>
    </row>
    <row r="46" customFormat="false" ht="15" hidden="false" customHeight="false" outlineLevel="0" collapsed="false">
      <c r="A46" s="60" t="s">
        <v>288</v>
      </c>
      <c r="B46" s="60" t="n">
        <v>17</v>
      </c>
      <c r="C46" s="60" t="n">
        <f aca="false">SUMPRODUCT((Survey!H17:J17&lt;&gt;"")/COUNTIF(Survey!H17:J17,Survey!H17:J17&amp;""))</f>
        <v>0</v>
      </c>
      <c r="D46" s="60" t="s">
        <v>281</v>
      </c>
      <c r="E46" s="60" t="str">
        <f aca="false">IF(Survey!H17="","",IFERROR(MATCH(Survey!H17,'Start here'!$A$19:$A$22,0),""))</f>
        <v/>
      </c>
      <c r="F46" s="60" t="str">
        <f aca="false">IF(Survey!I17="","",IFERROR(MATCH(Survey!I17,'Start here'!$A$19:$A$22,0),""))</f>
        <v/>
      </c>
      <c r="G46" s="60" t="str">
        <f aca="false">IF(Survey!J17="","",IFERROR(MATCH(Survey!J17,'Start here'!$A$19:$A$22,0),""))</f>
        <v/>
      </c>
      <c r="H46" s="60" t="str">
        <f aca="false">IF(COUNT(E46:G46)&gt;=2,MAX(E46:G46)-MIN(E46:G46),"")</f>
        <v/>
      </c>
      <c r="I46" s="61" t="b">
        <f aca="false">AND(Survey!H17&lt;&gt;"",Survey!I17&lt;&gt;"",Survey!H17&lt;&gt;Survey!I17)</f>
        <v>0</v>
      </c>
      <c r="J46" s="60" t="str">
        <f aca="false">IF(AND(D46="ordered",N(H46)&gt;=2),A46&amp;" — big gap ("&amp;"Mum "&amp;IF(Survey!H17="","–",UPPER(Survey!H17))&amp;", Dad "&amp;IF(Survey!I17="","–",UPPER(Survey!I17))&amp;", Me "&amp;IF(Survey!J17="","–",UPPER(Survey!J17))&amp;")",IF(AND(D46="pair",I46),A46&amp;" — Mum and Dad differ ("&amp;"Mum "&amp;IF(Survey!H17="","–",UPPER(Survey!H17))&amp;", Dad "&amp;IF(Survey!I17="","–",UPPER(Survey!I17))&amp;", Me "&amp;IF(Survey!J17="","–",UPPER(Survey!J17))&amp;")",""))</f>
        <v/>
      </c>
    </row>
    <row r="47" customFormat="false" ht="15" hidden="false" customHeight="false" outlineLevel="0" collapsed="false">
      <c r="A47" s="60" t="s">
        <v>289</v>
      </c>
      <c r="B47" s="60" t="n">
        <v>18</v>
      </c>
      <c r="C47" s="60" t="n">
        <f aca="false">SUMPRODUCT((Survey!H18:J18&lt;&gt;"")/COUNTIF(Survey!H18:J18,Survey!H18:J18&amp;""))</f>
        <v>0</v>
      </c>
      <c r="D47" s="60" t="s">
        <v>281</v>
      </c>
      <c r="E47" s="60" t="str">
        <f aca="false">IF(Survey!H18="","",IFERROR(MATCH(Survey!H18,'Start here'!$A$19:$A$22,0),""))</f>
        <v/>
      </c>
      <c r="F47" s="60" t="str">
        <f aca="false">IF(Survey!I18="","",IFERROR(MATCH(Survey!I18,'Start here'!$A$19:$A$22,0),""))</f>
        <v/>
      </c>
      <c r="G47" s="60" t="str">
        <f aca="false">IF(Survey!J18="","",IFERROR(MATCH(Survey!J18,'Start here'!$A$19:$A$22,0),""))</f>
        <v/>
      </c>
      <c r="H47" s="60" t="str">
        <f aca="false">IF(COUNT(E47:G47)&gt;=2,MAX(E47:G47)-MIN(E47:G47),"")</f>
        <v/>
      </c>
      <c r="I47" s="61" t="b">
        <f aca="false">AND(Survey!H18&lt;&gt;"",Survey!I18&lt;&gt;"",Survey!H18&lt;&gt;Survey!I18)</f>
        <v>0</v>
      </c>
      <c r="J47" s="60" t="str">
        <f aca="false">IF(AND(D47="ordered",N(H47)&gt;=2),A47&amp;" — big gap ("&amp;"Mum "&amp;IF(Survey!H18="","–",UPPER(Survey!H18))&amp;", Dad "&amp;IF(Survey!I18="","–",UPPER(Survey!I18))&amp;", Me "&amp;IF(Survey!J18="","–",UPPER(Survey!J18))&amp;")",IF(AND(D47="pair",I47),A47&amp;" — Mum and Dad differ ("&amp;"Mum "&amp;IF(Survey!H18="","–",UPPER(Survey!H18))&amp;", Dad "&amp;IF(Survey!I18="","–",UPPER(Survey!I18))&amp;", Me "&amp;IF(Survey!J18="","–",UPPER(Survey!J18))&amp;")",""))</f>
        <v/>
      </c>
    </row>
    <row r="48" customFormat="false" ht="15" hidden="false" customHeight="false" outlineLevel="0" collapsed="false">
      <c r="A48" s="60" t="s">
        <v>290</v>
      </c>
      <c r="B48" s="60" t="n">
        <v>19</v>
      </c>
      <c r="C48" s="60" t="n">
        <f aca="false">SUMPRODUCT((Survey!H19:J19&lt;&gt;"")/COUNTIF(Survey!H19:J19,Survey!H19:J19&amp;""))</f>
        <v>0</v>
      </c>
      <c r="D48" s="60" t="s">
        <v>284</v>
      </c>
      <c r="E48" s="60" t="str">
        <f aca="false">IF(Survey!H19="","",IFERROR(MATCH(Survey!H19,'Start here'!$A$19:$A$22,0),""))</f>
        <v/>
      </c>
      <c r="F48" s="60" t="str">
        <f aca="false">IF(Survey!I19="","",IFERROR(MATCH(Survey!I19,'Start here'!$A$19:$A$22,0),""))</f>
        <v/>
      </c>
      <c r="G48" s="60" t="str">
        <f aca="false">IF(Survey!J19="","",IFERROR(MATCH(Survey!J19,'Start here'!$A$19:$A$22,0),""))</f>
        <v/>
      </c>
      <c r="H48" s="60" t="str">
        <f aca="false">IF(COUNT(E48:G48)&gt;=2,MAX(E48:G48)-MIN(E48:G48),"")</f>
        <v/>
      </c>
      <c r="I48" s="61" t="b">
        <f aca="false">AND(Survey!H19&lt;&gt;"",Survey!I19&lt;&gt;"",Survey!H19&lt;&gt;Survey!I19)</f>
        <v>0</v>
      </c>
      <c r="J48" s="60" t="str">
        <f aca="false">IF(AND(D48="ordered",N(H48)&gt;=2),A48&amp;" — big gap ("&amp;"Mum "&amp;IF(Survey!H19="","–",UPPER(Survey!H19))&amp;", Dad "&amp;IF(Survey!I19="","–",UPPER(Survey!I19))&amp;", Me "&amp;IF(Survey!J19="","–",UPPER(Survey!J19))&amp;")",IF(AND(D48="pair",I48),A48&amp;" — Mum and Dad differ ("&amp;"Mum "&amp;IF(Survey!H19="","–",UPPER(Survey!H19))&amp;", Dad "&amp;IF(Survey!I19="","–",UPPER(Survey!I19))&amp;", Me "&amp;IF(Survey!J19="","–",UPPER(Survey!J19))&amp;")",""))</f>
        <v/>
      </c>
    </row>
    <row r="51" customFormat="false" ht="15" hidden="false" customHeight="false" outlineLevel="0" collapsed="false">
      <c r="A51" s="60" t="s">
        <v>291</v>
      </c>
      <c r="B51" s="60" t="str">
        <f aca="false">IFERROR(INDEX($B$20:$B$29,MATCH(LARGE($P$20:$P$29,1),$P$20:$P$29,0)),"")</f>
        <v/>
      </c>
      <c r="C51" s="60" t="str">
        <f aca="false">IFERROR(INDEX(Results!$K$19:$K$28,MATCH(LARGE($P$20:$P$29,1),$P$20:$P$29,0)),"")</f>
        <v/>
      </c>
    </row>
    <row r="52" customFormat="false" ht="15" hidden="false" customHeight="false" outlineLevel="0" collapsed="false">
      <c r="A52" s="60" t="s">
        <v>292</v>
      </c>
      <c r="B52" s="60" t="str">
        <f aca="false">IFERROR(INDEX($B$20:$B$29,MATCH(LARGE($P$20:$P$29,2),$P$20:$P$29,0)),"")</f>
        <v/>
      </c>
      <c r="C52" s="60" t="str">
        <f aca="false">IFERROR(INDEX(Results!$K$19:$K$28,MATCH(LARGE($P$20:$P$29,2),$P$20:$P$29,0)),"")</f>
        <v/>
      </c>
    </row>
    <row r="54" customFormat="false" ht="15" hidden="false" customHeight="false" outlineLevel="0" collapsed="false">
      <c r="A54" s="60" t="s">
        <v>293</v>
      </c>
      <c r="B54" s="60" t="str">
        <f aca="false">IF(COUNT(Results!H19,Results!H21,Results!H22)&lt;3,"",IF(AND(Results!H19&gt;=Results!H21,Results!H19&gt;=Results!H22),"nature",IF(Results!H21&gt;=Results!H22,"community","beach")))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2026-10-26T01:26:30Z</dcterms:created>
  <dc:creator>openpyxl</dc:creator>
  <dc:description/>
  <dc:language>en-US</dc:language>
  <cp:lastModifiedBy/>
  <dcterms:modified xsi:type="dcterms:W3CDTF">2026-10-26T01:26:30Z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