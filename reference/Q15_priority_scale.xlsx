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5 Record" sheetId="1" state="visible" r:id="rId3"/>
    <sheet name="Worked example" sheetId="2" state="visible" r:id="rId4"/>
    <sheet name="Scoring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<sst xmlns="http://schemas.openxmlformats.org/spreadsheetml/2006/main" count="117" uniqueCount="59">
  <si>
    <t xml:space="preserve">Q15 — How much does each of these matter?</t>
  </si>
  <si>
    <t xml:space="preserve">Read aloud: "How much does each of these matter to you?"</t>
  </si>
  <si>
    <t xml:space="preserve">A = Not needed · B = Nice to have · C = Important · D = Essential</t>
  </si>
  <si>
    <t xml:space="preserve">Rule: each parent can give D to no more than 2 items.</t>
  </si>
  <si>
    <t xml:space="preserve">Fill in the yellow cells only: one letter (A–D) per parent per row. Everything else calculates.</t>
  </si>
  <si>
    <t xml:space="preserve">Answer</t>
  </si>
  <si>
    <t xml:space="preserve">Meaning</t>
  </si>
  <si>
    <t xml:space="preserve">Score</t>
  </si>
  <si>
    <t xml:space="preserve">A</t>
  </si>
  <si>
    <t xml:space="preserve">Not needed</t>
  </si>
  <si>
    <t xml:space="preserve">Scores in blue are editable. D = 4 (not 3) so the capped top tier carries real weight; set it to 3 for flatter weights.</t>
  </si>
  <si>
    <t xml:space="preserve">B</t>
  </si>
  <si>
    <t xml:space="preserve">Nice to have</t>
  </si>
  <si>
    <t xml:space="preserve">C</t>
  </si>
  <si>
    <t xml:space="preserve">Important</t>
  </si>
  <si>
    <t xml:space="preserve">D</t>
  </si>
  <si>
    <t xml:space="preserve">Essential</t>
  </si>
  <si>
    <t xml:space="preserve">Priority</t>
  </si>
  <si>
    <t xml:space="preserve">Mum</t>
  </si>
  <si>
    <t xml:space="preserve">Dad</t>
  </si>
  <si>
    <t xml:space="preserve">Mum score</t>
  </si>
  <si>
    <t xml:space="preserve">Dad score</t>
  </si>
  <si>
    <t xml:space="preserve">Mum weight</t>
  </si>
  <si>
    <t xml:space="preserve">Dad weight</t>
  </si>
  <si>
    <t xml:space="preserve">Combined weight</t>
  </si>
  <si>
    <t xml:space="preserve">Levels apart</t>
  </si>
  <si>
    <t xml:space="preserve">Disagreement</t>
  </si>
  <si>
    <t xml:space="preserve">Ask why?</t>
  </si>
  <si>
    <t xml:space="preserve">Nature and scenery</t>
  </si>
  <si>
    <t xml:space="preserve">Near family in Glen Waverley</t>
  </si>
  <si>
    <t xml:space="preserve">Indian/South Asian community</t>
  </si>
  <si>
    <t xml:space="preserve">Beach</t>
  </si>
  <si>
    <t xml:space="preserve">Hospital nearby</t>
  </si>
  <si>
    <t xml:space="preserve">Train or bus</t>
  </si>
  <si>
    <t xml:space="preserve">Shops and doctor nearby</t>
  </si>
  <si>
    <t xml:space="preserve">Village character</t>
  </si>
  <si>
    <t xml:space="preserve">Price</t>
  </si>
  <si>
    <t xml:space="preserve">Total</t>
  </si>
  <si>
    <t xml:space="preserve">Number of D answers (max 2)</t>
  </si>
  <si>
    <t xml:space="preserve">Check</t>
  </si>
  <si>
    <t xml:space="preserve">Rows answered (of 9)</t>
  </si>
  <si>
    <t xml:space="preserve">Combined weight = average of Mum's and Dad's weights. Use it as the draft weighting, then check it against the forced choices in Q10–13: where they conflict, trust the forced choice.</t>
  </si>
  <si>
    <t xml:space="preserve">Q15 — Worked example (made-up answers)</t>
  </si>
  <si>
    <t xml:space="preserve">Example only — made-up answers to show how the sheet works. Not their answers.</t>
  </si>
  <si>
    <t xml:space="preserve">Scoring notes (interviewer only — don't show them)</t>
  </si>
  <si>
    <t xml:space="preserve">How it works</t>
  </si>
  <si>
    <t xml:space="preserve">Score each answer: A = 0, B = 1, C = 2, D = 4 (editable on the Q15 Record sheet).</t>
  </si>
  <si>
    <t xml:space="preserve">Weight = item score ÷ that parent's total score. Combined weight = average of Mum's and Dad's weights.</t>
  </si>
  <si>
    <t xml:space="preserve">D scores 4 rather than 3 so the capped top tier carries real weight. That's a choice, not a standard.</t>
  </si>
  <si>
    <t xml:space="preserve">Rules</t>
  </si>
  <si>
    <t xml:space="preserve">Max 2 D answers per parent. Without the cap, people tend to call everything important and the weights come out almost flat.</t>
  </si>
  <si>
    <t xml:space="preserve">If the parents are 2 or more levels apart on an item (e.g. B vs D), don't average it. Raise it with both of them together.</t>
  </si>
  <si>
    <t xml:space="preserve">Where Q15 conflicts with the forced choices in Q10–13, trust the forced choice.</t>
  </si>
  <si>
    <t xml:space="preserve">Near family in Glen Waverley has both a filter (Q4) and a weight (Q15). The filter rules suburbs out; the weight ranks the ones that pass.</t>
  </si>
  <si>
    <t xml:space="preserve">"Why?" follow-ups</t>
  </si>
  <si>
    <t xml:space="preserve">Ask when nature isn't rated D, or when beach or price is rated D: "What made that one stand out?"</t>
  </si>
  <si>
    <t xml:space="preserve">If this still feels like too much work</t>
  </si>
  <si>
    <t xml:space="preserve">Three piles: sort into must have / nice / don't care, with at most 3 in must have. Easiest out loud; coarser weights.</t>
  </si>
  <si>
    <t xml:space="preserve">Top 3 and bottom 2 only: fastest, but loses detail on the middle items. Fine if Q10–13 already cover them.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</si>
</sst>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i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4EE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15" hidden="false" customHeight="false" outlineLevel="0" collapsed="false">
      <c r="A7" s="5" t="s">
        <v>5</v>
      </c>
      <c r="B7" s="5" t="s">
        <v>6</v>
      </c>
      <c r="C7" s="5" t="s">
        <v>7</v>
      </c>
    </row>
    <row r="8" customFormat="false" ht="15" hidden="false" customHeight="false" outlineLevel="0" collapsed="false">
      <c r="A8" s="6" t="s">
        <v>8</v>
      </c>
      <c r="B8" s="7" t="s">
        <v>9</v>
      </c>
      <c r="C8" s="8" t="n">
        <v>0</v>
      </c>
      <c r="D8" s="9" t="s">
        <v>10</v>
      </c>
    </row>
    <row r="9" customFormat="false" ht="15" hidden="false" customHeight="false" outlineLevel="0" collapsed="false">
      <c r="A9" s="6" t="s">
        <v>11</v>
      </c>
      <c r="B9" s="7" t="s">
        <v>12</v>
      </c>
      <c r="C9" s="8" t="n">
        <v>1</v>
      </c>
    </row>
    <row r="10" customFormat="false" ht="15" hidden="false" customHeight="false" outlineLevel="0" collapsed="false">
      <c r="A10" s="6" t="s">
        <v>13</v>
      </c>
      <c r="B10" s="7" t="s">
        <v>14</v>
      </c>
      <c r="C10" s="8" t="n">
        <v>2</v>
      </c>
    </row>
    <row r="11" customFormat="false" ht="15" hidden="false" customHeight="false" outlineLevel="0" collapsed="false">
      <c r="A11" s="6" t="s">
        <v>15</v>
      </c>
      <c r="B11" s="7" t="s">
        <v>16</v>
      </c>
      <c r="C11" s="8" t="n">
        <v>4</v>
      </c>
    </row>
    <row r="13" customFormat="false" ht="31.5" hidden="false" customHeight="true" outlineLevel="0" collapsed="false">
      <c r="A13" s="10" t="s">
        <v>17</v>
      </c>
      <c r="B13" s="10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25</v>
      </c>
      <c r="J13" s="10" t="s">
        <v>26</v>
      </c>
      <c r="K13" s="10" t="s">
        <v>27</v>
      </c>
    </row>
    <row r="14" customFormat="false" ht="15" hidden="false" customHeight="false" outlineLevel="0" collapsed="false">
      <c r="A14" s="7" t="s">
        <v>28</v>
      </c>
      <c r="B14" s="11"/>
      <c r="C14" s="11"/>
      <c r="D14" s="6" t="str">
        <f aca="false">IF(B14="","",IFERROR(INDEX($C$8:$C$11,MATCH(B14,$A$8:$A$11,0)),""))</f>
        <v/>
      </c>
      <c r="E14" s="6" t="str">
        <f aca="false">IF(C14="","",IFERROR(INDEX($C$8:$C$11,MATCH(C14,$A$8:$A$11,0)),""))</f>
        <v/>
      </c>
      <c r="F14" s="12" t="str">
        <f aca="false">IF(OR(D14="",D$23=0),"",D14/D$23)</f>
        <v/>
      </c>
      <c r="G14" s="12" t="str">
        <f aca="false">IF(OR(E14="",E$23=0),"",E14/E$23)</f>
        <v/>
      </c>
      <c r="H14" s="13" t="str">
        <f aca="false">IF(COUNT(F14:G14)=0,"",AVERAGE(F14:G14))</f>
        <v/>
      </c>
      <c r="I14" s="6" t="str">
        <f aca="false">IF(OR(B14="",C14=""),"",IFERROR(ABS(MATCH(B14,$A$8:$A$11,0)-MATCH(C14,$A$8:$A$11,0)),""))</f>
        <v/>
      </c>
      <c r="J14" s="14" t="str">
        <f aca="false">IF(I14="","",IF(I14&gt;=2,"Discuss together; don't average",""))</f>
        <v/>
      </c>
      <c r="K14" s="14" t="str">
        <f aca="false">IF(OR(AND(B14&lt;&gt;"",B14&lt;&gt;"D"),AND(C14&lt;&gt;"",C14&lt;&gt;"D")),"Ask why (nature not Essential)","")</f>
        <v/>
      </c>
    </row>
    <row r="15" customFormat="false" ht="15" hidden="false" customHeight="false" outlineLevel="0" collapsed="false">
      <c r="A15" s="7" t="s">
        <v>29</v>
      </c>
      <c r="B15" s="11"/>
      <c r="C15" s="11"/>
      <c r="D15" s="6" t="str">
        <f aca="false">IF(B15="","",IFERROR(INDEX($C$8:$C$11,MATCH(B15,$A$8:$A$11,0)),""))</f>
        <v/>
      </c>
      <c r="E15" s="6" t="str">
        <f aca="false">IF(C15="","",IFERROR(INDEX($C$8:$C$11,MATCH(C15,$A$8:$A$11,0)),""))</f>
        <v/>
      </c>
      <c r="F15" s="12" t="str">
        <f aca="false">IF(OR(D15="",D$23=0),"",D15/D$23)</f>
        <v/>
      </c>
      <c r="G15" s="12" t="str">
        <f aca="false">IF(OR(E15="",E$23=0),"",E15/E$23)</f>
        <v/>
      </c>
      <c r="H15" s="13" t="str">
        <f aca="false">IF(COUNT(F15:G15)=0,"",AVERAGE(F15:G15))</f>
        <v/>
      </c>
      <c r="I15" s="6" t="str">
        <f aca="false">IF(OR(B15="",C15=""),"",IFERROR(ABS(MATCH(B15,$A$8:$A$11,0)-MATCH(C15,$A$8:$A$11,0)),""))</f>
        <v/>
      </c>
      <c r="J15" s="14" t="str">
        <f aca="false">IF(I15="","",IF(I15&gt;=2,"Discuss together; don't average",""))</f>
        <v/>
      </c>
      <c r="K15" s="14"/>
    </row>
    <row r="16" customFormat="false" ht="15" hidden="false" customHeight="false" outlineLevel="0" collapsed="false">
      <c r="A16" s="7" t="s">
        <v>30</v>
      </c>
      <c r="B16" s="11"/>
      <c r="C16" s="11"/>
      <c r="D16" s="6" t="str">
        <f aca="false">IF(B16="","",IFERROR(INDEX($C$8:$C$11,MATCH(B16,$A$8:$A$11,0)),""))</f>
        <v/>
      </c>
      <c r="E16" s="6" t="str">
        <f aca="false">IF(C16="","",IFERROR(INDEX($C$8:$C$11,MATCH(C16,$A$8:$A$11,0)),""))</f>
        <v/>
      </c>
      <c r="F16" s="12" t="str">
        <f aca="false">IF(OR(D16="",D$23=0),"",D16/D$23)</f>
        <v/>
      </c>
      <c r="G16" s="12" t="str">
        <f aca="false">IF(OR(E16="",E$23=0),"",E16/E$23)</f>
        <v/>
      </c>
      <c r="H16" s="13" t="str">
        <f aca="false">IF(COUNT(F16:G16)=0,"",AVERAGE(F16:G16))</f>
        <v/>
      </c>
      <c r="I16" s="6" t="str">
        <f aca="false">IF(OR(B16="",C16=""),"",IFERROR(ABS(MATCH(B16,$A$8:$A$11,0)-MATCH(C16,$A$8:$A$11,0)),""))</f>
        <v/>
      </c>
      <c r="J16" s="14" t="str">
        <f aca="false">IF(I16="","",IF(I16&gt;=2,"Discuss together; don't average",""))</f>
        <v/>
      </c>
      <c r="K16" s="14"/>
    </row>
    <row r="17" customFormat="false" ht="15" hidden="false" customHeight="false" outlineLevel="0" collapsed="false">
      <c r="A17" s="7" t="s">
        <v>31</v>
      </c>
      <c r="B17" s="11"/>
      <c r="C17" s="11"/>
      <c r="D17" s="6" t="str">
        <f aca="false">IF(B17="","",IFERROR(INDEX($C$8:$C$11,MATCH(B17,$A$8:$A$11,0)),""))</f>
        <v/>
      </c>
      <c r="E17" s="6" t="str">
        <f aca="false">IF(C17="","",IFERROR(INDEX($C$8:$C$11,MATCH(C17,$A$8:$A$11,0)),""))</f>
        <v/>
      </c>
      <c r="F17" s="12" t="str">
        <f aca="false">IF(OR(D17="",D$23=0),"",D17/D$23)</f>
        <v/>
      </c>
      <c r="G17" s="12" t="str">
        <f aca="false">IF(OR(E17="",E$23=0),"",E17/E$23)</f>
        <v/>
      </c>
      <c r="H17" s="13" t="str">
        <f aca="false">IF(COUNT(F17:G17)=0,"",AVERAGE(F17:G17))</f>
        <v/>
      </c>
      <c r="I17" s="6" t="str">
        <f aca="false">IF(OR(B17="",C17=""),"",IFERROR(ABS(MATCH(B17,$A$8:$A$11,0)-MATCH(C17,$A$8:$A$11,0)),""))</f>
        <v/>
      </c>
      <c r="J17" s="14" t="str">
        <f aca="false">IF(I17="","",IF(I17&gt;=2,"Discuss together; don't average",""))</f>
        <v/>
      </c>
      <c r="K17" s="14" t="str">
        <f aca="false">IF(OR(B17="D",C17="D"),"Ask why (beach rated Essential)","")</f>
        <v/>
      </c>
    </row>
    <row r="18" customFormat="false" ht="15" hidden="false" customHeight="false" outlineLevel="0" collapsed="false">
      <c r="A18" s="7" t="s">
        <v>32</v>
      </c>
      <c r="B18" s="11"/>
      <c r="C18" s="11"/>
      <c r="D18" s="6" t="str">
        <f aca="false">IF(B18="","",IFERROR(INDEX($C$8:$C$11,MATCH(B18,$A$8:$A$11,0)),""))</f>
        <v/>
      </c>
      <c r="E18" s="6" t="str">
        <f aca="false">IF(C18="","",IFERROR(INDEX($C$8:$C$11,MATCH(C18,$A$8:$A$11,0)),""))</f>
        <v/>
      </c>
      <c r="F18" s="12" t="str">
        <f aca="false">IF(OR(D18="",D$23=0),"",D18/D$23)</f>
        <v/>
      </c>
      <c r="G18" s="12" t="str">
        <f aca="false">IF(OR(E18="",E$23=0),"",E18/E$23)</f>
        <v/>
      </c>
      <c r="H18" s="13" t="str">
        <f aca="false">IF(COUNT(F18:G18)=0,"",AVERAGE(F18:G18))</f>
        <v/>
      </c>
      <c r="I18" s="6" t="str">
        <f aca="false">IF(OR(B18="",C18=""),"",IFERROR(ABS(MATCH(B18,$A$8:$A$11,0)-MATCH(C18,$A$8:$A$11,0)),""))</f>
        <v/>
      </c>
      <c r="J18" s="14" t="str">
        <f aca="false">IF(I18="","",IF(I18&gt;=2,"Discuss together; don't average",""))</f>
        <v/>
      </c>
      <c r="K18" s="14"/>
    </row>
    <row r="19" customFormat="false" ht="15" hidden="false" customHeight="false" outlineLevel="0" collapsed="false">
      <c r="A19" s="7" t="s">
        <v>33</v>
      </c>
      <c r="B19" s="11"/>
      <c r="C19" s="11"/>
      <c r="D19" s="6" t="str">
        <f aca="false">IF(B19="","",IFERROR(INDEX($C$8:$C$11,MATCH(B19,$A$8:$A$11,0)),""))</f>
        <v/>
      </c>
      <c r="E19" s="6" t="str">
        <f aca="false">IF(C19="","",IFERROR(INDEX($C$8:$C$11,MATCH(C19,$A$8:$A$11,0)),""))</f>
        <v/>
      </c>
      <c r="F19" s="12" t="str">
        <f aca="false">IF(OR(D19="",D$23=0),"",D19/D$23)</f>
        <v/>
      </c>
      <c r="G19" s="12" t="str">
        <f aca="false">IF(OR(E19="",E$23=0),"",E19/E$23)</f>
        <v/>
      </c>
      <c r="H19" s="13" t="str">
        <f aca="false">IF(COUNT(F19:G19)=0,"",AVERAGE(F19:G19))</f>
        <v/>
      </c>
      <c r="I19" s="6" t="str">
        <f aca="false">IF(OR(B19="",C19=""),"",IFERROR(ABS(MATCH(B19,$A$8:$A$11,0)-MATCH(C19,$A$8:$A$11,0)),""))</f>
        <v/>
      </c>
      <c r="J19" s="14" t="str">
        <f aca="false">IF(I19="","",IF(I19&gt;=2,"Discuss together; don't average",""))</f>
        <v/>
      </c>
      <c r="K19" s="14"/>
    </row>
    <row r="20" customFormat="false" ht="15" hidden="false" customHeight="false" outlineLevel="0" collapsed="false">
      <c r="A20" s="7" t="s">
        <v>34</v>
      </c>
      <c r="B20" s="11"/>
      <c r="C20" s="11"/>
      <c r="D20" s="6" t="str">
        <f aca="false">IF(B20="","",IFERROR(INDEX($C$8:$C$11,MATCH(B20,$A$8:$A$11,0)),""))</f>
        <v/>
      </c>
      <c r="E20" s="6" t="str">
        <f aca="false">IF(C20="","",IFERROR(INDEX($C$8:$C$11,MATCH(C20,$A$8:$A$11,0)),""))</f>
        <v/>
      </c>
      <c r="F20" s="12" t="str">
        <f aca="false">IF(OR(D20="",D$23=0),"",D20/D$23)</f>
        <v/>
      </c>
      <c r="G20" s="12" t="str">
        <f aca="false">IF(OR(E20="",E$23=0),"",E20/E$23)</f>
        <v/>
      </c>
      <c r="H20" s="13" t="str">
        <f aca="false">IF(COUNT(F20:G20)=0,"",AVERAGE(F20:G20))</f>
        <v/>
      </c>
      <c r="I20" s="6" t="str">
        <f aca="false">IF(OR(B20="",C20=""),"",IFERROR(ABS(MATCH(B20,$A$8:$A$11,0)-MATCH(C20,$A$8:$A$11,0)),""))</f>
        <v/>
      </c>
      <c r="J20" s="14" t="str">
        <f aca="false">IF(I20="","",IF(I20&gt;=2,"Discuss together; don't average",""))</f>
        <v/>
      </c>
      <c r="K20" s="14"/>
    </row>
    <row r="21" customFormat="false" ht="15" hidden="false" customHeight="false" outlineLevel="0" collapsed="false">
      <c r="A21" s="7" t="s">
        <v>35</v>
      </c>
      <c r="B21" s="11"/>
      <c r="C21" s="11"/>
      <c r="D21" s="6" t="str">
        <f aca="false">IF(B21="","",IFERROR(INDEX($C$8:$C$11,MATCH(B21,$A$8:$A$11,0)),""))</f>
        <v/>
      </c>
      <c r="E21" s="6" t="str">
        <f aca="false">IF(C21="","",IFERROR(INDEX($C$8:$C$11,MATCH(C21,$A$8:$A$11,0)),""))</f>
        <v/>
      </c>
      <c r="F21" s="12" t="str">
        <f aca="false">IF(OR(D21="",D$23=0),"",D21/D$23)</f>
        <v/>
      </c>
      <c r="G21" s="12" t="str">
        <f aca="false">IF(OR(E21="",E$23=0),"",E21/E$23)</f>
        <v/>
      </c>
      <c r="H21" s="13" t="str">
        <f aca="false">IF(COUNT(F21:G21)=0,"",AVERAGE(F21:G21))</f>
        <v/>
      </c>
      <c r="I21" s="6" t="str">
        <f aca="false">IF(OR(B21="",C21=""),"",IFERROR(ABS(MATCH(B21,$A$8:$A$11,0)-MATCH(C21,$A$8:$A$11,0)),""))</f>
        <v/>
      </c>
      <c r="J21" s="14" t="str">
        <f aca="false">IF(I21="","",IF(I21&gt;=2,"Discuss together; don't average",""))</f>
        <v/>
      </c>
      <c r="K21" s="14"/>
    </row>
    <row r="22" customFormat="false" ht="15" hidden="false" customHeight="false" outlineLevel="0" collapsed="false">
      <c r="A22" s="7" t="s">
        <v>36</v>
      </c>
      <c r="B22" s="11"/>
      <c r="C22" s="11"/>
      <c r="D22" s="6" t="str">
        <f aca="false">IF(B22="","",IFERROR(INDEX($C$8:$C$11,MATCH(B22,$A$8:$A$11,0)),""))</f>
        <v/>
      </c>
      <c r="E22" s="6" t="str">
        <f aca="false">IF(C22="","",IFERROR(INDEX($C$8:$C$11,MATCH(C22,$A$8:$A$11,0)),""))</f>
        <v/>
      </c>
      <c r="F22" s="12" t="str">
        <f aca="false">IF(OR(D22="",D$23=0),"",D22/D$23)</f>
        <v/>
      </c>
      <c r="G22" s="12" t="str">
        <f aca="false">IF(OR(E22="",E$23=0),"",E22/E$23)</f>
        <v/>
      </c>
      <c r="H22" s="13" t="str">
        <f aca="false">IF(COUNT(F22:G22)=0,"",AVERAGE(F22:G22))</f>
        <v/>
      </c>
      <c r="I22" s="6" t="str">
        <f aca="false">IF(OR(B22="",C22=""),"",IFERROR(ABS(MATCH(B22,$A$8:$A$11,0)-MATCH(C22,$A$8:$A$11,0)),""))</f>
        <v/>
      </c>
      <c r="J22" s="14" t="str">
        <f aca="false">IF(I22="","",IF(I22&gt;=2,"Discuss together; don't average",""))</f>
        <v/>
      </c>
      <c r="K22" s="14" t="str">
        <f aca="false">IF(OR(B22="D",C22="D"),"Ask why (price rated Essential)","")</f>
        <v/>
      </c>
    </row>
    <row r="23" customFormat="false" ht="15" hidden="false" customHeight="false" outlineLevel="0" collapsed="false">
      <c r="A23" s="15" t="s">
        <v>37</v>
      </c>
      <c r="B23" s="16"/>
      <c r="C23" s="16"/>
      <c r="D23" s="16" t="n">
        <f aca="false">SUM(D14:D22)</f>
        <v>0</v>
      </c>
      <c r="E23" s="16" t="n">
        <f aca="false">SUM(E14:E22)</f>
        <v>0</v>
      </c>
      <c r="F23" s="17" t="n">
        <f aca="false">SUM(F14:F22)</f>
        <v>0</v>
      </c>
      <c r="G23" s="17" t="n">
        <f aca="false">SUM(G14:G22)</f>
        <v>0</v>
      </c>
      <c r="H23" s="17" t="n">
        <f aca="false">SUM(H14:H22)</f>
        <v>0</v>
      </c>
      <c r="I23" s="16"/>
      <c r="J23" s="16"/>
      <c r="K23" s="16"/>
    </row>
    <row r="25" customFormat="false" ht="15" hidden="false" customHeight="false" outlineLevel="0" collapsed="false">
      <c r="A25" s="3" t="s">
        <v>38</v>
      </c>
      <c r="B25" s="18" t="n">
        <f aca="false">COUNTIF(B14:B22,"D")</f>
        <v>0</v>
      </c>
      <c r="C25" s="18" t="n">
        <f aca="false">COUNTIF(C14:C22,"D")</f>
        <v>0</v>
      </c>
    </row>
    <row r="26" customFormat="false" ht="15" hidden="false" customHeight="false" outlineLevel="0" collapsed="false">
      <c r="A26" s="3" t="s">
        <v>39</v>
      </c>
      <c r="B26" s="18" t="str">
        <f aca="false">IF(B25&gt;2,"Too many D — ask Mum to drop one","OK")</f>
        <v>OK</v>
      </c>
      <c r="C26" s="18" t="str">
        <f aca="false">IF(C25&gt;2,"Too many D — ask Dad to drop one","OK")</f>
        <v>OK</v>
      </c>
    </row>
    <row r="27" customFormat="false" ht="15" hidden="false" customHeight="false" outlineLevel="0" collapsed="false">
      <c r="A27" s="3" t="s">
        <v>40</v>
      </c>
      <c r="B27" s="18" t="n">
        <f aca="false">COUNTA(B14:B22)</f>
        <v>0</v>
      </c>
      <c r="C27" s="18" t="n">
        <f aca="false">COUNTA(C14:C22)</f>
        <v>0</v>
      </c>
    </row>
    <row r="29" customFormat="false" ht="15" hidden="false" customHeight="false" outlineLevel="0" collapsed="false">
      <c r="A29" s="9" t="s">
        <v>41</v>
      </c>
    </row>
  </sheetData>
  <dataValidations count="1">
    <dataValidation allowBlank="true" error="Enter A, B, C or D." errorStyle="stop" errorTitle="A–D only" operator="between" showDropDown="false" showErrorMessage="true" showInputMessage="false" sqref="B14:C22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32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19" t="s">
        <v>43</v>
      </c>
    </row>
    <row r="7" customFormat="false" ht="15" hidden="false" customHeight="false" outlineLevel="0" collapsed="false">
      <c r="A7" s="5" t="s">
        <v>5</v>
      </c>
      <c r="B7" s="5" t="s">
        <v>6</v>
      </c>
      <c r="C7" s="5" t="s">
        <v>7</v>
      </c>
    </row>
    <row r="8" customFormat="false" ht="15" hidden="false" customHeight="false" outlineLevel="0" collapsed="false">
      <c r="A8" s="6" t="s">
        <v>8</v>
      </c>
      <c r="B8" s="7" t="s">
        <v>9</v>
      </c>
      <c r="C8" s="8" t="n">
        <v>0</v>
      </c>
      <c r="D8" s="9" t="s">
        <v>10</v>
      </c>
    </row>
    <row r="9" customFormat="false" ht="15" hidden="false" customHeight="false" outlineLevel="0" collapsed="false">
      <c r="A9" s="6" t="s">
        <v>11</v>
      </c>
      <c r="B9" s="7" t="s">
        <v>12</v>
      </c>
      <c r="C9" s="8" t="n">
        <v>1</v>
      </c>
    </row>
    <row r="10" customFormat="false" ht="15" hidden="false" customHeight="false" outlineLevel="0" collapsed="false">
      <c r="A10" s="6" t="s">
        <v>13</v>
      </c>
      <c r="B10" s="7" t="s">
        <v>14</v>
      </c>
      <c r="C10" s="8" t="n">
        <v>2</v>
      </c>
    </row>
    <row r="11" customFormat="false" ht="15" hidden="false" customHeight="false" outlineLevel="0" collapsed="false">
      <c r="A11" s="6" t="s">
        <v>15</v>
      </c>
      <c r="B11" s="7" t="s">
        <v>16</v>
      </c>
      <c r="C11" s="8" t="n">
        <v>4</v>
      </c>
    </row>
    <row r="13" customFormat="false" ht="31.5" hidden="false" customHeight="true" outlineLevel="0" collapsed="false">
      <c r="A13" s="10" t="s">
        <v>17</v>
      </c>
      <c r="B13" s="10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25</v>
      </c>
      <c r="J13" s="10" t="s">
        <v>26</v>
      </c>
      <c r="K13" s="10" t="s">
        <v>27</v>
      </c>
    </row>
    <row r="14" customFormat="false" ht="15" hidden="false" customHeight="false" outlineLevel="0" collapsed="false">
      <c r="A14" s="7" t="s">
        <v>28</v>
      </c>
      <c r="B14" s="11" t="s">
        <v>15</v>
      </c>
      <c r="C14" s="11" t="s">
        <v>13</v>
      </c>
      <c r="D14" s="6" t="n">
        <f aca="false">IF(B14="","",IFERROR(INDEX($C$8:$C$11,MATCH(B14,$A$8:$A$11,0)),""))</f>
        <v>4</v>
      </c>
      <c r="E14" s="6" t="n">
        <f aca="false">IF(C14="","",IFERROR(INDEX($C$8:$C$11,MATCH(C14,$A$8:$A$11,0)),""))</f>
        <v>2</v>
      </c>
      <c r="F14" s="12" t="n">
        <f aca="false">IF(OR(D14="",D$23=0),"",D14/D$23)</f>
        <v>0.222222222222222</v>
      </c>
      <c r="G14" s="12" t="n">
        <f aca="false">IF(OR(E14="",E$23=0),"",E14/E$23)</f>
        <v>0.125</v>
      </c>
      <c r="H14" s="13" t="n">
        <f aca="false">IF(COUNT(F14:G14)=0,"",AVERAGE(F14:G14))</f>
        <v>0.173611111111111</v>
      </c>
      <c r="I14" s="6" t="n">
        <f aca="false">IF(OR(B14="",C14=""),"",IFERROR(ABS(MATCH(B14,$A$8:$A$11,0)-MATCH(C14,$A$8:$A$11,0)),""))</f>
        <v>1</v>
      </c>
      <c r="J14" s="14" t="str">
        <f aca="false">IF(I14="","",IF(I14&gt;=2,"Discuss together; don't average",""))</f>
        <v/>
      </c>
      <c r="K14" s="14" t="str">
        <f aca="false">IF(OR(AND(B14&lt;&gt;"",B14&lt;&gt;"D"),AND(C14&lt;&gt;"",C14&lt;&gt;"D")),"Ask why (nature not Essential)","")</f>
        <v>Ask why (nature not Essential)</v>
      </c>
    </row>
    <row r="15" customFormat="false" ht="15" hidden="false" customHeight="false" outlineLevel="0" collapsed="false">
      <c r="A15" s="7" t="s">
        <v>29</v>
      </c>
      <c r="B15" s="11" t="s">
        <v>15</v>
      </c>
      <c r="C15" s="11" t="s">
        <v>15</v>
      </c>
      <c r="D15" s="6" t="n">
        <f aca="false">IF(B15="","",IFERROR(INDEX($C$8:$C$11,MATCH(B15,$A$8:$A$11,0)),""))</f>
        <v>4</v>
      </c>
      <c r="E15" s="6" t="n">
        <f aca="false">IF(C15="","",IFERROR(INDEX($C$8:$C$11,MATCH(C15,$A$8:$A$11,0)),""))</f>
        <v>4</v>
      </c>
      <c r="F15" s="12" t="n">
        <f aca="false">IF(OR(D15="",D$23=0),"",D15/D$23)</f>
        <v>0.222222222222222</v>
      </c>
      <c r="G15" s="12" t="n">
        <f aca="false">IF(OR(E15="",E$23=0),"",E15/E$23)</f>
        <v>0.25</v>
      </c>
      <c r="H15" s="13" t="n">
        <f aca="false">IF(COUNT(F15:G15)=0,"",AVERAGE(F15:G15))</f>
        <v>0.236111111111111</v>
      </c>
      <c r="I15" s="6" t="n">
        <f aca="false">IF(OR(B15="",C15=""),"",IFERROR(ABS(MATCH(B15,$A$8:$A$11,0)-MATCH(C15,$A$8:$A$11,0)),""))</f>
        <v>0</v>
      </c>
      <c r="J15" s="14" t="str">
        <f aca="false">IF(I15="","",IF(I15&gt;=2,"Discuss together; don't average",""))</f>
        <v/>
      </c>
      <c r="K15" s="14"/>
    </row>
    <row r="16" customFormat="false" ht="15" hidden="false" customHeight="false" outlineLevel="0" collapsed="false">
      <c r="A16" s="7" t="s">
        <v>30</v>
      </c>
      <c r="B16" s="11" t="s">
        <v>13</v>
      </c>
      <c r="C16" s="11" t="s">
        <v>8</v>
      </c>
      <c r="D16" s="6" t="n">
        <f aca="false">IF(B16="","",IFERROR(INDEX($C$8:$C$11,MATCH(B16,$A$8:$A$11,0)),""))</f>
        <v>2</v>
      </c>
      <c r="E16" s="6" t="n">
        <f aca="false">IF(C16="","",IFERROR(INDEX($C$8:$C$11,MATCH(C16,$A$8:$A$11,0)),""))</f>
        <v>0</v>
      </c>
      <c r="F16" s="12" t="n">
        <f aca="false">IF(OR(D16="",D$23=0),"",D16/D$23)</f>
        <v>0.111111111111111</v>
      </c>
      <c r="G16" s="12" t="n">
        <f aca="false">IF(OR(E16="",E$23=0),"",E16/E$23)</f>
        <v>0</v>
      </c>
      <c r="H16" s="13" t="n">
        <f aca="false">IF(COUNT(F16:G16)=0,"",AVERAGE(F16:G16))</f>
        <v>0.0555555555555556</v>
      </c>
      <c r="I16" s="6" t="n">
        <f aca="false">IF(OR(B16="",C16=""),"",IFERROR(ABS(MATCH(B16,$A$8:$A$11,0)-MATCH(C16,$A$8:$A$11,0)),""))</f>
        <v>2</v>
      </c>
      <c r="J16" s="14" t="str">
        <f aca="false">IF(I16="","",IF(I16&gt;=2,"Discuss together; don't average",""))</f>
        <v>Discuss together; don't average</v>
      </c>
      <c r="K16" s="14"/>
    </row>
    <row r="17" customFormat="false" ht="15" hidden="false" customHeight="false" outlineLevel="0" collapsed="false">
      <c r="A17" s="7" t="s">
        <v>31</v>
      </c>
      <c r="B17" s="11" t="s">
        <v>11</v>
      </c>
      <c r="C17" s="11" t="s">
        <v>8</v>
      </c>
      <c r="D17" s="6" t="n">
        <f aca="false">IF(B17="","",IFERROR(INDEX($C$8:$C$11,MATCH(B17,$A$8:$A$11,0)),""))</f>
        <v>1</v>
      </c>
      <c r="E17" s="6" t="n">
        <f aca="false">IF(C17="","",IFERROR(INDEX($C$8:$C$11,MATCH(C17,$A$8:$A$11,0)),""))</f>
        <v>0</v>
      </c>
      <c r="F17" s="12" t="n">
        <f aca="false">IF(OR(D17="",D$23=0),"",D17/D$23)</f>
        <v>0.0555555555555556</v>
      </c>
      <c r="G17" s="12" t="n">
        <f aca="false">IF(OR(E17="",E$23=0),"",E17/E$23)</f>
        <v>0</v>
      </c>
      <c r="H17" s="13" t="n">
        <f aca="false">IF(COUNT(F17:G17)=0,"",AVERAGE(F17:G17))</f>
        <v>0.0277777777777778</v>
      </c>
      <c r="I17" s="6" t="n">
        <f aca="false">IF(OR(B17="",C17=""),"",IFERROR(ABS(MATCH(B17,$A$8:$A$11,0)-MATCH(C17,$A$8:$A$11,0)),""))</f>
        <v>1</v>
      </c>
      <c r="J17" s="14" t="str">
        <f aca="false">IF(I17="","",IF(I17&gt;=2,"Discuss together; don't average",""))</f>
        <v/>
      </c>
      <c r="K17" s="14" t="str">
        <f aca="false">IF(OR(B17="D",C17="D"),"Ask why (beach rated Essential)","")</f>
        <v/>
      </c>
    </row>
    <row r="18" customFormat="false" ht="15" hidden="false" customHeight="false" outlineLevel="0" collapsed="false">
      <c r="A18" s="7" t="s">
        <v>32</v>
      </c>
      <c r="B18" s="11" t="s">
        <v>13</v>
      </c>
      <c r="C18" s="11" t="s">
        <v>15</v>
      </c>
      <c r="D18" s="6" t="n">
        <f aca="false">IF(B18="","",IFERROR(INDEX($C$8:$C$11,MATCH(B18,$A$8:$A$11,0)),""))</f>
        <v>2</v>
      </c>
      <c r="E18" s="6" t="n">
        <f aca="false">IF(C18="","",IFERROR(INDEX($C$8:$C$11,MATCH(C18,$A$8:$A$11,0)),""))</f>
        <v>4</v>
      </c>
      <c r="F18" s="12" t="n">
        <f aca="false">IF(OR(D18="",D$23=0),"",D18/D$23)</f>
        <v>0.111111111111111</v>
      </c>
      <c r="G18" s="12" t="n">
        <f aca="false">IF(OR(E18="",E$23=0),"",E18/E$23)</f>
        <v>0.25</v>
      </c>
      <c r="H18" s="13" t="n">
        <f aca="false">IF(COUNT(F18:G18)=0,"",AVERAGE(F18:G18))</f>
        <v>0.180555555555556</v>
      </c>
      <c r="I18" s="6" t="n">
        <f aca="false">IF(OR(B18="",C18=""),"",IFERROR(ABS(MATCH(B18,$A$8:$A$11,0)-MATCH(C18,$A$8:$A$11,0)),""))</f>
        <v>1</v>
      </c>
      <c r="J18" s="14" t="str">
        <f aca="false">IF(I18="","",IF(I18&gt;=2,"Discuss together; don't average",""))</f>
        <v/>
      </c>
      <c r="K18" s="14"/>
    </row>
    <row r="19" customFormat="false" ht="15" hidden="false" customHeight="false" outlineLevel="0" collapsed="false">
      <c r="A19" s="7" t="s">
        <v>33</v>
      </c>
      <c r="B19" s="11" t="s">
        <v>8</v>
      </c>
      <c r="C19" s="11" t="s">
        <v>11</v>
      </c>
      <c r="D19" s="6" t="n">
        <f aca="false">IF(B19="","",IFERROR(INDEX($C$8:$C$11,MATCH(B19,$A$8:$A$11,0)),""))</f>
        <v>0</v>
      </c>
      <c r="E19" s="6" t="n">
        <f aca="false">IF(C19="","",IFERROR(INDEX($C$8:$C$11,MATCH(C19,$A$8:$A$11,0)),""))</f>
        <v>1</v>
      </c>
      <c r="F19" s="12" t="n">
        <f aca="false">IF(OR(D19="",D$23=0),"",D19/D$23)</f>
        <v>0</v>
      </c>
      <c r="G19" s="12" t="n">
        <f aca="false">IF(OR(E19="",E$23=0),"",E19/E$23)</f>
        <v>0.0625</v>
      </c>
      <c r="H19" s="13" t="n">
        <f aca="false">IF(COUNT(F19:G19)=0,"",AVERAGE(F19:G19))</f>
        <v>0.03125</v>
      </c>
      <c r="I19" s="6" t="n">
        <f aca="false">IF(OR(B19="",C19=""),"",IFERROR(ABS(MATCH(B19,$A$8:$A$11,0)-MATCH(C19,$A$8:$A$11,0)),""))</f>
        <v>1</v>
      </c>
      <c r="J19" s="14" t="str">
        <f aca="false">IF(I19="","",IF(I19&gt;=2,"Discuss together; don't average",""))</f>
        <v/>
      </c>
      <c r="K19" s="14"/>
    </row>
    <row r="20" customFormat="false" ht="15" hidden="false" customHeight="false" outlineLevel="0" collapsed="false">
      <c r="A20" s="7" t="s">
        <v>34</v>
      </c>
      <c r="B20" s="11" t="s">
        <v>13</v>
      </c>
      <c r="C20" s="11" t="s">
        <v>13</v>
      </c>
      <c r="D20" s="6" t="n">
        <f aca="false">IF(B20="","",IFERROR(INDEX($C$8:$C$11,MATCH(B20,$A$8:$A$11,0)),""))</f>
        <v>2</v>
      </c>
      <c r="E20" s="6" t="n">
        <f aca="false">IF(C20="","",IFERROR(INDEX($C$8:$C$11,MATCH(C20,$A$8:$A$11,0)),""))</f>
        <v>2</v>
      </c>
      <c r="F20" s="12" t="n">
        <f aca="false">IF(OR(D20="",D$23=0),"",D20/D$23)</f>
        <v>0.111111111111111</v>
      </c>
      <c r="G20" s="12" t="n">
        <f aca="false">IF(OR(E20="",E$23=0),"",E20/E$23)</f>
        <v>0.125</v>
      </c>
      <c r="H20" s="13" t="n">
        <f aca="false">IF(COUNT(F20:G20)=0,"",AVERAGE(F20:G20))</f>
        <v>0.118055555555556</v>
      </c>
      <c r="I20" s="6" t="n">
        <f aca="false">IF(OR(B20="",C20=""),"",IFERROR(ABS(MATCH(B20,$A$8:$A$11,0)-MATCH(C20,$A$8:$A$11,0)),""))</f>
        <v>0</v>
      </c>
      <c r="J20" s="14" t="str">
        <f aca="false">IF(I20="","",IF(I20&gt;=2,"Discuss together; don't average",""))</f>
        <v/>
      </c>
      <c r="K20" s="14"/>
    </row>
    <row r="21" customFormat="false" ht="15" hidden="false" customHeight="false" outlineLevel="0" collapsed="false">
      <c r="A21" s="7" t="s">
        <v>35</v>
      </c>
      <c r="B21" s="11" t="s">
        <v>11</v>
      </c>
      <c r="C21" s="11" t="s">
        <v>11</v>
      </c>
      <c r="D21" s="6" t="n">
        <f aca="false">IF(B21="","",IFERROR(INDEX($C$8:$C$11,MATCH(B21,$A$8:$A$11,0)),""))</f>
        <v>1</v>
      </c>
      <c r="E21" s="6" t="n">
        <f aca="false">IF(C21="","",IFERROR(INDEX($C$8:$C$11,MATCH(C21,$A$8:$A$11,0)),""))</f>
        <v>1</v>
      </c>
      <c r="F21" s="12" t="n">
        <f aca="false">IF(OR(D21="",D$23=0),"",D21/D$23)</f>
        <v>0.0555555555555556</v>
      </c>
      <c r="G21" s="12" t="n">
        <f aca="false">IF(OR(E21="",E$23=0),"",E21/E$23)</f>
        <v>0.0625</v>
      </c>
      <c r="H21" s="13" t="n">
        <f aca="false">IF(COUNT(F21:G21)=0,"",AVERAGE(F21:G21))</f>
        <v>0.0590277777777778</v>
      </c>
      <c r="I21" s="6" t="n">
        <f aca="false">IF(OR(B21="",C21=""),"",IFERROR(ABS(MATCH(B21,$A$8:$A$11,0)-MATCH(C21,$A$8:$A$11,0)),""))</f>
        <v>0</v>
      </c>
      <c r="J21" s="14" t="str">
        <f aca="false">IF(I21="","",IF(I21&gt;=2,"Discuss together; don't average",""))</f>
        <v/>
      </c>
      <c r="K21" s="14"/>
    </row>
    <row r="22" customFormat="false" ht="15" hidden="false" customHeight="false" outlineLevel="0" collapsed="false">
      <c r="A22" s="7" t="s">
        <v>36</v>
      </c>
      <c r="B22" s="11" t="s">
        <v>13</v>
      </c>
      <c r="C22" s="11" t="s">
        <v>13</v>
      </c>
      <c r="D22" s="6" t="n">
        <f aca="false">IF(B22="","",IFERROR(INDEX($C$8:$C$11,MATCH(B22,$A$8:$A$11,0)),""))</f>
        <v>2</v>
      </c>
      <c r="E22" s="6" t="n">
        <f aca="false">IF(C22="","",IFERROR(INDEX($C$8:$C$11,MATCH(C22,$A$8:$A$11,0)),""))</f>
        <v>2</v>
      </c>
      <c r="F22" s="12" t="n">
        <f aca="false">IF(OR(D22="",D$23=0),"",D22/D$23)</f>
        <v>0.111111111111111</v>
      </c>
      <c r="G22" s="12" t="n">
        <f aca="false">IF(OR(E22="",E$23=0),"",E22/E$23)</f>
        <v>0.125</v>
      </c>
      <c r="H22" s="13" t="n">
        <f aca="false">IF(COUNT(F22:G22)=0,"",AVERAGE(F22:G22))</f>
        <v>0.118055555555556</v>
      </c>
      <c r="I22" s="6" t="n">
        <f aca="false">IF(OR(B22="",C22=""),"",IFERROR(ABS(MATCH(B22,$A$8:$A$11,0)-MATCH(C22,$A$8:$A$11,0)),""))</f>
        <v>0</v>
      </c>
      <c r="J22" s="14" t="str">
        <f aca="false">IF(I22="","",IF(I22&gt;=2,"Discuss together; don't average",""))</f>
        <v/>
      </c>
      <c r="K22" s="14" t="str">
        <f aca="false">IF(OR(B22="D",C22="D"),"Ask why (price rated Essential)","")</f>
        <v/>
      </c>
    </row>
    <row r="23" customFormat="false" ht="15" hidden="false" customHeight="false" outlineLevel="0" collapsed="false">
      <c r="A23" s="15" t="s">
        <v>37</v>
      </c>
      <c r="B23" s="16"/>
      <c r="C23" s="16"/>
      <c r="D23" s="16" t="n">
        <f aca="false">SUM(D14:D22)</f>
        <v>18</v>
      </c>
      <c r="E23" s="16" t="n">
        <f aca="false">SUM(E14:E22)</f>
        <v>16</v>
      </c>
      <c r="F23" s="17" t="n">
        <f aca="false">SUM(F14:F22)</f>
        <v>1</v>
      </c>
      <c r="G23" s="17" t="n">
        <f aca="false">SUM(G14:G22)</f>
        <v>1</v>
      </c>
      <c r="H23" s="17" t="n">
        <f aca="false">SUM(H14:H22)</f>
        <v>1</v>
      </c>
      <c r="I23" s="16"/>
      <c r="J23" s="16"/>
      <c r="K23" s="16"/>
    </row>
    <row r="25" customFormat="false" ht="15" hidden="false" customHeight="false" outlineLevel="0" collapsed="false">
      <c r="A25" s="3" t="s">
        <v>38</v>
      </c>
      <c r="B25" s="18" t="n">
        <f aca="false">COUNTIF(B14:B22,"D")</f>
        <v>2</v>
      </c>
      <c r="C25" s="18" t="n">
        <f aca="false">COUNTIF(C14:C22,"D")</f>
        <v>2</v>
      </c>
    </row>
    <row r="26" customFormat="false" ht="15" hidden="false" customHeight="false" outlineLevel="0" collapsed="false">
      <c r="A26" s="3" t="s">
        <v>39</v>
      </c>
      <c r="B26" s="18" t="str">
        <f aca="false">IF(B25&gt;2,"Too many D — ask Mum to drop one","OK")</f>
        <v>OK</v>
      </c>
      <c r="C26" s="18" t="str">
        <f aca="false">IF(C25&gt;2,"Too many D — ask Dad to drop one","OK")</f>
        <v>OK</v>
      </c>
    </row>
    <row r="27" customFormat="false" ht="15" hidden="false" customHeight="false" outlineLevel="0" collapsed="false">
      <c r="A27" s="3" t="s">
        <v>40</v>
      </c>
      <c r="B27" s="18" t="n">
        <f aca="false">COUNTA(B14:B22)</f>
        <v>9</v>
      </c>
      <c r="C27" s="18" t="n">
        <f aca="false">COUNTA(C14:C22)</f>
        <v>9</v>
      </c>
    </row>
    <row r="29" customFormat="false" ht="15" hidden="false" customHeight="false" outlineLevel="0" collapsed="false">
      <c r="A29" s="9" t="s">
        <v>41</v>
      </c>
    </row>
  </sheetData>
  <dataValidations count="1">
    <dataValidation allowBlank="true" error="Enter A, B, C or D." errorStyle="stop" errorTitle="A–D only" operator="between" showDropDown="false" showErrorMessage="true" showInputMessage="false" sqref="B14:C22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0" t="s">
        <v>44</v>
      </c>
    </row>
    <row r="2" customFormat="false" ht="15" hidden="false" customHeight="false" outlineLevel="0" collapsed="false">
      <c r="A2" s="21" t="s">
        <v>45</v>
      </c>
    </row>
    <row r="3" customFormat="false" ht="15" hidden="false" customHeight="false" outlineLevel="0" collapsed="false">
      <c r="A3" s="22" t="s">
        <v>46</v>
      </c>
    </row>
    <row r="4" customFormat="false" ht="15" hidden="false" customHeight="false" outlineLevel="0" collapsed="false">
      <c r="A4" s="22" t="s">
        <v>47</v>
      </c>
    </row>
    <row r="5" customFormat="false" ht="15" hidden="false" customHeight="false" outlineLevel="0" collapsed="false">
      <c r="A5" s="22" t="s">
        <v>48</v>
      </c>
    </row>
    <row r="6" customFormat="false" ht="15" hidden="false" customHeight="false" outlineLevel="0" collapsed="false">
      <c r="A6" s="21" t="s">
        <v>49</v>
      </c>
    </row>
    <row r="7" customFormat="false" ht="26.85" hidden="false" customHeight="false" outlineLevel="0" collapsed="false">
      <c r="A7" s="22" t="s">
        <v>50</v>
      </c>
    </row>
    <row r="8" customFormat="false" ht="15" hidden="false" customHeight="false" outlineLevel="0" collapsed="false">
      <c r="A8" s="22" t="s">
        <v>51</v>
      </c>
    </row>
    <row r="9" customFormat="false" ht="15" hidden="false" customHeight="false" outlineLevel="0" collapsed="false">
      <c r="A9" s="22" t="s">
        <v>52</v>
      </c>
    </row>
    <row r="10" customFormat="false" ht="26.85" hidden="false" customHeight="false" outlineLevel="0" collapsed="false">
      <c r="A10" s="22" t="s">
        <v>53</v>
      </c>
    </row>
    <row r="11" customFormat="false" ht="15" hidden="false" customHeight="false" outlineLevel="0" collapsed="false">
      <c r="A11" s="21" t="s">
        <v>54</v>
      </c>
    </row>
    <row r="12" customFormat="false" ht="15" hidden="false" customHeight="false" outlineLevel="0" collapsed="false">
      <c r="A12" s="22" t="s">
        <v>55</v>
      </c>
    </row>
    <row r="13" customFormat="false" ht="15" hidden="false" customHeight="false" outlineLevel="0" collapsed="false">
      <c r="A13" s="21" t="s">
        <v>56</v>
      </c>
    </row>
    <row r="14" customFormat="false" ht="15" hidden="false" customHeight="false" outlineLevel="0" collapsed="false">
      <c r="A14" s="22" t="s">
        <v>57</v>
      </c>
    </row>
    <row r="15" customFormat="false" ht="15" hidden="false" customHeight="false" outlineLevel="0" collapsed="false">
      <c r="A15" s="2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2026-10-25T11:11:40Z</dcterms:created>
  <dc:creator>openpyxl</dc:creator>
  <dc:description/>
  <dc:language>en-US</dc:language>
  <cp:lastModifiedBy/>
  <dcterms:modified xsi:type="dcterms:W3CDTF">2026-10-25T11:11:40Z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